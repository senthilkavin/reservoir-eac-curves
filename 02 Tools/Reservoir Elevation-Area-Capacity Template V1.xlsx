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4.xml" ContentType="application/vnd.openxmlformats-officedocument.drawing+xml"/>
  <Override PartName="/xl/tables/table6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1.xml" ContentType="application/vnd.openxmlformats-officedocument.spreadsheetml.pivotTable+xml"/>
  <Override PartName="/xl/drawings/drawing5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Mac\Home\Desktop\Mirani Reservoir Monitoring\02 Reservoir Monitoring\"/>
    </mc:Choice>
  </mc:AlternateContent>
  <xr:revisionPtr revIDLastSave="0" documentId="13_ncr:1_{9E8DCC47-FDB8-4184-A898-0EB50EF91590}" xr6:coauthVersionLast="47" xr6:coauthVersionMax="47" xr10:uidLastSave="{00000000-0000-0000-0000-000000000000}"/>
  <bookViews>
    <workbookView xWindow="-98" yWindow="-98" windowWidth="26116" windowHeight="15675" tabRatio="687" xr2:uid="{B9AF2A4E-26BD-41FA-8155-C774757CCD1F}"/>
  </bookViews>
  <sheets>
    <sheet name="Info" sheetId="4" r:id="rId1"/>
    <sheet name="Data" sheetId="1" r:id="rId2"/>
    <sheet name="Reservoir Curves" sheetId="3" r:id="rId3"/>
    <sheet name="Monitoring" sheetId="12" r:id="rId4"/>
    <sheet name="Calcs" sheetId="11" r:id="rId5"/>
    <sheet name="Annual Chart" sheetId="15" r:id="rId6"/>
    <sheet name="Export" sheetId="17" r:id="rId7"/>
  </sheets>
  <definedNames>
    <definedName name="_xlnm._FilterDatabase" localSheetId="1" hidden="1">Data!#REF!</definedName>
    <definedName name="Dam_name">Info!$C$4</definedName>
    <definedName name="ExternalData_1" localSheetId="3" hidden="1">Monitoring!#REF!</definedName>
    <definedName name="_xlnm.Print_Area" localSheetId="0">tbl_Info[#All]</definedName>
  </definedNames>
  <calcPr calcId="191029"/>
  <pivotCaches>
    <pivotCache cacheId="0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" i="12" l="1"/>
  <c r="F6" i="12"/>
  <c r="G6" i="12"/>
  <c r="E5" i="12" l="1"/>
  <c r="F5" i="12"/>
  <c r="G5" i="12"/>
  <c r="B6" i="1"/>
  <c r="B5" i="1"/>
  <c r="C55" i="4"/>
  <c r="C54" i="4"/>
  <c r="C53" i="4"/>
  <c r="C52" i="4"/>
  <c r="C51" i="4"/>
  <c r="C50" i="4"/>
  <c r="J5" i="1" l="1"/>
  <c r="G5" i="11"/>
  <c r="G6" i="11"/>
  <c r="I5" i="1"/>
  <c r="G7" i="4"/>
  <c r="J6" i="1"/>
  <c r="I6" i="1"/>
  <c r="G5" i="1"/>
  <c r="G6" i="1"/>
  <c r="H5" i="1"/>
  <c r="H6" i="1"/>
  <c r="E7" i="4" l="1"/>
  <c r="E8" i="4"/>
  <c r="A1" i="15"/>
  <c r="F5" i="11" a="1"/>
  <c r="F5" i="11" s="1"/>
  <c r="I5" i="11" s="1"/>
  <c r="F6" i="11" a="1"/>
  <c r="F6" i="11" s="1"/>
  <c r="I6" i="11" s="1"/>
  <c r="E5" i="11" a="1"/>
  <c r="E5" i="11" s="1"/>
  <c r="H5" i="11" s="1"/>
  <c r="E6" i="11" a="1"/>
  <c r="E6" i="11" s="1"/>
  <c r="H6" i="1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<sst xmlns="http://schemas.openxmlformats.org/spreadsheetml/2006/main" count="129" uniqueCount="106">
  <si>
    <t>ID</t>
  </si>
  <si>
    <t>SRTM30 Elevation (m)</t>
  </si>
  <si>
    <t>x</t>
  </si>
  <si>
    <t>y</t>
  </si>
  <si>
    <t>Name</t>
  </si>
  <si>
    <t>Name:</t>
  </si>
  <si>
    <t>Country:</t>
  </si>
  <si>
    <t>Location:</t>
  </si>
  <si>
    <t>Coordinates:</t>
  </si>
  <si>
    <t>Purpose:</t>
  </si>
  <si>
    <t>Status:</t>
  </si>
  <si>
    <t>Opening date:</t>
  </si>
  <si>
    <t>Total capacity:</t>
  </si>
  <si>
    <t>Active capacity:</t>
  </si>
  <si>
    <t>Pixels</t>
  </si>
  <si>
    <t>Area (m2)</t>
  </si>
  <si>
    <t>Area (km2)</t>
  </si>
  <si>
    <t>Volume (MCM)</t>
  </si>
  <si>
    <t>Chart Title 01:</t>
  </si>
  <si>
    <t>Chart Title 02:</t>
  </si>
  <si>
    <t>Area (Acre)</t>
  </si>
  <si>
    <t>Volume (Acre-ft)</t>
  </si>
  <si>
    <t>Enter data from QGIS</t>
  </si>
  <si>
    <t>Data calculated automatically</t>
  </si>
  <si>
    <t xml:space="preserve"> </t>
  </si>
  <si>
    <t>Date</t>
  </si>
  <si>
    <t>Monitoring data:</t>
  </si>
  <si>
    <t>No</t>
  </si>
  <si>
    <t>Elevation (SRTM30-m)</t>
  </si>
  <si>
    <t>Chart Title 03:</t>
  </si>
  <si>
    <t>Chart Title 04:</t>
  </si>
  <si>
    <t>Chart Title 05:</t>
  </si>
  <si>
    <t>Chart Title 06:</t>
  </si>
  <si>
    <t>Enter monitoring data</t>
  </si>
  <si>
    <t>Elevation (SRTM30-ft)</t>
  </si>
  <si>
    <t>2006-09-06T06:04:00</t>
  </si>
  <si>
    <t>Surface Water Area (km2)</t>
  </si>
  <si>
    <t>time</t>
  </si>
  <si>
    <t>Index</t>
  </si>
  <si>
    <t>Estimate the top of spillway from monitoring data</t>
  </si>
  <si>
    <t>DO NOT EDIT</t>
  </si>
  <si>
    <t>Enter reservoir area monitoring data from Global Water Monitor</t>
  </si>
  <si>
    <t>1) Fill in all data in the Info sheet.</t>
  </si>
  <si>
    <t>3) Add relevant data to tbl_Data in Data Sheet.</t>
  </si>
  <si>
    <t>4) Download reservoir area data from Global Water Watch.</t>
  </si>
  <si>
    <t>Row Labels</t>
  </si>
  <si>
    <t>Average of Volume (MCM)</t>
  </si>
  <si>
    <t>Min of Volume (MCM)</t>
  </si>
  <si>
    <t>Max of Volume (MCM)</t>
  </si>
  <si>
    <t>2) Calculate the Elevation-Area-Volume data for the reservoir in QGIS.</t>
  </si>
  <si>
    <t>Update key reservoir data. The name will be used in all chart titles</t>
  </si>
  <si>
    <t>ENTER DATA HERE: COPY | PASTE SPECIAL - UNFORMATED DATA</t>
  </si>
  <si>
    <t>5) Add data to tbl_Reservoir in Monitoring Sheet</t>
  </si>
  <si>
    <t>x = range of storage capacity (MCM), y = water level</t>
  </si>
  <si>
    <t>This is for the Reservoir Curves chart to show the top of the spillway</t>
  </si>
  <si>
    <t>Reservoir data</t>
  </si>
  <si>
    <t>Automatic text for the chart titles, generated from the NAME OF RESERVOIR. Ammend if necessary.</t>
  </si>
  <si>
    <t>Formulas used</t>
  </si>
  <si>
    <t>=CONCATENATE(Dam_name, ": Elevation-Capacity Curve")</t>
  </si>
  <si>
    <t>=CONCATENATE(Dam_name, ": Elevation-Area Curve")</t>
  </si>
  <si>
    <t>=CONCATENATE(Dam_name, ": Elevation-Area-Capacity Curves")</t>
  </si>
  <si>
    <t>=CONCATENATE(Dam_name, ": Reservoir Capacity")</t>
  </si>
  <si>
    <t>=CONCATENATE(Dam_name, ": Reservoir Water Area")</t>
  </si>
  <si>
    <t>=CONCATENATE(Dam_name, ": Reservoir Water Level")</t>
  </si>
  <si>
    <t>Reservoir Area (km2)</t>
  </si>
  <si>
    <t>_</t>
  </si>
  <si>
    <t>=ROW()-4</t>
  </si>
  <si>
    <t>=LEFT([@time],10)*1</t>
  </si>
  <si>
    <t>=[@[Surface Water Area (km2)]]</t>
  </si>
  <si>
    <t>Parameter</t>
  </si>
  <si>
    <t>Formula</t>
  </si>
  <si>
    <t>Capacity (m3)</t>
  </si>
  <si>
    <t>=MAX(tbl_Data[Volume (MCM)])</t>
  </si>
  <si>
    <t>=E8*0.5</t>
  </si>
  <si>
    <t>2006-09-22T06:04:00</t>
  </si>
  <si>
    <t>2006</t>
  </si>
  <si>
    <t>Copy - Paste Special - All monitoring data from the Calcs sheet</t>
  </si>
  <si>
    <t>Past Special - Values</t>
  </si>
  <si>
    <t>Dam</t>
  </si>
  <si>
    <t xml:space="preserve">Type: </t>
  </si>
  <si>
    <t xml:space="preserve">Height: </t>
  </si>
  <si>
    <t xml:space="preserve">Length at Crest: </t>
  </si>
  <si>
    <t xml:space="preserve">Top Width: </t>
  </si>
  <si>
    <t>Spillway</t>
  </si>
  <si>
    <t xml:space="preserve">Clear Waterway: </t>
  </si>
  <si>
    <t xml:space="preserve">Designed Capacity: </t>
  </si>
  <si>
    <t xml:space="preserve">Maximum Capacity: </t>
  </si>
  <si>
    <t>Construction period:</t>
  </si>
  <si>
    <t>Outlet</t>
  </si>
  <si>
    <t>Tunnel Diameter:</t>
  </si>
  <si>
    <t xml:space="preserve">Capacity: </t>
  </si>
  <si>
    <t>Irrigation System Command Area &amp; Capacity</t>
  </si>
  <si>
    <t xml:space="preserve">Irrigation System: </t>
  </si>
  <si>
    <t xml:space="preserve">Right Bank Canal: </t>
  </si>
  <si>
    <t xml:space="preserve">Left Bank Canal: </t>
  </si>
  <si>
    <t xml:space="preserve">Total: </t>
  </si>
  <si>
    <t>Notable Events</t>
  </si>
  <si>
    <t>Project cost:</t>
  </si>
  <si>
    <t>6) Copy data to tbl_Monitoring in Calcs sheet</t>
  </si>
  <si>
    <t>7) Check the output data &amp; charts</t>
  </si>
  <si>
    <t>8) Delete any data spikes from monitoring data</t>
  </si>
  <si>
    <t>9) Press Data | Refresh All</t>
  </si>
  <si>
    <t>10) Copy calcs table | Paste Special Unformatted to Export table</t>
  </si>
  <si>
    <t>RESERVOIR NAME</t>
  </si>
  <si>
    <t>Average Annual Releases:</t>
  </si>
  <si>
    <t>https://www.globalwaterwatch.earth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</si>
</sst>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"/>
    <numFmt numFmtId="165" formatCode="#,##0.00\ &quot;m&quot;"/>
    <numFmt numFmtId="166" formatCode="#,##0.000"/>
  </numFmts>
  <fonts count="21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C0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theme="5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D9D9"/>
        <bgColor rgb="FFD9D9D9"/>
      </patternFill>
    </fill>
  </fills>
  <borders count="4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theme="0" tint="-0.499984740745262"/>
      </bottom>
      <diagonal/>
    </border>
    <border>
      <left/>
      <right/>
      <top style="hair">
        <color theme="0" tint="-0.499984740745262"/>
      </top>
      <bottom/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indexed="64"/>
      </top>
      <bottom style="thin">
        <color theme="1"/>
      </bottom>
      <diagonal/>
    </border>
    <border>
      <left style="thick">
        <color theme="1"/>
      </left>
      <right/>
      <top style="thick">
        <color theme="1"/>
      </top>
      <bottom style="thin">
        <color indexed="64"/>
      </bottom>
      <diagonal/>
    </border>
    <border>
      <left/>
      <right/>
      <top style="thick">
        <color theme="1"/>
      </top>
      <bottom style="thin">
        <color indexed="64"/>
      </bottom>
      <diagonal/>
    </border>
    <border>
      <left/>
      <right style="thick">
        <color theme="1"/>
      </right>
      <top style="thick">
        <color theme="1"/>
      </top>
      <bottom style="thin">
        <color indexed="64"/>
      </bottom>
      <diagonal/>
    </border>
    <border>
      <left style="thick">
        <color theme="1"/>
      </left>
      <right/>
      <top style="thin">
        <color indexed="64"/>
      </top>
      <bottom style="thin">
        <color theme="1"/>
      </bottom>
      <diagonal/>
    </border>
    <border>
      <left/>
      <right style="thick">
        <color theme="1"/>
      </right>
      <top style="thin">
        <color indexed="64"/>
      </top>
      <bottom style="thin">
        <color theme="1"/>
      </bottom>
      <diagonal/>
    </border>
    <border>
      <left style="thick">
        <color theme="1"/>
      </left>
      <right/>
      <top/>
      <bottom/>
      <diagonal/>
    </border>
    <border>
      <left/>
      <right style="thick">
        <color theme="1"/>
      </right>
      <top/>
      <bottom/>
      <diagonal/>
    </border>
    <border>
      <left style="thick">
        <color theme="1"/>
      </left>
      <right/>
      <top style="thin">
        <color theme="5"/>
      </top>
      <bottom style="thin">
        <color theme="5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/>
      <right/>
      <top style="hair">
        <color rgb="FF808080"/>
      </top>
      <bottom style="hair">
        <color rgb="FF808080"/>
      </bottom>
      <diagonal/>
    </border>
  </borders>
  <cellStyleXfs count="6">
    <xf numFmtId="0" fontId="0" fillId="0" borderId="0"/>
    <xf numFmtId="0" fontId="10" fillId="0" borderId="0"/>
    <xf numFmtId="0" fontId="14" fillId="0" borderId="0"/>
    <xf numFmtId="0" fontId="9" fillId="0" borderId="0"/>
    <xf numFmtId="0" fontId="8" fillId="0" borderId="0"/>
    <xf numFmtId="0" fontId="20" fillId="0" borderId="0" applyNumberFormat="0" applyFill="0" applyBorder="0" applyAlignment="0" applyProtection="0"/>
  </cellStyleXfs>
  <cellXfs count="12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11" fillId="0" borderId="0" xfId="1" applyFont="1"/>
    <xf numFmtId="0" fontId="10" fillId="0" borderId="0" xfId="1"/>
    <xf numFmtId="0" fontId="10" fillId="2" borderId="0" xfId="1" applyFill="1"/>
    <xf numFmtId="0" fontId="0" fillId="0" borderId="0" xfId="0" applyAlignment="1">
      <alignment horizontal="right" vertical="center" wrapText="1"/>
    </xf>
    <xf numFmtId="0" fontId="13" fillId="3" borderId="1" xfId="0" applyFont="1" applyFill="1" applyBorder="1" applyAlignment="1">
      <alignment horizontal="centerContinuous"/>
    </xf>
    <xf numFmtId="0" fontId="13" fillId="3" borderId="2" xfId="0" applyFont="1" applyFill="1" applyBorder="1" applyAlignment="1">
      <alignment horizontal="centerContinuous"/>
    </xf>
    <xf numFmtId="164" fontId="13" fillId="2" borderId="2" xfId="0" applyNumberFormat="1" applyFont="1" applyFill="1" applyBorder="1" applyAlignment="1">
      <alignment horizontal="centerContinuous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vertical="center"/>
    </xf>
    <xf numFmtId="14" fontId="0" fillId="0" borderId="0" xfId="0" applyNumberFormat="1" applyAlignment="1">
      <alignment horizontal="center" vertical="center" wrapText="1"/>
    </xf>
    <xf numFmtId="14" fontId="0" fillId="0" borderId="0" xfId="0" applyNumberFormat="1"/>
    <xf numFmtId="0" fontId="8" fillId="0" borderId="0" xfId="4"/>
    <xf numFmtId="0" fontId="8" fillId="0" borderId="0" xfId="1" applyFont="1"/>
    <xf numFmtId="164" fontId="0" fillId="0" borderId="0" xfId="0" applyNumberFormat="1" applyAlignment="1">
      <alignment horizontal="center" vertical="center"/>
    </xf>
    <xf numFmtId="3" fontId="0" fillId="2" borderId="3" xfId="0" applyNumberFormat="1" applyFill="1" applyBorder="1" applyAlignment="1">
      <alignment vertical="center"/>
    </xf>
    <xf numFmtId="3" fontId="0" fillId="2" borderId="4" xfId="0" applyNumberFormat="1" applyFill="1" applyBorder="1" applyAlignment="1">
      <alignment vertical="center"/>
    </xf>
    <xf numFmtId="166" fontId="0" fillId="2" borderId="3" xfId="0" applyNumberFormat="1" applyFill="1" applyBorder="1" applyAlignment="1">
      <alignment horizontal="right"/>
    </xf>
    <xf numFmtId="4" fontId="0" fillId="2" borderId="3" xfId="0" applyNumberFormat="1" applyFill="1" applyBorder="1" applyAlignment="1">
      <alignment horizontal="right"/>
    </xf>
    <xf numFmtId="166" fontId="0" fillId="2" borderId="4" xfId="0" applyNumberFormat="1" applyFill="1" applyBorder="1" applyAlignment="1">
      <alignment horizontal="right"/>
    </xf>
    <xf numFmtId="4" fontId="0" fillId="2" borderId="4" xfId="0" applyNumberFormat="1" applyFill="1" applyBorder="1" applyAlignment="1">
      <alignment horizontal="right"/>
    </xf>
    <xf numFmtId="0" fontId="0" fillId="0" borderId="0" xfId="0" pivotButton="1"/>
    <xf numFmtId="164" fontId="0" fillId="0" borderId="0" xfId="0" applyNumberFormat="1"/>
    <xf numFmtId="0" fontId="16" fillId="0" borderId="0" xfId="0" applyFont="1"/>
    <xf numFmtId="0" fontId="7" fillId="0" borderId="0" xfId="1" applyFont="1"/>
    <xf numFmtId="0" fontId="15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5" fillId="0" borderId="5" xfId="0" applyFont="1" applyBorder="1" applyAlignment="1">
      <alignment horizontal="centerContinuous"/>
    </xf>
    <xf numFmtId="0" fontId="13" fillId="0" borderId="6" xfId="0" applyFont="1" applyBorder="1" applyAlignment="1">
      <alignment horizontal="centerContinuous"/>
    </xf>
    <xf numFmtId="0" fontId="0" fillId="0" borderId="7" xfId="0" applyBorder="1" applyAlignment="1">
      <alignment horizontal="centerContinuous"/>
    </xf>
    <xf numFmtId="0" fontId="13" fillId="2" borderId="8" xfId="0" applyFont="1" applyFill="1" applyBorder="1" applyAlignment="1">
      <alignment horizontal="centerContinuous"/>
    </xf>
    <xf numFmtId="164" fontId="13" fillId="2" borderId="9" xfId="0" applyNumberFormat="1" applyFont="1" applyFill="1" applyBorder="1" applyAlignment="1">
      <alignment horizontal="centerContinuous" vertical="center"/>
    </xf>
    <xf numFmtId="164" fontId="0" fillId="0" borderId="10" xfId="0" applyNumberFormat="1" applyBorder="1" applyAlignment="1">
      <alignment horizontal="right" vertical="center" wrapText="1"/>
    </xf>
    <xf numFmtId="164" fontId="0" fillId="0" borderId="0" xfId="0" applyNumberFormat="1" applyAlignment="1">
      <alignment horizontal="right" vertical="center" wrapText="1"/>
    </xf>
    <xf numFmtId="164" fontId="0" fillId="0" borderId="11" xfId="0" applyNumberFormat="1" applyBorder="1" applyAlignment="1">
      <alignment horizontal="right" vertical="center" wrapText="1"/>
    </xf>
    <xf numFmtId="164" fontId="0" fillId="2" borderId="13" xfId="0" applyNumberFormat="1" applyFill="1" applyBorder="1" applyAlignment="1">
      <alignment vertical="center"/>
    </xf>
    <xf numFmtId="164" fontId="0" fillId="2" borderId="15" xfId="0" applyNumberFormat="1" applyFill="1" applyBorder="1" applyAlignment="1">
      <alignment vertical="center"/>
    </xf>
    <xf numFmtId="0" fontId="13" fillId="0" borderId="7" xfId="0" applyFont="1" applyBorder="1" applyAlignment="1">
      <alignment horizontal="centerContinuous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4" fontId="0" fillId="2" borderId="12" xfId="0" applyNumberFormat="1" applyFill="1" applyBorder="1" applyAlignment="1">
      <alignment horizontal="right"/>
    </xf>
    <xf numFmtId="4" fontId="0" fillId="2" borderId="13" xfId="0" applyNumberFormat="1" applyFill="1" applyBorder="1" applyAlignment="1">
      <alignment horizontal="right"/>
    </xf>
    <xf numFmtId="4" fontId="0" fillId="2" borderId="14" xfId="0" applyNumberFormat="1" applyFill="1" applyBorder="1" applyAlignment="1">
      <alignment horizontal="right"/>
    </xf>
    <xf numFmtId="4" fontId="0" fillId="2" borderId="15" xfId="0" applyNumberFormat="1" applyFill="1" applyBorder="1" applyAlignment="1">
      <alignment horizontal="right"/>
    </xf>
    <xf numFmtId="4" fontId="0" fillId="2" borderId="3" xfId="0" applyNumberFormat="1" applyFill="1" applyBorder="1" applyAlignment="1">
      <alignment vertical="center"/>
    </xf>
    <xf numFmtId="4" fontId="0" fillId="2" borderId="4" xfId="0" applyNumberFormat="1" applyFill="1" applyBorder="1" applyAlignment="1">
      <alignment vertical="center"/>
    </xf>
    <xf numFmtId="166" fontId="0" fillId="2" borderId="12" xfId="0" applyNumberFormat="1" applyFill="1" applyBorder="1" applyAlignment="1">
      <alignment vertical="center"/>
    </xf>
    <xf numFmtId="166" fontId="0" fillId="2" borderId="14" xfId="0" applyNumberFormat="1" applyFill="1" applyBorder="1" applyAlignment="1">
      <alignment vertical="center"/>
    </xf>
    <xf numFmtId="0" fontId="6" fillId="0" borderId="0" xfId="1" applyFont="1"/>
    <xf numFmtId="0" fontId="10" fillId="0" borderId="0" xfId="1" applyAlignment="1">
      <alignment horizontal="left" indent="1"/>
    </xf>
    <xf numFmtId="0" fontId="11" fillId="0" borderId="0" xfId="1" quotePrefix="1" applyFont="1" applyAlignment="1">
      <alignment horizontal="left" indent="1"/>
    </xf>
    <xf numFmtId="0" fontId="11" fillId="3" borderId="0" xfId="1" applyFont="1" applyFill="1" applyAlignment="1">
      <alignment vertical="center"/>
    </xf>
    <xf numFmtId="0" fontId="10" fillId="3" borderId="0" xfId="1" applyFill="1"/>
    <xf numFmtId="0" fontId="10" fillId="0" borderId="18" xfId="1" applyBorder="1"/>
    <xf numFmtId="0" fontId="10" fillId="0" borderId="19" xfId="1" applyBorder="1"/>
    <xf numFmtId="0" fontId="13" fillId="3" borderId="20" xfId="0" applyFont="1" applyFill="1" applyBorder="1" applyAlignment="1">
      <alignment horizontal="left" vertical="center"/>
    </xf>
    <xf numFmtId="0" fontId="13" fillId="3" borderId="21" xfId="0" applyFont="1" applyFill="1" applyBorder="1"/>
    <xf numFmtId="0" fontId="13" fillId="3" borderId="22" xfId="0" applyFont="1" applyFill="1" applyBorder="1" applyAlignment="1">
      <alignment horizontal="left" vertical="center"/>
    </xf>
    <xf numFmtId="0" fontId="13" fillId="3" borderId="23" xfId="0" applyFont="1" applyFill="1" applyBorder="1" applyAlignment="1">
      <alignment vertical="center"/>
    </xf>
    <xf numFmtId="0" fontId="10" fillId="0" borderId="24" xfId="1" applyBorder="1"/>
    <xf numFmtId="0" fontId="10" fillId="3" borderId="25" xfId="1" applyFill="1" applyBorder="1"/>
    <xf numFmtId="0" fontId="10" fillId="3" borderId="26" xfId="1" applyFill="1" applyBorder="1"/>
    <xf numFmtId="0" fontId="10" fillId="3" borderId="18" xfId="1" applyFill="1" applyBorder="1"/>
    <xf numFmtId="0" fontId="11" fillId="3" borderId="27" xfId="1" applyFont="1" applyFill="1" applyBorder="1" applyAlignment="1">
      <alignment vertical="center"/>
    </xf>
    <xf numFmtId="0" fontId="13" fillId="3" borderId="20" xfId="0" applyFont="1" applyFill="1" applyBorder="1" applyAlignment="1">
      <alignment horizontal="centerContinuous" vertical="center"/>
    </xf>
    <xf numFmtId="0" fontId="13" fillId="3" borderId="28" xfId="0" applyFont="1" applyFill="1" applyBorder="1" applyAlignment="1">
      <alignment horizontal="centerContinuous" vertical="center"/>
    </xf>
    <xf numFmtId="0" fontId="0" fillId="3" borderId="22" xfId="0" applyFill="1" applyBorder="1" applyAlignment="1">
      <alignment horizontal="centerContinuous"/>
    </xf>
    <xf numFmtId="0" fontId="0" fillId="3" borderId="23" xfId="0" applyFill="1" applyBorder="1" applyAlignment="1">
      <alignment horizontal="centerContinuous"/>
    </xf>
    <xf numFmtId="0" fontId="8" fillId="0" borderId="0" xfId="4" applyAlignment="1">
      <alignment horizontal="center" vertical="center" wrapText="1"/>
    </xf>
    <xf numFmtId="0" fontId="13" fillId="3" borderId="30" xfId="0" applyFont="1" applyFill="1" applyBorder="1" applyAlignment="1">
      <alignment horizontal="left" vertical="center"/>
    </xf>
    <xf numFmtId="0" fontId="13" fillId="3" borderId="29" xfId="0" applyFont="1" applyFill="1" applyBorder="1"/>
    <xf numFmtId="164" fontId="13" fillId="2" borderId="31" xfId="0" applyNumberFormat="1" applyFont="1" applyFill="1" applyBorder="1" applyAlignment="1">
      <alignment horizontal="centerContinuous" vertical="center"/>
    </xf>
    <xf numFmtId="0" fontId="15" fillId="0" borderId="32" xfId="0" applyFont="1" applyBorder="1" applyAlignment="1">
      <alignment horizontal="centerContinuous"/>
    </xf>
    <xf numFmtId="0" fontId="13" fillId="0" borderId="33" xfId="0" applyFont="1" applyBorder="1" applyAlignment="1">
      <alignment horizontal="centerContinuous"/>
    </xf>
    <xf numFmtId="0" fontId="13" fillId="0" borderId="34" xfId="0" applyFont="1" applyBorder="1" applyAlignment="1">
      <alignment horizontal="centerContinuous"/>
    </xf>
    <xf numFmtId="0" fontId="13" fillId="2" borderId="35" xfId="0" applyFont="1" applyFill="1" applyBorder="1" applyAlignment="1">
      <alignment horizontal="centerContinuous"/>
    </xf>
    <xf numFmtId="164" fontId="13" fillId="2" borderId="36" xfId="0" applyNumberFormat="1" applyFont="1" applyFill="1" applyBorder="1" applyAlignment="1">
      <alignment horizontal="centerContinuous" vertical="center"/>
    </xf>
    <xf numFmtId="0" fontId="8" fillId="4" borderId="0" xfId="4" applyFill="1" applyAlignment="1">
      <alignment horizontal="center" vertical="center" wrapText="1"/>
    </xf>
    <xf numFmtId="0" fontId="5" fillId="4" borderId="38" xfId="4" applyFont="1" applyFill="1" applyBorder="1" applyAlignment="1">
      <alignment horizontal="center" vertical="center" wrapText="1"/>
    </xf>
    <xf numFmtId="0" fontId="8" fillId="4" borderId="39" xfId="4" applyFill="1" applyBorder="1"/>
    <xf numFmtId="0" fontId="17" fillId="4" borderId="37" xfId="4" applyFont="1" applyFill="1" applyBorder="1" applyAlignment="1">
      <alignment horizontal="center" vertical="center" wrapText="1"/>
    </xf>
    <xf numFmtId="0" fontId="5" fillId="0" borderId="0" xfId="4" quotePrefix="1" applyFont="1" applyAlignment="1">
      <alignment horizontal="left" indent="1"/>
    </xf>
    <xf numFmtId="0" fontId="5" fillId="0" borderId="0" xfId="4" applyFont="1" applyAlignment="1">
      <alignment horizontal="left" indent="1"/>
    </xf>
    <xf numFmtId="0" fontId="5" fillId="0" borderId="18" xfId="1" applyFont="1" applyBorder="1"/>
    <xf numFmtId="0" fontId="4" fillId="0" borderId="0" xfId="1" quotePrefix="1" applyFont="1" applyAlignment="1">
      <alignment horizontal="left" indent="1"/>
    </xf>
    <xf numFmtId="0" fontId="3" fillId="0" borderId="0" xfId="4" applyFont="1" applyAlignment="1">
      <alignment horizontal="center" vertical="center" wrapText="1"/>
    </xf>
    <xf numFmtId="3" fontId="8" fillId="0" borderId="0" xfId="4" applyNumberFormat="1" applyAlignment="1">
      <alignment horizontal="center" vertical="center"/>
    </xf>
    <xf numFmtId="14" fontId="8" fillId="0" borderId="0" xfId="4" applyNumberFormat="1" applyAlignment="1">
      <alignment horizontal="center"/>
    </xf>
    <xf numFmtId="0" fontId="8" fillId="0" borderId="38" xfId="4" applyBorder="1" applyAlignment="1">
      <alignment horizontal="center"/>
    </xf>
    <xf numFmtId="0" fontId="3" fillId="4" borderId="0" xfId="4" applyFont="1" applyFill="1" applyAlignment="1">
      <alignment horizontal="center" vertical="center" wrapText="1"/>
    </xf>
    <xf numFmtId="0" fontId="8" fillId="0" borderId="0" xfId="4" applyAlignment="1">
      <alignment horizontal="center" vertical="center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centerContinuous" vertical="center"/>
    </xf>
    <xf numFmtId="0" fontId="0" fillId="0" borderId="0" xfId="0" applyAlignment="1">
      <alignment horizontal="centerContinuous" vertical="center"/>
    </xf>
    <xf numFmtId="0" fontId="15" fillId="0" borderId="0" xfId="0" applyFont="1" applyAlignment="1">
      <alignment horizontal="centerContinuous"/>
    </xf>
    <xf numFmtId="0" fontId="11" fillId="0" borderId="16" xfId="1" applyFont="1" applyBorder="1" applyAlignment="1">
      <alignment vertical="center"/>
    </xf>
    <xf numFmtId="0" fontId="11" fillId="3" borderId="16" xfId="1" applyFont="1" applyFill="1" applyBorder="1" applyAlignment="1">
      <alignment vertical="center"/>
    </xf>
    <xf numFmtId="0" fontId="10" fillId="0" borderId="17" xfId="1" applyBorder="1" applyAlignment="1">
      <alignment vertical="center"/>
    </xf>
    <xf numFmtId="0" fontId="2" fillId="0" borderId="0" xfId="1" applyFont="1"/>
    <xf numFmtId="0" fontId="13" fillId="5" borderId="41" xfId="0" applyFont="1" applyFill="1" applyBorder="1" applyAlignment="1">
      <alignment horizontal="centerContinuous"/>
    </xf>
    <xf numFmtId="0" fontId="0" fillId="5" borderId="42" xfId="0" applyFill="1" applyBorder="1" applyAlignment="1">
      <alignment horizontal="center"/>
    </xf>
    <xf numFmtId="0" fontId="0" fillId="0" borderId="40" xfId="0" applyBorder="1" applyAlignment="1">
      <alignment horizontal="center" vertical="center" wrapText="1"/>
    </xf>
    <xf numFmtId="0" fontId="0" fillId="5" borderId="43" xfId="0" applyFill="1" applyBorder="1" applyAlignment="1">
      <alignment horizontal="center"/>
    </xf>
    <xf numFmtId="0" fontId="18" fillId="0" borderId="44" xfId="0" applyFont="1" applyBorder="1" applyAlignment="1">
      <alignment vertical="center"/>
    </xf>
    <xf numFmtId="0" fontId="18" fillId="6" borderId="44" xfId="0" applyFont="1" applyFill="1" applyBorder="1" applyAlignment="1">
      <alignment vertical="center"/>
    </xf>
    <xf numFmtId="0" fontId="18" fillId="6" borderId="44" xfId="0" applyFont="1" applyFill="1" applyBorder="1" applyAlignment="1">
      <alignment horizontal="left" vertical="center"/>
    </xf>
    <xf numFmtId="14" fontId="18" fillId="0" borderId="44" xfId="0" applyNumberFormat="1" applyFont="1" applyBorder="1" applyAlignment="1">
      <alignment horizontal="left" vertical="center"/>
    </xf>
    <xf numFmtId="0" fontId="19" fillId="6" borderId="44" xfId="0" applyFont="1" applyFill="1" applyBorder="1" applyAlignment="1">
      <alignment vertical="center"/>
    </xf>
    <xf numFmtId="165" fontId="18" fillId="0" borderId="44" xfId="0" applyNumberFormat="1" applyFont="1" applyBorder="1" applyAlignment="1">
      <alignment horizontal="left" vertical="center"/>
    </xf>
    <xf numFmtId="165" fontId="19" fillId="6" borderId="44" xfId="0" applyNumberFormat="1" applyFont="1" applyFill="1" applyBorder="1" applyAlignment="1">
      <alignment horizontal="left" vertical="center"/>
    </xf>
    <xf numFmtId="0" fontId="19" fillId="0" borderId="44" xfId="0" applyFont="1" applyBorder="1" applyAlignment="1">
      <alignment vertical="center"/>
    </xf>
    <xf numFmtId="165" fontId="18" fillId="6" borderId="44" xfId="0" applyNumberFormat="1" applyFont="1" applyFill="1" applyBorder="1" applyAlignment="1">
      <alignment horizontal="left" vertical="center"/>
    </xf>
    <xf numFmtId="0" fontId="18" fillId="6" borderId="0" xfId="0" applyFont="1" applyFill="1" applyAlignment="1">
      <alignment vertical="center" wrapText="1"/>
    </xf>
    <xf numFmtId="0" fontId="18" fillId="0" borderId="44" xfId="0" applyFont="1" applyBorder="1" applyAlignment="1">
      <alignment vertical="center" wrapText="1"/>
    </xf>
    <xf numFmtId="0" fontId="20" fillId="0" borderId="44" xfId="5" applyBorder="1" applyAlignment="1">
      <alignment vertical="center"/>
    </xf>
    <xf numFmtId="0" fontId="1" fillId="0" borderId="0" xfId="1" quotePrefix="1" applyFont="1" applyAlignment="1">
      <alignment horizontal="left" indent="1"/>
    </xf>
  </cellXfs>
  <cellStyles count="6">
    <cellStyle name="Hyperlink" xfId="5" builtinId="8"/>
    <cellStyle name="Normal" xfId="0" builtinId="0"/>
    <cellStyle name="Normal 2" xfId="1" xr:uid="{39DBF88D-E9DF-48CF-AD56-8BC5751690AA}"/>
    <cellStyle name="Normal 3" xfId="2" xr:uid="{8397CF27-A4E5-4247-BB54-AABFE8D98E63}"/>
    <cellStyle name="Normal 4" xfId="3" xr:uid="{E21E3C71-86E1-834B-B675-DC8BFC190A3C}"/>
    <cellStyle name="Normal 5" xfId="4" xr:uid="{B4F785DD-CCED-6542-9199-F6B6BB62F17C}"/>
  </cellStyles>
  <dxfs count="43">
    <dxf>
      <numFmt numFmtId="19" formatCode="dd/mm/yyyy"/>
    </dxf>
    <dxf>
      <alignment horizontal="center" vertical="bottom" textRotation="0" wrapText="0" indent="0" justifyLastLine="0" shrinkToFit="0" readingOrder="0"/>
    </dxf>
    <dxf>
      <numFmt numFmtId="164" formatCode="#,##0.0"/>
      <fill>
        <patternFill patternType="solid">
          <fgColor indexed="64"/>
          <bgColor theme="7" tint="0.79998168889431442"/>
        </patternFill>
      </fill>
      <alignment vertical="center" textRotation="0" wrapText="0" indent="0" justifyLastLine="0" shrinkToFit="0" readingOrder="0"/>
      <border diagonalUp="0" diagonalDown="0">
        <left/>
        <right style="medium">
          <color indexed="64"/>
        </right>
        <top style="hair">
          <color indexed="64"/>
        </top>
        <bottom style="hair">
          <color indexed="64"/>
        </bottom>
        <vertical/>
        <horizontal style="hair">
          <color indexed="64"/>
        </horizontal>
      </border>
    </dxf>
    <dxf>
      <numFmt numFmtId="3" formatCode="#,##0"/>
      <fill>
        <patternFill patternType="solid">
          <fgColor indexed="64"/>
          <bgColor theme="7" tint="0.79998168889431442"/>
        </patternFill>
      </fill>
      <alignment vertical="center" textRotation="0" wrapText="0" indent="0" justifyLastLine="0" shrinkToFit="0" readingOrder="0"/>
      <border diagonalUp="0" diagonalDown="0">
        <left/>
        <right/>
        <top style="hair">
          <color indexed="64"/>
        </top>
        <bottom style="hair">
          <color indexed="64"/>
        </bottom>
        <vertical/>
        <horizontal style="hair">
          <color indexed="64"/>
        </horizontal>
      </border>
    </dxf>
    <dxf>
      <numFmt numFmtId="3" formatCode="#,##0"/>
      <fill>
        <patternFill patternType="solid">
          <fgColor indexed="64"/>
          <bgColor theme="7" tint="0.79998168889431442"/>
        </patternFill>
      </fill>
      <alignment vertical="center" textRotation="0" wrapText="0" indent="0" justifyLastLine="0" shrinkToFit="0" readingOrder="0"/>
      <border diagonalUp="0" diagonalDown="0">
        <left/>
        <right/>
        <top style="hair">
          <color indexed="64"/>
        </top>
        <bottom style="hair">
          <color indexed="64"/>
        </bottom>
        <vertical/>
        <horizontal style="hair">
          <color indexed="64"/>
        </horizontal>
      </border>
    </dxf>
    <dxf>
      <numFmt numFmtId="4" formatCode="#,##0.00"/>
      <fill>
        <patternFill patternType="solid">
          <fgColor indexed="64"/>
          <bgColor theme="7" tint="0.79998168889431442"/>
        </patternFill>
      </fill>
      <alignment vertical="center" textRotation="0" wrapText="0" indent="0" justifyLastLine="0" shrinkToFit="0" readingOrder="0"/>
      <border diagonalUp="0" diagonalDown="0">
        <left/>
        <right/>
        <top style="hair">
          <color indexed="64"/>
        </top>
        <bottom style="hair">
          <color indexed="64"/>
        </bottom>
        <vertical/>
        <horizontal style="hair">
          <color indexed="64"/>
        </horizontal>
      </border>
    </dxf>
    <dxf>
      <numFmt numFmtId="166" formatCode="#,##0.000"/>
      <fill>
        <patternFill patternType="solid">
          <fgColor indexed="64"/>
          <bgColor theme="7" tint="0.79998168889431442"/>
        </patternFill>
      </fill>
      <alignment vertical="center" textRotation="0" wrapText="0" indent="0" justifyLastLine="0" shrinkToFit="0" readingOrder="0"/>
      <border diagonalUp="0" diagonalDown="0">
        <left style="medium">
          <color indexed="64"/>
        </left>
        <right/>
        <top style="hair">
          <color indexed="64"/>
        </top>
        <bottom style="hair">
          <color indexed="64"/>
        </bottom>
        <vertical/>
        <horizontal style="hair">
          <color indexed="64"/>
        </horizontal>
      </border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ck">
          <color theme="1"/>
        </right>
        <top/>
        <bottom/>
        <vertical/>
        <horizontal/>
      </border>
    </dxf>
    <dxf>
      <numFmt numFmtId="19" formatCode="dd/mm/yyyy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bottom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bottom" textRotation="0" wrapText="0" relativeIndent="1" justifyLastLine="0" shrinkToFit="0" readingOrder="0"/>
    </dxf>
    <dxf>
      <numFmt numFmtId="0" formatCode="General"/>
      <alignment horizontal="center" textRotation="0" indent="0" justifyLastLine="0" shrinkToFit="0" readingOrder="0"/>
      <border diagonalUp="0" diagonalDown="0" outline="0">
        <left/>
        <right style="thick">
          <color theme="1"/>
        </right>
      </border>
    </dxf>
    <dxf>
      <numFmt numFmtId="19" formatCode="dd/mm/yyyy"/>
      <alignment horizontal="center" textRotation="0" indent="0" justifyLastLine="0" shrinkToFit="0" readingOrder="0"/>
    </dxf>
    <dxf>
      <numFmt numFmtId="3" formatCode="#,##0"/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5"/>
        </patternFill>
      </fill>
      <border diagonalUp="0" diagonalDown="0">
        <left style="thick">
          <color theme="1"/>
        </left>
        <right/>
        <top style="thin">
          <color theme="5"/>
        </top>
        <bottom style="thin">
          <color theme="5"/>
        </bottom>
        <vertical/>
        <horizontal style="thin">
          <color theme="5"/>
        </horizontal>
      </border>
    </dxf>
    <dxf>
      <alignment horizontal="general" vertical="center" textRotation="0" wrapText="1" indent="0" justifyLastLine="0" shrinkToFit="0" readingOrder="0"/>
    </dxf>
    <dxf>
      <numFmt numFmtId="4" formatCode="#,##0.00"/>
      <fill>
        <patternFill patternType="solid">
          <fgColor indexed="64"/>
          <bgColor theme="7" tint="0.79998168889431442"/>
        </patternFill>
      </fill>
      <alignment horizontal="right" vertical="bottom" textRotation="0" wrapText="0" indent="0" justifyLastLine="0" shrinkToFit="0" readingOrder="0"/>
      <border diagonalUp="0" diagonalDown="0">
        <left/>
        <right style="medium">
          <color indexed="64"/>
        </right>
        <top style="hair">
          <color indexed="64"/>
        </top>
        <bottom style="hair">
          <color indexed="64"/>
        </bottom>
        <vertical/>
        <horizontal style="hair">
          <color indexed="64"/>
        </horizontal>
      </border>
      <protection locked="1" hidden="0"/>
    </dxf>
    <dxf>
      <numFmt numFmtId="4" formatCode="#,##0.00"/>
      <fill>
        <patternFill patternType="solid">
          <fgColor indexed="64"/>
          <bgColor theme="7" tint="0.79998168889431442"/>
        </patternFill>
      </fill>
      <alignment horizontal="right" vertical="bottom" textRotation="0" wrapText="0" indent="0" justifyLastLine="0" shrinkToFit="0" readingOrder="0"/>
      <border diagonalUp="0" diagonalDown="0">
        <left/>
        <right/>
        <top style="hair">
          <color indexed="64"/>
        </top>
        <bottom style="hair">
          <color indexed="64"/>
        </bottom>
        <vertical/>
        <horizontal style="hair">
          <color indexed="64"/>
        </horizontal>
      </border>
      <protection locked="1" hidden="0"/>
    </dxf>
    <dxf>
      <numFmt numFmtId="166" formatCode="#,##0.000"/>
      <fill>
        <patternFill patternType="solid">
          <fgColor indexed="64"/>
          <bgColor theme="7" tint="0.79998168889431442"/>
        </patternFill>
      </fill>
      <alignment horizontal="right" vertical="bottom" textRotation="0" wrapText="0" indent="0" justifyLastLine="0" shrinkToFit="0" readingOrder="0"/>
      <border diagonalUp="0" diagonalDown="0">
        <left/>
        <right/>
        <top style="hair">
          <color indexed="64"/>
        </top>
        <bottom style="hair">
          <color indexed="64"/>
        </bottom>
        <vertical/>
        <horizontal style="hair">
          <color indexed="64"/>
        </horizontal>
      </border>
      <protection locked="1" hidden="0"/>
    </dxf>
    <dxf>
      <numFmt numFmtId="4" formatCode="#,##0.00"/>
      <fill>
        <patternFill patternType="solid">
          <fgColor indexed="64"/>
          <bgColor theme="7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medium">
          <color indexed="64"/>
        </left>
        <right/>
        <top style="hair">
          <color indexed="64"/>
        </top>
        <bottom style="hair">
          <color indexed="64"/>
        </bottom>
        <vertical/>
        <horizontal style="hair">
          <color indexed="64"/>
        </horizontal>
      </border>
      <protection locked="1" hidden="0"/>
    </dxf>
    <dxf>
      <numFmt numFmtId="3" formatCode="#,##0"/>
      <alignment horizontal="center" textRotation="0" indent="0" justifyLastLine="0" shrinkToFit="0" readingOrder="0"/>
      <protection locked="1" hidden="0"/>
    </dxf>
    <dxf>
      <numFmt numFmtId="3" formatCode="#,##0"/>
      <alignment horizontal="center" textRotation="0" indent="0" justifyLastLine="0" shrinkToFit="0" readingOrder="0"/>
      <protection locked="1" hidden="0"/>
    </dxf>
    <dxf>
      <numFmt numFmtId="3" formatCode="#,##0"/>
      <alignment horizontal="center" textRotation="0" indent="0" justifyLastLine="0" shrinkToFit="0" readingOrder="0"/>
      <protection locked="1" hidden="0"/>
    </dxf>
    <dxf>
      <fill>
        <patternFill patternType="solid">
          <fgColor theme="0" tint="-0.14999847407452621"/>
          <bgColor theme="0" tint="-0.14999847407452621"/>
        </patternFill>
      </fill>
      <alignment horizontal="center" vertical="bottom" textRotation="0" wrapText="0" indent="0" justifyLastLine="0" shrinkToFit="0" readingOrder="0"/>
      <protection locked="1" hidden="0"/>
    </dxf>
    <dxf>
      <fill>
        <patternFill patternType="solid">
          <fgColor indexed="64"/>
          <bgColor rgb="FFFFF2CC"/>
        </patternFill>
      </fill>
      <alignment horizontal="center" textRotation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hair">
          <color indexed="64"/>
        </top>
        <bottom style="hair">
          <color indexed="64"/>
        </bottom>
        <vertical/>
        <horizontal style="hair">
          <color indexed="64"/>
        </horizontal>
      </border>
      <protection locked="1" hidden="0"/>
    </dxf>
    <dxf>
      <protection locked="1" hidden="0"/>
    </dxf>
    <dxf>
      <alignment horizontal="center" vertical="center" textRotation="0" wrapText="1" indent="0" justifyLastLine="0" shrinkToFit="0" readingOrder="0"/>
      <protection locked="1" hidden="0"/>
    </dxf>
    <dxf>
      <alignment vertical="center" textRotation="0" indent="0" justifyLastLine="0" shrinkToFit="0" readingOrder="0"/>
      <border diagonalUp="0" diagonalDown="0" outline="0">
        <left/>
        <right/>
        <top style="hair">
          <color theme="0" tint="-0.499984740745262"/>
        </top>
        <bottom style="hair">
          <color theme="0" tint="-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alignment vertical="center" textRotation="0" indent="0" justifyLastLine="0" shrinkToFit="0" readingOrder="0"/>
      <border diagonalUp="0" diagonalDown="0" outline="0">
        <left/>
        <right/>
        <top style="hair">
          <color theme="0" tint="-0.499984740745262"/>
        </top>
        <bottom style="hair">
          <color theme="0" tint="-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border>
        <top style="hair">
          <color theme="0" tint="-0.499984740745262"/>
        </top>
      </border>
    </dxf>
    <dxf>
      <border diagonalUp="0" diagonalDown="0">
        <left/>
        <right/>
        <top style="thin">
          <color theme="1" tint="0.499984740745262"/>
        </top>
        <bottom/>
      </border>
    </dxf>
    <dxf>
      <alignment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vertical="center" textRotation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FF2CC"/>
      <color rgb="FF4472C4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chartsheet" Target="chartsheets/sheet1.xml"/><Relationship Id="rId7" Type="http://schemas.openxmlformats.org/officeDocument/2006/relationships/worksheet" Target="worksheets/sheet6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4.xml"/><Relationship Id="rId10" Type="http://schemas.openxmlformats.org/officeDocument/2006/relationships/styles" Target="styles.xml"/><Relationship Id="rId4" Type="http://schemas.openxmlformats.org/officeDocument/2006/relationships/worksheet" Target="worksheets/sheet3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Info!$C$50</c:f>
          <c:strCache>
            <c:ptCount val="1"/>
            <c:pt idx="0">
              <c:v>RESERVOIR NAME: Elevation-Capacity Curve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Data!$H$4</c:f>
              <c:strCache>
                <c:ptCount val="1"/>
                <c:pt idx="0">
                  <c:v>Volume (MCM)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bg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Data!$C$5:$C$6</c:f>
              <c:numCache>
                <c:formatCode>General</c:formatCode>
                <c:ptCount val="2"/>
                <c:pt idx="0">
                  <c:v>47</c:v>
                </c:pt>
                <c:pt idx="1">
                  <c:v>48</c:v>
                </c:pt>
              </c:numCache>
            </c:numRef>
          </c:xVal>
          <c:yVal>
            <c:numRef>
              <c:f>Data!$H$5:$H$6</c:f>
              <c:numCache>
                <c:formatCode>#,##0.000</c:formatCode>
                <c:ptCount val="2"/>
                <c:pt idx="0">
                  <c:v>0</c:v>
                </c:pt>
                <c:pt idx="1">
                  <c:v>2.7000000000000001E-3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74-44FC-9F48-701457C830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3586520"/>
        <c:axId val="623583896"/>
      </c:scatterChart>
      <c:valAx>
        <c:axId val="623586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400" b="1"/>
                  <a:t>SRTM Elevation</a:t>
                </a:r>
                <a:r>
                  <a:rPr lang="en-GB" sz="1400" b="1" baseline="0"/>
                  <a:t> (m)</a:t>
                </a:r>
                <a:endParaRPr lang="en-GB" sz="1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3583896"/>
        <c:crosses val="autoZero"/>
        <c:crossBetween val="midCat"/>
      </c:valAx>
      <c:valAx>
        <c:axId val="62358389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400" b="1"/>
                  <a:t>Volume</a:t>
                </a:r>
                <a:r>
                  <a:rPr lang="en-GB" sz="1400" b="1" baseline="0"/>
                  <a:t> (MCM)</a:t>
                </a:r>
                <a:endParaRPr lang="en-GB" sz="1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35865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Info!$C$51</c:f>
          <c:strCache>
            <c:ptCount val="1"/>
            <c:pt idx="0">
              <c:v>RESERVOIR NAME: Elevation-Area Curve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Data!$G$4</c:f>
              <c:strCache>
                <c:ptCount val="1"/>
                <c:pt idx="0">
                  <c:v>Area (km2)</c:v>
                </c:pt>
              </c:strCache>
            </c:strRef>
          </c:tx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bg1"/>
              </a:solidFill>
              <a:ln w="9525">
                <a:solidFill>
                  <a:srgbClr val="C00000"/>
                </a:solidFill>
              </a:ln>
              <a:effectLst/>
            </c:spPr>
          </c:marker>
          <c:xVal>
            <c:numRef>
              <c:f>Data!$C$5:$C$6</c:f>
              <c:numCache>
                <c:formatCode>General</c:formatCode>
                <c:ptCount val="2"/>
                <c:pt idx="0">
                  <c:v>47</c:v>
                </c:pt>
                <c:pt idx="1">
                  <c:v>48</c:v>
                </c:pt>
              </c:numCache>
            </c:numRef>
          </c:xVal>
          <c:yVal>
            <c:numRef>
              <c:f>Data!$G$5:$G$6</c:f>
              <c:numCache>
                <c:formatCode>#,##0.00</c:formatCode>
                <c:ptCount val="2"/>
                <c:pt idx="0">
                  <c:v>0</c:v>
                </c:pt>
                <c:pt idx="1">
                  <c:v>2.7000000000000001E-3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4BC-493D-8B1D-1C0C000518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3586520"/>
        <c:axId val="623583896"/>
      </c:scatterChart>
      <c:valAx>
        <c:axId val="623586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400" b="1" baseline="0"/>
                  <a:t>SRTM Elevation (m)</a:t>
                </a:r>
                <a:endParaRPr lang="en-GB" sz="1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3583896"/>
        <c:crosses val="autoZero"/>
        <c:crossBetween val="midCat"/>
      </c:valAx>
      <c:valAx>
        <c:axId val="62358389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400" b="1"/>
                  <a:t>Area</a:t>
                </a:r>
                <a:r>
                  <a:rPr lang="en-GB" sz="1400" b="1" baseline="0"/>
                  <a:t> (Km2)</a:t>
                </a:r>
                <a:endParaRPr lang="en-GB" sz="1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35865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Info!$C$52</c:f>
          <c:strCache>
            <c:ptCount val="1"/>
            <c:pt idx="0">
              <c:v>RESERVOIR NAME: Elevation-Area-Capacity Curves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2"/>
          <c:order val="0"/>
          <c:tx>
            <c:v>Spillway</c:v>
          </c:tx>
          <c:spPr>
            <a:ln w="1905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fld id="{CD9F2C80-44A6-8144-BAB8-9A23AC080021}" type="CELLRANGE">
                      <a:rPr lang="en-US"/>
                      <a:pPr/>
                      <a:t>[CELLRANGE]</a:t>
                    </a:fld>
                    <a:endParaRPr lang="en-001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C4A4-4DA9-B5F0-13CE7EEF6D0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4E360BD9-7E0E-424E-816E-606934C97647}" type="CELLRANGE">
                      <a:rPr lang="en-001"/>
                      <a:pPr/>
                      <a:t>[CELLRANGE]</a:t>
                    </a:fld>
                    <a:endParaRPr lang="en-001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C4A4-4DA9-B5F0-13CE7EEF6D0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A900B67E-237D-4EAE-BAB0-74F2B0491C18}" type="CELLRANGE">
                      <a:rPr lang="en-001"/>
                      <a:pPr/>
                      <a:t>[CELLRANGE]</a:t>
                    </a:fld>
                    <a:endParaRPr lang="en-001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C4A4-4DA9-B5F0-13CE7EEF6D00}"/>
                </c:ext>
              </c:extLst>
            </c:dLbl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Info!$E$6:$E$8</c:f>
              <c:numCache>
                <c:formatCode>General</c:formatCode>
                <c:ptCount val="3"/>
                <c:pt idx="0">
                  <c:v>0</c:v>
                </c:pt>
                <c:pt idx="1">
                  <c:v>1.3500000000000001E-3</c:v>
                </c:pt>
                <c:pt idx="2">
                  <c:v>2.7000000000000001E-3</c:v>
                </c:pt>
              </c:numCache>
            </c:numRef>
          </c:xVal>
          <c:yVal>
            <c:numRef>
              <c:f>Info!$F$6:$F$8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yVal>
          <c:smooth val="1"/>
          <c:extLst>
            <c:ext xmlns:c15="http://schemas.microsoft.com/office/drawing/2012/chart" uri="{02D57815-91ED-43cb-92C2-25804820EDAC}">
              <c15:datalabelsRange>
                <c15:f>Info!$G$6:$G$9</c15:f>
                <c15:dlblRangeCache>
                  <c:ptCount val="4"/>
                  <c:pt idx="0">
                    <c:v> </c:v>
                  </c:pt>
                  <c:pt idx="1">
                    <c:v>Estimated Top of Spillway (1m)</c:v>
                  </c:pt>
                  <c:pt idx="2">
                    <c:v> 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3-C4A4-4DA9-B5F0-13CE7EEF6D00}"/>
            </c:ext>
          </c:extLst>
        </c:ser>
        <c:ser>
          <c:idx val="1"/>
          <c:order val="2"/>
          <c:tx>
            <c:strRef>
              <c:f>Data!$H$4</c:f>
              <c:strCache>
                <c:ptCount val="1"/>
                <c:pt idx="0">
                  <c:v>Volume (MCM)</c:v>
                </c:pt>
              </c:strCache>
            </c:strRef>
          </c:tx>
          <c:spPr>
            <a:ln w="19050" cap="rnd">
              <a:solidFill>
                <a:srgbClr val="00206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bg1"/>
              </a:solidFill>
              <a:ln w="9525">
                <a:solidFill>
                  <a:srgbClr val="002060"/>
                </a:solidFill>
              </a:ln>
              <a:effectLst/>
            </c:spPr>
          </c:marker>
          <c:xVal>
            <c:numRef>
              <c:f>Data!$H$5:$H$6</c:f>
              <c:numCache>
                <c:formatCode>#,##0.000</c:formatCode>
                <c:ptCount val="2"/>
                <c:pt idx="0">
                  <c:v>0</c:v>
                </c:pt>
                <c:pt idx="1">
                  <c:v>2.7000000000000001E-3</c:v>
                </c:pt>
              </c:numCache>
            </c:numRef>
          </c:xVal>
          <c:yVal>
            <c:numRef>
              <c:f>Data!$C$5:$C$6</c:f>
              <c:numCache>
                <c:formatCode>General</c:formatCode>
                <c:ptCount val="2"/>
                <c:pt idx="0">
                  <c:v>47</c:v>
                </c:pt>
                <c:pt idx="1">
                  <c:v>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C4A4-4DA9-B5F0-13CE7EEF6D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3586520"/>
        <c:axId val="623583896"/>
      </c:scatterChart>
      <c:scatterChart>
        <c:scatterStyle val="smoothMarker"/>
        <c:varyColors val="0"/>
        <c:ser>
          <c:idx val="0"/>
          <c:order val="1"/>
          <c:tx>
            <c:strRef>
              <c:f>Data!$G$4</c:f>
              <c:strCache>
                <c:ptCount val="1"/>
                <c:pt idx="0">
                  <c:v>Area (km2)</c:v>
                </c:pt>
              </c:strCache>
            </c:strRef>
          </c:tx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bg1"/>
              </a:solidFill>
              <a:ln w="9525">
                <a:solidFill>
                  <a:srgbClr val="C00000"/>
                </a:solidFill>
              </a:ln>
              <a:effectLst/>
            </c:spPr>
          </c:marker>
          <c:xVal>
            <c:numRef>
              <c:f>Data!$G$5:$G$6</c:f>
              <c:numCache>
                <c:formatCode>#,##0.00</c:formatCode>
                <c:ptCount val="2"/>
                <c:pt idx="0">
                  <c:v>0</c:v>
                </c:pt>
                <c:pt idx="1">
                  <c:v>2.7000000000000001E-3</c:v>
                </c:pt>
              </c:numCache>
            </c:numRef>
          </c:xVal>
          <c:yVal>
            <c:numRef>
              <c:f>Data!$C$5:$C$6</c:f>
              <c:numCache>
                <c:formatCode>General</c:formatCode>
                <c:ptCount val="2"/>
                <c:pt idx="0">
                  <c:v>47</c:v>
                </c:pt>
                <c:pt idx="1">
                  <c:v>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C4A4-4DA9-B5F0-13CE7EEF6D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8080136"/>
        <c:axId val="708088992"/>
      </c:scatterChart>
      <c:valAx>
        <c:axId val="623586520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400" b="1" baseline="0"/>
                  <a:t>Estimated Storage Capacity (MCM)</a:t>
                </a:r>
                <a:endParaRPr lang="en-GB" sz="1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3583896"/>
        <c:crosses val="autoZero"/>
        <c:crossBetween val="midCat"/>
      </c:valAx>
      <c:valAx>
        <c:axId val="623583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400" b="1" baseline="0"/>
                  <a:t>SRTM Elevation (m)</a:t>
                </a:r>
                <a:endParaRPr lang="en-GB" sz="1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3586520"/>
        <c:crosses val="autoZero"/>
        <c:crossBetween val="midCat"/>
      </c:valAx>
      <c:valAx>
        <c:axId val="708088992"/>
        <c:scaling>
          <c:orientation val="minMax"/>
        </c:scaling>
        <c:delete val="0"/>
        <c:axPos val="r"/>
        <c:numFmt formatCode="#,##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8080136"/>
        <c:crosses val="autoZero"/>
        <c:crossBetween val="midCat"/>
      </c:valAx>
      <c:valAx>
        <c:axId val="708080136"/>
        <c:scaling>
          <c:orientation val="maxMin"/>
          <c:min val="0"/>
        </c:scaling>
        <c:delete val="0"/>
        <c:axPos val="t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400" b="1"/>
                  <a:t>Estimated</a:t>
                </a:r>
                <a:r>
                  <a:rPr lang="en-GB" sz="1400" b="1" baseline="0"/>
                  <a:t> Area (Km</a:t>
                </a:r>
                <a:r>
                  <a:rPr lang="en-GB" sz="1400" b="1" baseline="30000"/>
                  <a:t>2</a:t>
                </a:r>
                <a:r>
                  <a:rPr lang="en-GB" sz="1400" b="1" baseline="0"/>
                  <a:t>)</a:t>
                </a:r>
                <a:endParaRPr lang="en-GB" sz="1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8088992"/>
        <c:crosses val="max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Info!$C$53</c:f>
          <c:strCache>
            <c:ptCount val="1"/>
            <c:pt idx="0">
              <c:v>RESERVOIR NAME: Reservoir Capacity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Calcs!$E$4</c:f>
              <c:strCache>
                <c:ptCount val="1"/>
                <c:pt idx="0">
                  <c:v>Volume (MCM)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9525">
                <a:solidFill>
                  <a:srgbClr val="002060"/>
                </a:solidFill>
              </a:ln>
              <a:effectLst/>
            </c:spPr>
          </c:marker>
          <c:cat>
            <c:numRef>
              <c:f>Calcs!$C$5:$C$6</c:f>
              <c:numCache>
                <c:formatCode>m/d/yyyy</c:formatCode>
                <c:ptCount val="2"/>
                <c:pt idx="0">
                  <c:v>38966</c:v>
                </c:pt>
                <c:pt idx="1">
                  <c:v>38982</c:v>
                </c:pt>
              </c:numCache>
            </c:numRef>
          </c:cat>
          <c:val>
            <c:numRef>
              <c:f>Calcs!$E$5:$E$6</c:f>
              <c:numCache>
                <c:formatCode>#,##0.000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035-E54D-9BFF-9978C9CEB6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41235344"/>
        <c:axId val="641237056"/>
      </c:lineChart>
      <c:dateAx>
        <c:axId val="641235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m\-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1237056"/>
        <c:crosses val="autoZero"/>
        <c:auto val="0"/>
        <c:lblOffset val="100"/>
        <c:baseTimeUnit val="days"/>
        <c:majorUnit val="1"/>
        <c:majorTimeUnit val="years"/>
        <c:minorUnit val="1"/>
        <c:minorTimeUnit val="months"/>
      </c:dateAx>
      <c:valAx>
        <c:axId val="641237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400" b="1"/>
                  <a:t>Reservoir Capacity</a:t>
                </a:r>
                <a:r>
                  <a:rPr lang="en-GB" sz="1400" b="1" baseline="0"/>
                  <a:t> (MCM)</a:t>
                </a:r>
                <a:endParaRPr lang="en-GB" sz="1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12353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Info!$C$54</c:f>
          <c:strCache>
            <c:ptCount val="1"/>
            <c:pt idx="0">
              <c:v>RESERVOIR NAME: Reservoir Water Area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Calcs!$D$4</c:f>
              <c:strCache>
                <c:ptCount val="1"/>
                <c:pt idx="0">
                  <c:v>Area (km2)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bg1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Calcs!$C$5:$C$6</c:f>
              <c:numCache>
                <c:formatCode>m/d/yyyy</c:formatCode>
                <c:ptCount val="2"/>
                <c:pt idx="0">
                  <c:v>38966</c:v>
                </c:pt>
                <c:pt idx="1">
                  <c:v>38982</c:v>
                </c:pt>
              </c:numCache>
            </c:numRef>
          </c:cat>
          <c:val>
            <c:numRef>
              <c:f>Calcs!$D$5:$D$6</c:f>
              <c:numCache>
                <c:formatCode>General</c:formatCode>
                <c:ptCount val="2"/>
                <c:pt idx="0">
                  <c:v>15.42</c:v>
                </c:pt>
                <c:pt idx="1">
                  <c:v>14.6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992-734C-BFDB-6F15241478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41235344"/>
        <c:axId val="641237056"/>
      </c:lineChart>
      <c:dateAx>
        <c:axId val="641235344"/>
        <c:scaling>
          <c:orientation val="minMax"/>
          <c:max val="46023"/>
          <c:min val="3871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m\-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1237056"/>
        <c:crosses val="autoZero"/>
        <c:auto val="0"/>
        <c:lblOffset val="100"/>
        <c:baseTimeUnit val="days"/>
        <c:majorUnit val="1"/>
        <c:majorTimeUnit val="years"/>
        <c:minorUnit val="1"/>
        <c:minorTimeUnit val="months"/>
      </c:dateAx>
      <c:valAx>
        <c:axId val="641237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400" b="1"/>
                  <a:t>Reservoir Surface Water</a:t>
                </a:r>
                <a:r>
                  <a:rPr lang="en-GB" sz="1400" b="1" baseline="0"/>
                  <a:t> </a:t>
                </a:r>
                <a:r>
                  <a:rPr lang="en-GB" sz="1400" b="1"/>
                  <a:t>Area</a:t>
                </a:r>
                <a:r>
                  <a:rPr lang="en-GB" sz="1400" b="1" baseline="0"/>
                  <a:t> (km2)</a:t>
                </a:r>
                <a:endParaRPr lang="en-GB" sz="1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12353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Info!$C$55</c:f>
          <c:strCache>
            <c:ptCount val="1"/>
            <c:pt idx="0">
              <c:v>RESERVOIR NAME: Reservoir Water Level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Calcs!$F$4</c:f>
              <c:strCache>
                <c:ptCount val="1"/>
                <c:pt idx="0">
                  <c:v>Elevation (SRTM30-m)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triangle"/>
            <c:size val="5"/>
            <c:spPr>
              <a:solidFill>
                <a:schemeClr val="bg1"/>
              </a:solidFill>
              <a:ln w="9525">
                <a:solidFill>
                  <a:srgbClr val="00B050"/>
                </a:solidFill>
              </a:ln>
              <a:effectLst/>
            </c:spPr>
          </c:marker>
          <c:cat>
            <c:numRef>
              <c:f>Calcs!$C$5:$C$6</c:f>
              <c:numCache>
                <c:formatCode>m/d/yyyy</c:formatCode>
                <c:ptCount val="2"/>
                <c:pt idx="0">
                  <c:v>38966</c:v>
                </c:pt>
                <c:pt idx="1">
                  <c:v>38982</c:v>
                </c:pt>
              </c:numCache>
            </c:numRef>
          </c:cat>
          <c:val>
            <c:numRef>
              <c:f>Calcs!$F$5:$F$6</c:f>
              <c:numCache>
                <c:formatCode>#,##0.00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93-A441-978F-683478F126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41235344"/>
        <c:axId val="641237056"/>
      </c:lineChart>
      <c:dateAx>
        <c:axId val="641235344"/>
        <c:scaling>
          <c:orientation val="minMax"/>
          <c:max val="46023"/>
          <c:min val="3871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m\-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1237056"/>
        <c:crosses val="autoZero"/>
        <c:auto val="0"/>
        <c:lblOffset val="100"/>
        <c:baseTimeUnit val="days"/>
        <c:majorUnit val="1"/>
        <c:majorTimeUnit val="years"/>
        <c:minorUnit val="1"/>
        <c:minorTimeUnit val="months"/>
      </c:dateAx>
      <c:valAx>
        <c:axId val="641237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400" b="1"/>
                  <a:t> Reservoir  Water Level</a:t>
                </a:r>
                <a:r>
                  <a:rPr lang="en-GB" sz="1400" b="1" baseline="0"/>
                  <a:t> Elevation (</a:t>
                </a:r>
                <a:r>
                  <a:rPr lang="en-GB" sz="14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SRTM30-m</a:t>
                </a:r>
                <a:r>
                  <a:rPr lang="en-GB" sz="1400" b="1" baseline="0"/>
                  <a:t>)</a:t>
                </a:r>
                <a:endParaRPr lang="en-GB" sz="1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12353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Info!$C$53</c:f>
          <c:strCache>
            <c:ptCount val="1"/>
            <c:pt idx="0">
              <c:v>RESERVOIR NAME: Reservoir Capacity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Calcs!$H$4</c:f>
              <c:strCache>
                <c:ptCount val="1"/>
                <c:pt idx="0">
                  <c:v>Volume (Acre-ft)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9525">
                <a:solidFill>
                  <a:srgbClr val="002060"/>
                </a:solidFill>
              </a:ln>
              <a:effectLst/>
            </c:spPr>
          </c:marker>
          <c:cat>
            <c:numRef>
              <c:f>Calcs!$C$5:$C$6</c:f>
              <c:numCache>
                <c:formatCode>m/d/yyyy</c:formatCode>
                <c:ptCount val="2"/>
                <c:pt idx="0">
                  <c:v>38966</c:v>
                </c:pt>
                <c:pt idx="1">
                  <c:v>38982</c:v>
                </c:pt>
              </c:numCache>
            </c:numRef>
          </c:cat>
          <c:val>
            <c:numRef>
              <c:f>Calcs!$H$5:$H$6</c:f>
              <c:numCache>
                <c:formatCode>#,##0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427-054A-A634-BD1012C56C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41235344"/>
        <c:axId val="641237056"/>
      </c:lineChart>
      <c:dateAx>
        <c:axId val="641235344"/>
        <c:scaling>
          <c:orientation val="minMax"/>
          <c:max val="46023"/>
          <c:min val="3871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m\-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1237056"/>
        <c:crosses val="autoZero"/>
        <c:auto val="0"/>
        <c:lblOffset val="100"/>
        <c:baseTimeUnit val="days"/>
        <c:majorUnit val="1"/>
        <c:majorTimeUnit val="years"/>
        <c:minorUnit val="1"/>
        <c:minorTimeUnit val="months"/>
      </c:dateAx>
      <c:valAx>
        <c:axId val="641237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400" b="1"/>
                  <a:t>Reservoir Capacity</a:t>
                </a:r>
                <a:r>
                  <a:rPr lang="en-GB" sz="1400" b="1" baseline="0"/>
                  <a:t> (acre-ft)</a:t>
                </a:r>
                <a:endParaRPr lang="en-GB" sz="1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12353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Info!$C$54</c:f>
          <c:strCache>
            <c:ptCount val="1"/>
            <c:pt idx="0">
              <c:v>RESERVOIR NAME: Reservoir Water Area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Calcs!$G$4</c:f>
              <c:strCache>
                <c:ptCount val="1"/>
                <c:pt idx="0">
                  <c:v>Area (Acre)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bg1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Calcs!$C$5:$C$6</c:f>
              <c:numCache>
                <c:formatCode>m/d/yyyy</c:formatCode>
                <c:ptCount val="2"/>
                <c:pt idx="0">
                  <c:v>38966</c:v>
                </c:pt>
                <c:pt idx="1">
                  <c:v>38982</c:v>
                </c:pt>
              </c:numCache>
            </c:numRef>
          </c:cat>
          <c:val>
            <c:numRef>
              <c:f>Calcs!$G$5:$G$6</c:f>
              <c:numCache>
                <c:formatCode>#,##0</c:formatCode>
                <c:ptCount val="2"/>
                <c:pt idx="0">
                  <c:v>3810.3649822236894</c:v>
                </c:pt>
                <c:pt idx="1">
                  <c:v>3607.7385694206137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07-8E4F-BD85-91C4A9C57C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41235344"/>
        <c:axId val="641237056"/>
      </c:lineChart>
      <c:dateAx>
        <c:axId val="641235344"/>
        <c:scaling>
          <c:orientation val="minMax"/>
          <c:max val="46023"/>
          <c:min val="3871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m\-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1237056"/>
        <c:crosses val="autoZero"/>
        <c:auto val="0"/>
        <c:lblOffset val="100"/>
        <c:baseTimeUnit val="days"/>
        <c:majorUnit val="1"/>
        <c:majorTimeUnit val="years"/>
        <c:minorUnit val="1"/>
        <c:minorTimeUnit val="months"/>
      </c:dateAx>
      <c:valAx>
        <c:axId val="641237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400" b="1"/>
                  <a:t>Reservoir Surface Water</a:t>
                </a:r>
                <a:r>
                  <a:rPr lang="en-GB" sz="1400" b="1" baseline="0"/>
                  <a:t> </a:t>
                </a:r>
                <a:r>
                  <a:rPr lang="en-GB" sz="1400" b="1"/>
                  <a:t>Area</a:t>
                </a:r>
                <a:r>
                  <a:rPr lang="en-GB" sz="1400" b="1" baseline="0"/>
                  <a:t> (acres)</a:t>
                </a:r>
                <a:endParaRPr lang="en-GB" sz="1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12353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Info!$C$55</c:f>
          <c:strCache>
            <c:ptCount val="1"/>
            <c:pt idx="0">
              <c:v>RESERVOIR NAME: Reservoir Water Level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Calcs!$I$4</c:f>
              <c:strCache>
                <c:ptCount val="1"/>
                <c:pt idx="0">
                  <c:v>Elevation (SRTM30-ft)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triangle"/>
            <c:size val="5"/>
            <c:spPr>
              <a:solidFill>
                <a:schemeClr val="bg1"/>
              </a:solidFill>
              <a:ln w="9525">
                <a:solidFill>
                  <a:srgbClr val="00B050"/>
                </a:solidFill>
              </a:ln>
              <a:effectLst/>
            </c:spPr>
          </c:marker>
          <c:cat>
            <c:numRef>
              <c:f>Calcs!$C$5:$C$6</c:f>
              <c:numCache>
                <c:formatCode>m/d/yyyy</c:formatCode>
                <c:ptCount val="2"/>
                <c:pt idx="0">
                  <c:v>38966</c:v>
                </c:pt>
                <c:pt idx="1">
                  <c:v>38982</c:v>
                </c:pt>
              </c:numCache>
            </c:numRef>
          </c:cat>
          <c:val>
            <c:numRef>
              <c:f>Calcs!$I$5:$I$6</c:f>
              <c:numCache>
                <c:formatCode>#,##0.0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75-9A4B-AE74-0D4EFABC4B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41235344"/>
        <c:axId val="641237056"/>
      </c:lineChart>
      <c:dateAx>
        <c:axId val="641235344"/>
        <c:scaling>
          <c:orientation val="minMax"/>
          <c:max val="46023"/>
          <c:min val="3871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m\-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1237056"/>
        <c:crosses val="autoZero"/>
        <c:auto val="0"/>
        <c:lblOffset val="100"/>
        <c:baseTimeUnit val="days"/>
        <c:majorUnit val="1"/>
        <c:majorTimeUnit val="years"/>
        <c:minorUnit val="1"/>
        <c:minorTimeUnit val="months"/>
      </c:dateAx>
      <c:valAx>
        <c:axId val="641237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400" b="1"/>
                  <a:t> Reservoir  Water Level Elevation</a:t>
                </a:r>
                <a:r>
                  <a:rPr lang="en-GB" sz="1400" b="1" baseline="0"/>
                  <a:t> (</a:t>
                </a:r>
                <a:r>
                  <a:rPr lang="en-GB" sz="14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SRTM30-ft</a:t>
                </a:r>
                <a:r>
                  <a:rPr lang="en-GB" sz="1400" b="1" baseline="0"/>
                  <a:t>)</a:t>
                </a:r>
                <a:endParaRPr lang="en-GB" sz="1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12353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[02 Reservoir Elevation-Area-Capacity Template V1.xlsx]Annual Chart!tbl_AnnualReport</c:name>
    <c:fmtId val="0"/>
  </c:pivotSource>
  <c:chart>
    <c:title>
      <c:tx>
        <c:strRef>
          <c:f>Info!$C$53</c:f>
          <c:strCache>
            <c:ptCount val="1"/>
            <c:pt idx="0">
              <c:v>RESERVOIR NAME: Reservoir Capacity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001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diamond"/>
          <c:size val="5"/>
          <c:spPr>
            <a:solidFill>
              <a:schemeClr val="bg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001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bg1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001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square"/>
          <c:size val="5"/>
          <c:spPr>
            <a:solidFill>
              <a:schemeClr val="bg1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001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Info!$C$53</c:f>
              <c:strCache>
                <c:ptCount val="1"/>
                <c:pt idx="0">
                  <c:v>Min of Volume (MCM)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chemeClr val="bg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Info!$C$53</c:f>
              <c:strCache>
                <c:ptCount val="1"/>
                <c:pt idx="0">
                  <c:v>2006</c:v>
                </c:pt>
              </c:strCache>
            </c:strRef>
          </c:cat>
          <c:val>
            <c:numRef>
              <c:f>Info!$C$53</c:f>
              <c:numCache>
                <c:formatCode>#,##0.0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46-4D48-B2BB-4B4B822D1EC7}"/>
            </c:ext>
          </c:extLst>
        </c:ser>
        <c:ser>
          <c:idx val="1"/>
          <c:order val="1"/>
          <c:tx>
            <c:strRef>
              <c:f>Info!$C$53</c:f>
              <c:strCache>
                <c:ptCount val="1"/>
                <c:pt idx="0">
                  <c:v>Average of Volume (MCM)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Info!$C$53</c:f>
              <c:strCache>
                <c:ptCount val="1"/>
                <c:pt idx="0">
                  <c:v>2006</c:v>
                </c:pt>
              </c:strCache>
            </c:strRef>
          </c:cat>
          <c:val>
            <c:numRef>
              <c:f>Info!$C$53</c:f>
              <c:numCache>
                <c:formatCode>#,##0.0</c:formatCode>
                <c:ptCount val="1"/>
                <c:pt idx="0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46-4D48-B2BB-4B4B822D1EC7}"/>
            </c:ext>
          </c:extLst>
        </c:ser>
        <c:ser>
          <c:idx val="2"/>
          <c:order val="2"/>
          <c:tx>
            <c:strRef>
              <c:f>Info!$C$53</c:f>
              <c:strCache>
                <c:ptCount val="1"/>
                <c:pt idx="0">
                  <c:v>Max of Volume (MCM)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bg1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Info!$C$53</c:f>
              <c:strCache>
                <c:ptCount val="1"/>
                <c:pt idx="0">
                  <c:v>2006</c:v>
                </c:pt>
              </c:strCache>
            </c:strRef>
          </c:cat>
          <c:val>
            <c:numRef>
              <c:f>Info!$C$53</c:f>
              <c:numCache>
                <c:formatCode>#,##0.0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D46-4D48-B2BB-4B4B822D1E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2617200"/>
        <c:axId val="92614800"/>
      </c:lineChart>
      <c:catAx>
        <c:axId val="926172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001"/>
          </a:p>
        </c:txPr>
        <c:crossAx val="92614800"/>
        <c:crosses val="autoZero"/>
        <c:auto val="1"/>
        <c:lblAlgn val="ctr"/>
        <c:lblOffset val="100"/>
        <c:noMultiLvlLbl val="0"/>
      </c:catAx>
      <c:valAx>
        <c:axId val="92614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Capacity</a:t>
                </a:r>
                <a:r>
                  <a:rPr lang="en-US" b="1" baseline="0"/>
                  <a:t> (MCM)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001"/>
          </a:p>
        </c:txPr>
        <c:crossAx val="92617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001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001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18033DC-F5C1-428E-9E2A-D6F4BA0E6F78}">
  <sheetPr/>
  <sheetViews>
    <sheetView workbookViewId="0"/>
  </sheetViews>
  <pageMargins left="0.7" right="0.7" top="0.75" bottom="0.75" header="0.3" footer="0.3"/>
  <pageSetup paperSize="9" orientation="landscape" horizontalDpi="300" verticalDpi="300"/>
  <drawing r:id="rId1"/>
</chartsheet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6" Type="http://schemas.openxmlformats.org/officeDocument/2006/relationships/chart" Target="../charts/chart9.xml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4762</xdr:colOff>
      <xdr:row>9</xdr:row>
      <xdr:rowOff>187326</xdr:rowOff>
    </xdr:from>
    <xdr:to>
      <xdr:col>7</xdr:col>
      <xdr:colOff>25399</xdr:colOff>
      <xdr:row>13</xdr:row>
      <xdr:rowOff>144464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F5EE8DB7-9E62-92C7-F5F8-036D8E2987D7}"/>
            </a:ext>
          </a:extLst>
        </xdr:cNvPr>
        <xdr:cNvSpPr/>
      </xdr:nvSpPr>
      <xdr:spPr>
        <a:xfrm>
          <a:off x="9936162" y="1609726"/>
          <a:ext cx="4224337" cy="769938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100" b="1">
              <a:solidFill>
                <a:sysClr val="windowText" lastClr="000000"/>
              </a:solidFill>
            </a:rPr>
            <a:t>This Excel tool is provided</a:t>
          </a:r>
          <a:r>
            <a:rPr lang="en-US" sz="1100" b="1" baseline="0">
              <a:solidFill>
                <a:sysClr val="windowText" lastClr="000000"/>
              </a:solidFill>
            </a:rPr>
            <a:t> "as is".</a:t>
          </a:r>
        </a:p>
        <a:p>
          <a:pPr algn="l"/>
          <a:r>
            <a:rPr lang="en-US" sz="1100" b="1" baseline="0">
              <a:solidFill>
                <a:sysClr val="windowText" lastClr="000000"/>
              </a:solidFill>
            </a:rPr>
            <a:t>It is your responsibility to check your own data</a:t>
          </a:r>
          <a:br>
            <a:rPr lang="en-US" sz="1100" b="1" baseline="0">
              <a:solidFill>
                <a:sysClr val="windowText" lastClr="000000"/>
              </a:solidFill>
            </a:rPr>
          </a:br>
          <a:r>
            <a:rPr lang="en-US" sz="1100" b="1" baseline="0">
              <a:solidFill>
                <a:sysClr val="windowText" lastClr="000000"/>
              </a:solidFill>
            </a:rPr>
            <a:t>&amp; all calculations in this Excel tool.</a:t>
          </a:r>
          <a:endParaRPr lang="en-001" sz="1100" b="1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21102</xdr:colOff>
      <xdr:row>3</xdr:row>
      <xdr:rowOff>2218</xdr:rowOff>
    </xdr:from>
    <xdr:to>
      <xdr:col>21</xdr:col>
      <xdr:colOff>481011</xdr:colOff>
      <xdr:row>22</xdr:row>
      <xdr:rowOff>163168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9D0D02E-AA15-433C-8D64-2388DB1E5D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6453</xdr:colOff>
      <xdr:row>24</xdr:row>
      <xdr:rowOff>18195</xdr:rowOff>
    </xdr:from>
    <xdr:to>
      <xdr:col>21</xdr:col>
      <xdr:colOff>501650</xdr:colOff>
      <xdr:row>46</xdr:row>
      <xdr:rowOff>91797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1854EF7-2378-463F-9D7B-2B602AEA08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294813" cy="606821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9AEB2DD-264B-4924-A770-1A0A79FA251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12700</xdr:colOff>
      <xdr:row>4</xdr:row>
      <xdr:rowOff>12700</xdr:rowOff>
    </xdr:from>
    <xdr:to>
      <xdr:col>21</xdr:col>
      <xdr:colOff>584200</xdr:colOff>
      <xdr:row>32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D5623D-6432-3D2B-B15B-D5CB40FB93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12700</xdr:colOff>
      <xdr:row>35</xdr:row>
      <xdr:rowOff>0</xdr:rowOff>
    </xdr:from>
    <xdr:to>
      <xdr:col>21</xdr:col>
      <xdr:colOff>584200</xdr:colOff>
      <xdr:row>63</xdr:row>
      <xdr:rowOff>101600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A872269-0A01-074A-9664-377C8922C4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25400</xdr:colOff>
      <xdr:row>66</xdr:row>
      <xdr:rowOff>0</xdr:rowOff>
    </xdr:from>
    <xdr:to>
      <xdr:col>21</xdr:col>
      <xdr:colOff>596900</xdr:colOff>
      <xdr:row>94</xdr:row>
      <xdr:rowOff>101600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CA9D019-5FE5-5147-A264-067B485D27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0</xdr:colOff>
      <xdr:row>4</xdr:row>
      <xdr:rowOff>0</xdr:rowOff>
    </xdr:from>
    <xdr:to>
      <xdr:col>33</xdr:col>
      <xdr:colOff>571500</xdr:colOff>
      <xdr:row>32</xdr:row>
      <xdr:rowOff>101600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3622EFE-F5EF-A34F-8BAC-C2B594CDE8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22</xdr:col>
      <xdr:colOff>0</xdr:colOff>
      <xdr:row>35</xdr:row>
      <xdr:rowOff>0</xdr:rowOff>
    </xdr:from>
    <xdr:to>
      <xdr:col>33</xdr:col>
      <xdr:colOff>571500</xdr:colOff>
      <xdr:row>63</xdr:row>
      <xdr:rowOff>101600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DA05152-F49B-7742-9CAE-89518AD132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22</xdr:col>
      <xdr:colOff>0</xdr:colOff>
      <xdr:row>66</xdr:row>
      <xdr:rowOff>0</xdr:rowOff>
    </xdr:from>
    <xdr:to>
      <xdr:col>33</xdr:col>
      <xdr:colOff>571500</xdr:colOff>
      <xdr:row>94</xdr:row>
      <xdr:rowOff>101600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ABB4E62-6B04-884E-91C8-8BD4FF3DEB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211929</xdr:colOff>
      <xdr:row>2</xdr:row>
      <xdr:rowOff>9524</xdr:rowOff>
    </xdr:from>
    <xdr:to>
      <xdr:col>12</xdr:col>
      <xdr:colOff>590550</xdr:colOff>
      <xdr:row>21</xdr:row>
      <xdr:rowOff>14288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695BEB1-7472-643C-C926-AC1528888E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dreas de Jong" refreshedDate="45859.430237152781" createdVersion="8" refreshedVersion="8" minRefreshableVersion="3" recordCount="2" xr:uid="{75C9A2BF-5542-46AF-B61E-63DD5C9AE622}">
  <cacheSource type="worksheet">
    <worksheetSource name="tbl_Monitoring"/>
  </cacheSource>
  <cacheFields count="10">
    <cacheField name="No" numFmtId="0">
      <sharedItems containsSemiMixedTypes="0" containsString="0" containsNumber="1" containsInteger="1" minValue="1" maxValue="2"/>
    </cacheField>
    <cacheField name="Date" numFmtId="14">
      <sharedItems containsSemiMixedTypes="0" containsNonDate="0" containsDate="1" containsString="0" minDate="1999-11-06T00:00:00" maxDate="2025-06-28T00:00:00" count="844">
        <d v="2006-09-06T00:00:00"/>
        <d v="2006-09-22T00:00:00"/>
        <d v="2006-10-24T00:00:00" u="1"/>
        <d v="2007-04-02T00:00:00" u="1"/>
        <d v="2007-04-18T00:00:00" u="1"/>
        <d v="2007-05-04T00:00:00" u="1"/>
        <d v="2007-07-23T00:00:00" u="1"/>
        <d v="2007-08-08T00:00:00" u="1"/>
        <d v="2007-09-09T00:00:00" u="1"/>
        <d v="2007-09-25T00:00:00" u="1"/>
        <d v="2007-10-11T00:00:00" u="1"/>
        <d v="2008-01-31T00:00:00" u="1"/>
        <d v="2008-03-03T00:00:00" u="1"/>
        <d v="2008-03-19T00:00:00" u="1"/>
        <d v="2008-04-04T00:00:00" u="1"/>
        <d v="2008-04-20T00:00:00" u="1"/>
        <d v="2008-05-22T00:00:00" u="1"/>
        <d v="2008-06-07T00:00:00" u="1"/>
        <d v="2008-07-25T00:00:00" u="1"/>
        <d v="2008-08-10T00:00:00" u="1"/>
        <d v="2008-08-26T00:00:00" u="1"/>
        <d v="2008-09-11T00:00:00" u="1"/>
        <d v="2008-09-27T00:00:00" u="1"/>
        <d v="2008-10-13T00:00:00" u="1"/>
        <d v="2008-10-29T00:00:00" u="1"/>
        <d v="2008-11-14T00:00:00" u="1"/>
        <d v="2008-11-30T00:00:00" u="1"/>
        <d v="2009-03-06T00:00:00" u="1"/>
        <d v="2009-04-23T00:00:00" u="1"/>
        <d v="2009-05-09T00:00:00" u="1"/>
        <d v="2009-05-25T00:00:00" u="1"/>
        <d v="2009-06-10T00:00:00" u="1"/>
        <d v="2009-06-26T00:00:00" u="1"/>
        <d v="2009-09-14T00:00:00" u="1"/>
        <d v="2009-09-30T00:00:00" u="1"/>
        <d v="2009-10-16T00:00:00" u="1"/>
        <d v="2009-11-01T00:00:00" u="1"/>
        <d v="2009-11-17T00:00:00" u="1"/>
        <d v="2010-03-09T00:00:00" u="1"/>
        <d v="2010-03-25T00:00:00" u="1"/>
        <d v="2010-05-12T00:00:00" u="1"/>
        <d v="2010-05-28T00:00:00" u="1"/>
        <d v="2010-06-13T00:00:00" u="1"/>
        <d v="2010-06-29T00:00:00" u="1"/>
        <d v="2010-10-19T00:00:00" u="1"/>
        <d v="2010-11-04T00:00:00" u="1"/>
        <d v="2011-04-29T00:00:00" u="1"/>
        <d v="2011-05-15T00:00:00" u="1"/>
        <d v="2011-07-02T00:00:00" u="1"/>
        <d v="2011-07-18T00:00:00" u="1"/>
        <d v="2011-08-03T00:00:00" u="1"/>
        <d v="2011-09-20T00:00:00" u="1"/>
        <d v="2011-10-22T00:00:00" u="1"/>
        <d v="2011-11-07T00:00:00" u="1"/>
        <d v="2012-03-30T00:00:00" u="1"/>
        <d v="2012-04-15T00:00:00" u="1"/>
        <d v="2012-05-01T00:00:00" u="1"/>
        <d v="2012-05-17T00:00:00" u="1"/>
        <d v="2012-06-18T00:00:00" u="1"/>
        <d v="2012-07-04T00:00:00" u="1"/>
        <d v="2012-07-20T00:00:00" u="1"/>
        <d v="2012-08-05T00:00:00" u="1"/>
        <d v="2012-09-22T00:00:00" u="1"/>
        <d v="2012-10-08T00:00:00" u="1"/>
        <d v="2012-10-24T00:00:00" u="1"/>
        <d v="2013-03-17T00:00:00" u="1"/>
        <d v="2013-04-02T00:00:00" u="1"/>
        <d v="2013-04-05T00:00:00" u="1"/>
        <d v="2013-04-10T00:00:00" u="1"/>
        <d v="2013-04-18T00:00:00" u="1"/>
        <d v="2013-05-04T00:00:00" u="1"/>
        <d v="2013-05-20T00:00:00" u="1"/>
        <d v="2013-05-28T00:00:00" u="1"/>
        <d v="2013-07-31T00:00:00" u="1"/>
        <d v="2013-08-16T00:00:00" u="1"/>
        <d v="2013-09-09T00:00:00" u="1"/>
        <d v="2013-09-17T00:00:00" u="1"/>
        <d v="2013-10-11T00:00:00" u="1"/>
        <d v="2013-10-19T00:00:00" u="1"/>
        <d v="2013-10-27T00:00:00" u="1"/>
        <d v="2013-11-04T00:00:00" u="1"/>
        <d v="2013-11-20T00:00:00" u="1"/>
        <d v="2013-11-28T00:00:00" u="1"/>
        <d v="2013-12-06T00:00:00" u="1"/>
        <d v="2013-12-14T00:00:00" u="1"/>
        <d v="2013-12-22T00:00:00" u="1"/>
        <d v="2013-12-30T00:00:00" u="1"/>
        <d v="2014-01-07T00:00:00" u="1"/>
        <d v="2014-01-15T00:00:00" u="1"/>
        <d v="2014-01-23T00:00:00" u="1"/>
        <d v="2014-01-31T00:00:00" u="1"/>
        <d v="2014-02-08T00:00:00" u="1"/>
        <d v="2014-02-16T00:00:00" u="1"/>
        <d v="2014-02-24T00:00:00" u="1"/>
        <d v="2014-03-04T00:00:00" u="1"/>
        <d v="2014-03-20T00:00:00" u="1"/>
        <d v="2014-03-28T00:00:00" u="1"/>
        <d v="2014-04-05T00:00:00" u="1"/>
        <d v="2014-04-13T00:00:00" u="1"/>
        <d v="2014-04-21T00:00:00" u="1"/>
        <d v="2014-05-07T00:00:00" u="1"/>
        <d v="2014-05-23T00:00:00" u="1"/>
        <d v="2014-05-31T00:00:00" u="1"/>
        <d v="2014-06-08T00:00:00" u="1"/>
        <d v="2014-06-16T00:00:00" u="1"/>
        <d v="2014-06-24T00:00:00" u="1"/>
        <d v="2014-07-10T00:00:00" u="1"/>
        <d v="2014-07-18T00:00:00" u="1"/>
        <d v="2014-08-11T00:00:00" u="1"/>
        <d v="2014-08-19T00:00:00" u="1"/>
        <d v="2014-08-27T00:00:00" u="1"/>
        <d v="2014-09-04T00:00:00" u="1"/>
        <d v="2014-09-12T00:00:00" u="1"/>
        <d v="2014-09-20T00:00:00" u="1"/>
        <d v="2014-10-06T00:00:00" u="1"/>
        <d v="2014-10-14T00:00:00" u="1"/>
        <d v="2014-10-22T00:00:00" u="1"/>
        <d v="2014-10-30T00:00:00" u="1"/>
        <d v="2014-11-07T00:00:00" u="1"/>
        <d v="2014-11-15T00:00:00" u="1"/>
        <d v="2014-11-23T00:00:00" u="1"/>
        <d v="2014-12-01T00:00:00" u="1"/>
        <d v="2014-12-09T00:00:00" u="1"/>
        <d v="2014-12-17T00:00:00" u="1"/>
        <d v="2014-12-25T00:00:00" u="1"/>
        <d v="2015-01-18T00:00:00" u="1"/>
        <d v="2015-01-26T00:00:00" u="1"/>
        <d v="2015-02-19T00:00:00" u="1"/>
        <d v="2015-02-27T00:00:00" u="1"/>
        <d v="2015-03-15T00:00:00" u="1"/>
        <d v="2015-03-23T00:00:00" u="1"/>
        <d v="2015-03-31T00:00:00" u="1"/>
        <d v="2015-04-08T00:00:00" u="1"/>
        <d v="2015-04-16T00:00:00" u="1"/>
        <d v="2015-05-02T00:00:00" u="1"/>
        <d v="2015-05-18T00:00:00" u="1"/>
        <d v="2015-05-26T00:00:00" u="1"/>
        <d v="2015-06-03T00:00:00" u="1"/>
        <d v="2015-06-19T00:00:00" u="1"/>
        <d v="2015-06-27T00:00:00" u="1"/>
        <d v="2015-07-05T00:00:00" u="1"/>
        <d v="2015-07-21T00:00:00" u="1"/>
        <d v="2015-08-22T00:00:00" u="1"/>
        <d v="2015-08-30T00:00:00" u="1"/>
        <d v="2015-09-07T00:00:00" u="1"/>
        <d v="2015-09-15T00:00:00" u="1"/>
        <d v="2015-09-23T00:00:00" u="1"/>
        <d v="2015-10-01T00:00:00" u="1"/>
        <d v="2015-10-09T00:00:00" u="1"/>
        <d v="2015-10-17T00:00:00" u="1"/>
        <d v="2015-10-25T00:00:00" u="1"/>
        <d v="2015-11-02T00:00:00" u="1"/>
        <d v="2015-11-18T00:00:00" u="1"/>
        <d v="2015-11-26T00:00:00" u="1"/>
        <d v="2015-12-12T00:00:00" u="1"/>
        <d v="2015-12-20T00:00:00" u="1"/>
        <d v="2016-01-13T00:00:00" u="1"/>
        <d v="2016-01-21T00:00:00" u="1"/>
        <d v="2016-02-06T00:00:00" u="1"/>
        <d v="2016-02-14T00:00:00" u="1"/>
        <d v="2016-02-22T00:00:00" u="1"/>
        <d v="2016-03-11T00:00:00" u="1"/>
        <d v="2016-03-17T00:00:00" u="1"/>
        <d v="2016-03-25T00:00:00" u="1"/>
        <d v="2016-04-10T00:00:00" u="1"/>
        <d v="2016-04-18T00:00:00" u="1"/>
        <d v="2016-04-26T00:00:00" u="1"/>
        <d v="2016-05-04T00:00:00" u="1"/>
        <d v="2016-05-12T00:00:00" u="1"/>
        <d v="2016-05-20T00:00:00" u="1"/>
        <d v="2016-05-28T00:00:00" u="1"/>
        <d v="2016-06-05T00:00:00" u="1"/>
        <d v="2016-06-09T00:00:00" u="1"/>
        <d v="2016-06-13T00:00:00" u="1"/>
        <d v="2016-06-21T00:00:00" u="1"/>
        <d v="2016-07-07T00:00:00" u="1"/>
        <d v="2016-07-15T00:00:00" u="1"/>
        <d v="2016-07-31T00:00:00" u="1"/>
        <d v="2016-08-16T00:00:00" u="1"/>
        <d v="2016-08-24T00:00:00" u="1"/>
        <d v="2016-08-28T00:00:00" u="1"/>
        <d v="2016-09-01T00:00:00" u="1"/>
        <d v="2016-09-09T00:00:00" u="1"/>
        <d v="2016-09-25T00:00:00" u="1"/>
        <d v="2016-10-07T00:00:00" u="1"/>
        <d v="2016-10-11T00:00:00" u="1"/>
        <d v="2016-10-19T00:00:00" u="1"/>
        <d v="2016-10-27T00:00:00" u="1"/>
        <d v="2016-11-04T00:00:00" u="1"/>
        <d v="2016-11-12T00:00:00" u="1"/>
        <d v="2016-11-16T00:00:00" u="1"/>
        <d v="2016-11-20T00:00:00" u="1"/>
        <d v="2016-11-26T00:00:00" u="1"/>
        <d v="2016-11-28T00:00:00" u="1"/>
        <d v="2016-12-06T00:00:00" u="1"/>
        <d v="2016-12-14T00:00:00" u="1"/>
        <d v="2016-12-22T00:00:00" u="1"/>
        <d v="2016-12-26T00:00:00" u="1"/>
        <d v="2016-12-30T00:00:00" u="1"/>
        <d v="2017-01-05T00:00:00" u="1"/>
        <d v="2017-01-07T00:00:00" u="1"/>
        <d v="2017-01-15T00:00:00" u="1"/>
        <d v="2017-01-31T00:00:00" u="1"/>
        <d v="2017-02-04T00:00:00" u="1"/>
        <d v="2017-02-16T00:00:00" u="1"/>
        <d v="2017-02-24T00:00:00" u="1"/>
        <d v="2017-03-04T00:00:00" u="1"/>
        <d v="2017-03-06T00:00:00" u="1"/>
        <d v="2017-03-20T00:00:00" u="1"/>
        <d v="2017-03-26T00:00:00" u="1"/>
        <d v="2017-03-28T00:00:00" u="1"/>
        <d v="2017-04-05T00:00:00" u="1"/>
        <d v="2017-04-13T00:00:00" u="1"/>
        <d v="2017-04-15T00:00:00" u="1"/>
        <d v="2017-04-21T00:00:00" u="1"/>
        <d v="2017-04-29T00:00:00" u="1"/>
        <d v="2017-05-05T00:00:00" u="1"/>
        <d v="2017-05-07T00:00:00" u="1"/>
        <d v="2017-05-15T00:00:00" u="1"/>
        <d v="2017-05-23T00:00:00" u="1"/>
        <d v="2017-05-25T00:00:00" u="1"/>
        <d v="2017-05-31T00:00:00" u="1"/>
        <d v="2017-06-08T00:00:00" u="1"/>
        <d v="2017-06-14T00:00:00" u="1"/>
        <d v="2017-06-24T00:00:00" u="1"/>
        <d v="2017-07-02T00:00:00" u="1"/>
        <d v="2017-07-04T00:00:00" u="1"/>
        <d v="2017-07-18T00:00:00" u="1"/>
        <d v="2017-07-26T00:00:00" u="1"/>
        <d v="2017-08-03T00:00:00" u="1"/>
        <d v="2017-08-13T00:00:00" u="1"/>
        <d v="2017-08-19T00:00:00" u="1"/>
        <d v="2017-08-27T00:00:00" u="1"/>
        <d v="2017-08-28T00:00:00" u="1"/>
        <d v="2017-09-04T00:00:00" u="1"/>
        <d v="2017-09-12T00:00:00" u="1"/>
        <d v="2017-09-17T00:00:00" u="1"/>
        <d v="2017-09-20T00:00:00" u="1"/>
        <d v="2017-09-22T00:00:00" u="1"/>
        <d v="2017-09-28T00:00:00" u="1"/>
        <d v="2017-10-06T00:00:00" u="1"/>
        <d v="2017-10-07T00:00:00" u="1"/>
        <d v="2017-10-12T00:00:00" u="1"/>
        <d v="2017-10-14T00:00:00" u="1"/>
        <d v="2017-10-22T00:00:00" u="1"/>
        <d v="2017-10-27T00:00:00" u="1"/>
        <d v="2017-10-30T00:00:00" u="1"/>
        <d v="2017-11-01T00:00:00" u="1"/>
        <d v="2017-11-06T00:00:00" u="1"/>
        <d v="2017-11-07T00:00:00" u="1"/>
        <d v="2017-11-15T00:00:00" u="1"/>
        <d v="2017-11-16T00:00:00" u="1"/>
        <d v="2017-11-21T00:00:00" u="1"/>
        <d v="2017-11-23T00:00:00" u="1"/>
        <d v="2017-11-26T00:00:00" u="1"/>
        <d v="2017-12-01T00:00:00" u="1"/>
        <d v="2017-12-06T00:00:00" u="1"/>
        <d v="2017-12-09T00:00:00" u="1"/>
        <d v="2017-12-11T00:00:00" u="1"/>
        <d v="2017-12-16T00:00:00" u="1"/>
        <d v="2017-12-17T00:00:00" u="1"/>
        <d v="2017-12-26T00:00:00" u="1"/>
        <d v="2018-01-02T00:00:00" u="1"/>
        <d v="2018-01-05T00:00:00" u="1"/>
        <d v="2018-01-10T00:00:00" u="1"/>
        <d v="2018-01-15T00:00:00" u="1"/>
        <d v="2018-01-18T00:00:00" u="1"/>
        <d v="2018-01-20T00:00:00" u="1"/>
        <d v="2018-01-25T00:00:00" u="1"/>
        <d v="2018-01-26T00:00:00" u="1"/>
        <d v="2018-02-03T00:00:00" u="1"/>
        <d v="2018-02-04T00:00:00" u="1"/>
        <d v="2018-02-09T00:00:00" u="1"/>
        <d v="2018-02-19T00:00:00" u="1"/>
        <d v="2018-02-27T00:00:00" u="1"/>
        <d v="2018-03-01T00:00:00" u="1"/>
        <d v="2018-03-06T00:00:00" u="1"/>
        <d v="2018-03-07T00:00:00" u="1"/>
        <d v="2018-03-11T00:00:00" u="1"/>
        <d v="2018-03-15T00:00:00" u="1"/>
        <d v="2018-03-16T00:00:00" u="1"/>
        <d v="2018-03-21T00:00:00" u="1"/>
        <d v="2018-03-23T00:00:00" u="1"/>
        <d v="2018-03-26T00:00:00" u="1"/>
        <d v="2018-03-31T00:00:00" u="1"/>
        <d v="2018-04-05T00:00:00" u="1"/>
        <d v="2018-04-08T00:00:00" u="1"/>
        <d v="2018-04-15T00:00:00" u="1"/>
        <d v="2018-04-16T00:00:00" u="1"/>
        <d v="2018-04-20T00:00:00" u="1"/>
        <d v="2018-04-24T00:00:00" u="1"/>
        <d v="2018-04-25T00:00:00" u="1"/>
        <d v="2018-04-30T00:00:00" u="1"/>
        <d v="2018-05-02T00:00:00" u="1"/>
        <d v="2018-05-10T00:00:00" u="1"/>
        <d v="2018-05-15T00:00:00" u="1"/>
        <d v="2018-06-19T00:00:00" u="1"/>
        <d v="2018-06-27T00:00:00" u="1"/>
        <d v="2018-07-13T00:00:00" u="1"/>
        <d v="2018-07-21T00:00:00" u="1"/>
        <d v="2018-07-29T00:00:00" u="1"/>
        <d v="2018-08-18T00:00:00" u="1"/>
        <d v="2018-08-22T00:00:00" u="1"/>
        <d v="2018-09-02T00:00:00" u="1"/>
        <d v="2018-09-07T00:00:00" u="1"/>
        <d v="2018-09-15T00:00:00" u="1"/>
        <d v="2018-09-17T00:00:00" u="1"/>
        <d v="2018-09-22T00:00:00" u="1"/>
        <d v="2018-09-23T00:00:00" u="1"/>
        <d v="2018-09-27T00:00:00" u="1"/>
        <d v="2018-10-01T00:00:00" u="1"/>
        <d v="2018-10-02T00:00:00" u="1"/>
        <d v="2018-10-07T00:00:00" u="1"/>
        <d v="2018-10-09T00:00:00" u="1"/>
        <d v="2018-10-12T00:00:00" u="1"/>
        <d v="2018-10-17T00:00:00" u="1"/>
        <d v="2018-10-22T00:00:00" u="1"/>
        <d v="2018-10-25T00:00:00" u="1"/>
        <d v="2018-10-27T00:00:00" u="1"/>
        <d v="2018-11-01T00:00:00" u="1"/>
        <d v="2018-11-02T00:00:00" u="1"/>
        <d v="2018-11-06T00:00:00" u="1"/>
        <d v="2018-11-10T00:00:00" u="1"/>
        <d v="2018-11-11T00:00:00" u="1"/>
        <d v="2018-11-16T00:00:00" u="1"/>
        <d v="2018-11-21T00:00:00" u="1"/>
        <d v="2018-11-26T00:00:00" u="1"/>
        <d v="2018-12-01T00:00:00" u="1"/>
        <d v="2018-12-04T00:00:00" u="1"/>
        <d v="2018-12-06T00:00:00" u="1"/>
        <d v="2018-12-11T00:00:00" u="1"/>
        <d v="2018-12-16T00:00:00" u="1"/>
        <d v="2018-12-20T00:00:00" u="1"/>
        <d v="2018-12-21T00:00:00" u="1"/>
        <d v="2018-12-26T00:00:00" u="1"/>
        <d v="2018-12-28T00:00:00" u="1"/>
        <d v="2018-12-31T00:00:00" u="1"/>
        <d v="2019-01-05T00:00:00" u="1"/>
        <d v="2019-01-13T00:00:00" u="1"/>
        <d v="2019-01-15T00:00:00" u="1"/>
        <d v="2019-01-20T00:00:00" u="1"/>
        <d v="2019-01-21T00:00:00" u="1"/>
        <d v="2019-01-25T00:00:00" u="1"/>
        <d v="2019-01-28T00:00:00" u="1"/>
        <d v="2019-02-06T00:00:00" u="1"/>
        <d v="2019-02-09T00:00:00" u="1"/>
        <d v="2019-02-14T00:00:00" u="1"/>
        <d v="2019-02-24T00:00:00" u="1"/>
        <d v="2019-03-02T00:00:00" u="1"/>
        <d v="2019-03-06T00:00:00" u="1"/>
        <d v="2019-03-10T00:00:00" u="1"/>
        <d v="2019-03-11T00:00:00" u="1"/>
        <d v="2019-03-21T00:00:00" u="1"/>
        <d v="2019-03-26T00:00:00" u="1"/>
        <d v="2019-03-31T00:00:00" u="1"/>
        <d v="2019-04-03T00:00:00" u="1"/>
        <d v="2019-04-05T00:00:00" u="1"/>
        <d v="2019-04-11T00:00:00" u="1"/>
        <d v="2019-04-15T00:00:00" u="1"/>
        <d v="2019-04-19T00:00:00" u="1"/>
        <d v="2019-04-20T00:00:00" u="1"/>
        <d v="2019-04-25T00:00:00" u="1"/>
        <d v="2019-04-27T00:00:00" u="1"/>
        <d v="2019-04-30T00:00:00" u="1"/>
        <d v="2019-05-05T00:00:00" u="1"/>
        <d v="2019-05-10T00:00:00" u="1"/>
        <d v="2019-05-13T00:00:00" u="1"/>
        <d v="2019-05-15T00:00:00" u="1"/>
        <d v="2019-05-21T00:00:00" u="1"/>
        <d v="2019-05-25T00:00:00" u="1"/>
        <d v="2019-05-29T00:00:00" u="1"/>
        <d v="2019-05-30T00:00:00" u="1"/>
        <d v="2019-06-04T00:00:00" u="1"/>
        <d v="2019-06-06T00:00:00" u="1"/>
        <d v="2019-06-09T00:00:00" u="1"/>
        <d v="2019-06-14T00:00:00" u="1"/>
        <d v="2019-06-19T00:00:00" u="1"/>
        <d v="2019-06-24T00:00:00" u="1"/>
        <d v="2019-06-29T00:00:00" u="1"/>
        <d v="2019-06-30T00:00:00" u="1"/>
        <d v="2019-07-04T00:00:00" u="1"/>
        <d v="2019-07-08T00:00:00" u="1"/>
        <d v="2019-07-09T00:00:00" u="1"/>
        <d v="2019-07-19T00:00:00" u="1"/>
        <d v="2019-08-01T00:00:00" u="1"/>
        <d v="2019-08-03T00:00:00" u="1"/>
        <d v="2019-08-09T00:00:00" u="1"/>
        <d v="2019-08-13T00:00:00" u="1"/>
        <d v="2019-08-17T00:00:00" u="1"/>
        <d v="2019-08-18T00:00:00" u="1"/>
        <d v="2019-08-23T00:00:00" u="1"/>
        <d v="2019-08-25T00:00:00" u="1"/>
        <d v="2019-08-28T00:00:00" u="1"/>
        <d v="2019-09-02T00:00:00" u="1"/>
        <d v="2019-09-07T00:00:00" u="1"/>
        <d v="2019-09-10T00:00:00" u="1"/>
        <d v="2019-09-12T00:00:00" u="1"/>
        <d v="2019-09-17T00:00:00" u="1"/>
        <d v="2019-09-18T00:00:00" u="1"/>
        <d v="2019-09-22T00:00:00" u="1"/>
        <d v="2019-09-26T00:00:00" u="1"/>
        <d v="2019-09-27T00:00:00" u="1"/>
        <d v="2019-10-02T00:00:00" u="1"/>
        <d v="2019-10-04T00:00:00" u="1"/>
        <d v="2019-10-12T00:00:00" u="1"/>
        <d v="2019-10-17T00:00:00" u="1"/>
        <d v="2019-10-20T00:00:00" u="1"/>
        <d v="2019-10-22T00:00:00" u="1"/>
        <d v="2019-10-27T00:00:00" u="1"/>
        <d v="2019-10-28T00:00:00" u="1"/>
        <d v="2019-11-01T00:00:00" u="1"/>
        <d v="2019-11-05T00:00:00" u="1"/>
        <d v="2019-11-06T00:00:00" u="1"/>
        <d v="2019-11-11T00:00:00" u="1"/>
        <d v="2019-11-13T00:00:00" u="1"/>
        <d v="2019-11-16T00:00:00" u="1"/>
        <d v="2019-11-29T00:00:00" u="1"/>
        <d v="2019-12-01T00:00:00" u="1"/>
        <d v="2019-12-06T00:00:00" u="1"/>
        <d v="2019-12-15T00:00:00" u="1"/>
        <d v="2019-12-16T00:00:00" u="1"/>
        <d v="2019-12-21T00:00:00" u="1"/>
        <d v="2019-12-23T00:00:00" u="1"/>
        <d v="2019-12-26T00:00:00" u="1"/>
        <d v="2019-12-31T00:00:00" u="1"/>
        <d v="2020-01-08T00:00:00" u="1"/>
        <d v="2020-01-16T00:00:00" u="1"/>
        <d v="2020-01-20T00:00:00" u="1"/>
        <d v="2020-01-25T00:00:00" u="1"/>
        <d v="2020-01-30T00:00:00" u="1"/>
        <d v="2020-02-01T00:00:00" u="1"/>
        <d v="2020-02-04T00:00:00" u="1"/>
        <d v="2020-02-09T00:00:00" u="1"/>
        <d v="2020-02-14T00:00:00" u="1"/>
        <d v="2020-02-17T00:00:00" u="1"/>
        <d v="2020-02-19T00:00:00" u="1"/>
        <d v="2020-02-24T00:00:00" u="1"/>
        <d v="2020-02-29T00:00:00" u="1"/>
        <d v="2020-03-04T00:00:00" u="1"/>
        <d v="2020-03-05T00:00:00" u="1"/>
        <d v="2020-03-10T00:00:00" u="1"/>
        <d v="2020-03-12T00:00:00" u="1"/>
        <d v="2020-03-20T00:00:00" u="1"/>
        <d v="2020-03-25T00:00:00" u="1"/>
        <d v="2020-03-28T00:00:00" u="1"/>
        <d v="2020-03-30T00:00:00" u="1"/>
        <d v="2020-04-04T00:00:00" u="1"/>
        <d v="2020-04-05T00:00:00" u="1"/>
        <d v="2020-04-09T00:00:00" u="1"/>
        <d v="2020-04-13T00:00:00" u="1"/>
        <d v="2020-04-14T00:00:00" u="1"/>
        <d v="2020-04-19T00:00:00" u="1"/>
        <d v="2020-04-21T00:00:00" u="1"/>
        <d v="2020-04-24T00:00:00" u="1"/>
        <d v="2020-04-29T00:00:00" u="1"/>
        <d v="2020-05-04T00:00:00" u="1"/>
        <d v="2020-05-07T00:00:00" u="1"/>
        <d v="2020-05-09T00:00:00" u="1"/>
        <d v="2020-05-14T00:00:00" u="1"/>
        <d v="2020-05-15T00:00:00" u="1"/>
        <d v="2020-05-23T00:00:00" u="1"/>
        <d v="2020-05-24T00:00:00" u="1"/>
        <d v="2020-05-29T00:00:00" u="1"/>
        <d v="2020-05-31T00:00:00" u="1"/>
        <d v="2020-06-03T00:00:00" u="1"/>
        <d v="2020-06-13T00:00:00" u="1"/>
        <d v="2020-06-16T00:00:00" u="1"/>
        <d v="2020-06-18T00:00:00" u="1"/>
        <d v="2020-06-23T00:00:00" u="1"/>
        <d v="2020-06-24T00:00:00" u="1"/>
        <d v="2020-06-28T00:00:00" u="1"/>
        <d v="2020-07-02T00:00:00" u="1"/>
        <d v="2020-07-03T00:00:00" u="1"/>
        <d v="2020-07-10T00:00:00" u="1"/>
        <d v="2020-07-13T00:00:00" u="1"/>
        <d v="2020-07-18T00:00:00" u="1"/>
        <d v="2020-07-26T00:00:00" u="1"/>
        <d v="2020-07-28T00:00:00" u="1"/>
        <d v="2020-08-02T00:00:00" u="1"/>
        <d v="2020-08-03T00:00:00" u="1"/>
        <d v="2020-08-17T00:00:00" u="1"/>
        <d v="2020-08-22T00:00:00" u="1"/>
        <d v="2020-09-01T00:00:00" u="1"/>
        <d v="2020-09-04T00:00:00" u="1"/>
        <d v="2020-09-06T00:00:00" u="1"/>
        <d v="2020-09-11T00:00:00" u="1"/>
        <d v="2020-09-12T00:00:00" u="1"/>
        <d v="2020-09-16T00:00:00" u="1"/>
        <d v="2020-09-20T00:00:00" u="1"/>
        <d v="2020-09-21T00:00:00" u="1"/>
        <d v="2020-09-26T00:00:00" u="1"/>
        <d v="2020-09-28T00:00:00" u="1"/>
        <d v="2020-10-01T00:00:00" u="1"/>
        <d v="2020-10-06T00:00:00" u="1"/>
        <d v="2020-10-11T00:00:00" u="1"/>
        <d v="2020-10-14T00:00:00" u="1"/>
        <d v="2020-10-16T00:00:00" u="1"/>
        <d v="2020-10-21T00:00:00" u="1"/>
        <d v="2020-10-22T00:00:00" u="1"/>
        <d v="2020-10-26T00:00:00" u="1"/>
        <d v="2020-10-30T00:00:00" u="1"/>
        <d v="2020-10-31T00:00:00" u="1"/>
        <d v="2020-11-05T00:00:00" u="1"/>
        <d v="2020-11-10T00:00:00" u="1"/>
        <d v="2020-11-15T00:00:00" u="1"/>
        <d v="2020-11-20T00:00:00" u="1"/>
        <d v="2020-11-23T00:00:00" u="1"/>
        <d v="2020-11-25T00:00:00" u="1"/>
        <d v="2020-11-30T00:00:00" u="1"/>
        <d v="2020-12-01T00:00:00" u="1"/>
        <d v="2020-12-05T00:00:00" u="1"/>
        <d v="2020-12-09T00:00:00" u="1"/>
        <d v="2020-12-10T00:00:00" u="1"/>
        <d v="2020-12-15T00:00:00" u="1"/>
        <d v="2020-12-17T00:00:00" u="1"/>
        <d v="2020-12-20T00:00:00" u="1"/>
        <d v="2020-12-25T00:00:00" u="1"/>
        <d v="2021-01-02T00:00:00" u="1"/>
        <d v="2021-01-04T00:00:00" u="1"/>
        <d v="2021-01-09T00:00:00" u="1"/>
        <d v="2021-01-10T00:00:00" u="1"/>
        <d v="2021-01-14T00:00:00" u="1"/>
        <d v="2021-01-18T00:00:00" u="1"/>
        <d v="2021-01-19T00:00:00" u="1"/>
        <d v="2021-01-24T00:00:00" u="1"/>
        <d v="2021-01-26T00:00:00" u="1"/>
        <d v="2021-01-29T00:00:00" u="1"/>
        <d v="2021-02-03T00:00:00" u="1"/>
        <d v="2021-02-08T00:00:00" u="1"/>
        <d v="2021-02-13T00:00:00" u="1"/>
        <d v="2021-02-18T00:00:00" u="1"/>
        <d v="2021-02-19T00:00:00" u="1"/>
        <d v="2021-02-23T00:00:00" u="1"/>
        <d v="2021-02-27T00:00:00" u="1"/>
        <d v="2021-02-28T00:00:00" u="1"/>
        <d v="2021-03-05T00:00:00" u="1"/>
        <d v="2021-03-07T00:00:00" u="1"/>
        <d v="2021-03-10T00:00:00" u="1"/>
        <d v="2021-03-15T00:00:00" u="1"/>
        <d v="2021-03-20T00:00:00" u="1"/>
        <d v="2021-03-23T00:00:00" u="1"/>
        <d v="2021-03-25T00:00:00" u="1"/>
        <d v="2021-03-30T00:00:00" u="1"/>
        <d v="2021-03-31T00:00:00" u="1"/>
        <d v="2021-04-04T00:00:00" u="1"/>
        <d v="2021-04-08T00:00:00" u="1"/>
        <d v="2021-04-09T00:00:00" u="1"/>
        <d v="2021-04-14T00:00:00" u="1"/>
        <d v="2021-04-16T00:00:00" u="1"/>
        <d v="2021-04-24T00:00:00" u="1"/>
        <d v="2021-04-29T00:00:00" u="1"/>
        <d v="2021-05-04T00:00:00" u="1"/>
        <d v="2021-05-09T00:00:00" u="1"/>
        <d v="2021-05-10T00:00:00" u="1"/>
        <d v="2021-05-14T00:00:00" u="1"/>
        <d v="2021-05-18T00:00:00" u="1"/>
        <d v="2021-05-19T00:00:00" u="1"/>
        <d v="2021-05-24T00:00:00" u="1"/>
        <d v="2021-05-26T00:00:00" u="1"/>
        <d v="2021-05-29T00:00:00" u="1"/>
        <d v="2021-06-03T00:00:00" u="1"/>
        <d v="2021-06-18T00:00:00" u="1"/>
        <d v="2021-06-19T00:00:00" u="1"/>
        <d v="2021-06-23T00:00:00" u="1"/>
        <d v="2021-06-28T00:00:00" u="1"/>
        <d v="2021-07-03T00:00:00" u="1"/>
        <d v="2021-07-08T00:00:00" u="1"/>
        <d v="2021-07-13T00:00:00" u="1"/>
        <d v="2021-07-21T00:00:00" u="1"/>
        <d v="2021-07-23T00:00:00" u="1"/>
        <d v="2021-07-29T00:00:00" u="1"/>
        <d v="2021-08-02T00:00:00" u="1"/>
        <d v="2021-08-06T00:00:00" u="1"/>
        <d v="2021-08-07T00:00:00" u="1"/>
        <d v="2021-08-12T00:00:00" u="1"/>
        <d v="2021-08-17T00:00:00" u="1"/>
        <d v="2021-08-22T00:00:00" u="1"/>
        <d v="2021-08-27T00:00:00" u="1"/>
        <d v="2021-08-30T00:00:00" u="1"/>
        <d v="2021-09-01T00:00:00" u="1"/>
        <d v="2021-09-06T00:00:00" u="1"/>
        <d v="2021-09-07T00:00:00" u="1"/>
        <d v="2021-09-11T00:00:00" u="1"/>
        <d v="2021-09-15T00:00:00" u="1"/>
        <d v="2021-09-16T00:00:00" u="1"/>
        <d v="2021-09-21T00:00:00" u="1"/>
        <d v="2021-09-26T00:00:00" u="1"/>
        <d v="2021-10-06T00:00:00" u="1"/>
        <d v="2021-10-09T00:00:00" u="1"/>
        <d v="2021-10-11T00:00:00" u="1"/>
        <d v="2021-10-16T00:00:00" u="1"/>
        <d v="2021-10-17T00:00:00" u="1"/>
        <d v="2021-10-25T00:00:00" u="1"/>
        <d v="2021-10-26T00:00:00" u="1"/>
        <d v="2021-10-31T00:00:00" u="1"/>
        <d v="2021-11-02T00:00:00" u="1"/>
        <d v="2021-11-05T00:00:00" u="1"/>
        <d v="2021-11-10T00:00:00" u="1"/>
        <d v="2021-11-15T00:00:00" u="1"/>
        <d v="2021-11-18T00:00:00" u="1"/>
        <d v="2021-11-20T00:00:00" u="1"/>
        <d v="2021-11-25T00:00:00" u="1"/>
        <d v="2021-11-26T00:00:00" u="1"/>
        <d v="2021-11-30T00:00:00" u="1"/>
        <d v="2021-12-04T00:00:00" u="1"/>
        <d v="2021-12-05T00:00:00" u="1"/>
        <d v="2021-12-10T00:00:00" u="1"/>
        <d v="2021-12-12T00:00:00" u="1"/>
        <d v="2021-12-20T00:00:00" u="1"/>
        <d v="2021-12-25T00:00:00" u="1"/>
        <d v="2021-12-28T00:00:00" u="1"/>
        <d v="2022-01-09T00:00:00" u="1"/>
        <d v="2022-01-14T00:00:00" u="1"/>
        <d v="2022-01-24T00:00:00" u="1"/>
        <d v="2022-02-28T00:00:00" u="1"/>
        <d v="2022-03-10T00:00:00" u="1"/>
        <d v="2022-03-15T00:00:00" u="1"/>
        <d v="2022-04-04T00:00:00" u="1"/>
        <d v="2022-04-09T00:00:00" u="1"/>
        <d v="2022-04-14T00:00:00" u="1"/>
        <d v="2022-04-19T00:00:00" u="1"/>
        <d v="2022-04-24T00:00:00" u="1"/>
        <d v="2022-04-29T00:00:00" u="1"/>
        <d v="2022-05-04T00:00:00" u="1"/>
        <d v="2022-05-09T00:00:00" u="1"/>
        <d v="2022-05-14T00:00:00" u="1"/>
        <d v="2022-05-19T00:00:00" u="1"/>
        <d v="2022-05-24T00:00:00" u="1"/>
        <d v="2022-05-29T00:00:00" u="1"/>
        <d v="2022-06-03T00:00:00" u="1"/>
        <d v="2022-06-08T00:00:00" u="1"/>
        <d v="2022-06-13T00:00:00" u="1"/>
        <d v="2022-06-18T00:00:00" u="1"/>
        <d v="2022-06-23T00:00:00" u="1"/>
        <d v="2022-06-28T00:00:00" u="1"/>
        <d v="2022-07-03T00:00:00" u="1"/>
        <d v="2022-07-13T00:00:00" u="1"/>
        <d v="2022-07-18T00:00:00" u="1"/>
        <d v="2022-08-07T00:00:00" u="1"/>
        <d v="2022-08-17T00:00:00" u="1"/>
        <d v="2022-08-22T00:00:00" u="1"/>
        <d v="2022-08-27T00:00:00" u="1"/>
        <d v="2022-09-01T00:00:00" u="1"/>
        <d v="2022-09-06T00:00:00" u="1"/>
        <d v="2022-09-11T00:00:00" u="1"/>
        <d v="2022-09-16T00:00:00" u="1"/>
        <d v="2022-09-21T00:00:00" u="1"/>
        <d v="2022-09-26T00:00:00" u="1"/>
        <d v="2022-10-01T00:00:00" u="1"/>
        <d v="2022-10-06T00:00:00" u="1"/>
        <d v="2022-10-11T00:00:00" u="1"/>
        <d v="2022-10-16T00:00:00" u="1"/>
        <d v="2022-10-21T00:00:00" u="1"/>
        <d v="2022-10-26T00:00:00" u="1"/>
        <d v="2022-10-31T00:00:00" u="1"/>
        <d v="2022-11-05T00:00:00" u="1"/>
        <d v="2022-11-10T00:00:00" u="1"/>
        <d v="2022-11-15T00:00:00" u="1"/>
        <d v="2022-11-20T00:00:00" u="1"/>
        <d v="2022-11-25T00:00:00" u="1"/>
        <d v="2022-11-30T00:00:00" u="1"/>
        <d v="2022-12-05T00:00:00" u="1"/>
        <d v="2022-12-10T00:00:00" u="1"/>
        <d v="2022-12-15T00:00:00" u="1"/>
        <d v="2022-12-20T00:00:00" u="1"/>
        <d v="2022-12-25T00:00:00" u="1"/>
        <d v="2022-12-30T00:00:00" u="1"/>
        <d v="2023-01-04T00:00:00" u="1"/>
        <d v="2023-01-09T00:00:00" u="1"/>
        <d v="2023-01-14T00:00:00" u="1"/>
        <d v="2023-01-19T00:00:00" u="1"/>
        <d v="2023-01-24T00:00:00" u="1"/>
        <d v="2023-01-29T00:00:00" u="1"/>
        <d v="2023-02-03T00:00:00" u="1"/>
        <d v="2023-02-08T00:00:00" u="1"/>
        <d v="2023-02-13T00:00:00" u="1"/>
        <d v="2023-02-18T00:00:00" u="1"/>
        <d v="2023-02-23T00:00:00" u="1"/>
        <d v="2023-02-28T00:00:00" u="1"/>
        <d v="2023-03-05T00:00:00" u="1"/>
        <d v="2023-03-10T00:00:00" u="1"/>
        <d v="2023-03-15T00:00:00" u="1"/>
        <d v="2023-03-20T00:00:00" u="1"/>
        <d v="2023-03-25T00:00:00" u="1"/>
        <d v="2023-03-30T00:00:00" u="1"/>
        <d v="2023-04-04T00:00:00" u="1"/>
        <d v="2023-04-09T00:00:00" u="1"/>
        <d v="2023-04-14T00:00:00" u="1"/>
        <d v="2023-04-19T00:00:00" u="1"/>
        <d v="2023-04-24T00:00:00" u="1"/>
        <d v="2023-05-04T00:00:00" u="1"/>
        <d v="2023-05-09T00:00:00" u="1"/>
        <d v="2023-05-14T00:00:00" u="1"/>
        <d v="2023-05-24T00:00:00" u="1"/>
        <d v="2023-06-03T00:00:00" u="1"/>
        <d v="2023-06-08T00:00:00" u="1"/>
        <d v="2023-06-13T00:00:00" u="1"/>
        <d v="2023-06-18T00:00:00" u="1"/>
        <d v="2023-06-23T00:00:00" u="1"/>
        <d v="2023-06-28T00:00:00" u="1"/>
        <d v="2023-07-03T00:00:00" u="1"/>
        <d v="2023-07-08T00:00:00" u="1"/>
        <d v="2023-07-13T00:00:00" u="1"/>
        <d v="2023-07-18T00:00:00" u="1"/>
        <d v="2023-08-12T00:00:00" u="1"/>
        <d v="2023-08-17T00:00:00" u="1"/>
        <d v="2023-08-22T00:00:00" u="1"/>
        <d v="2023-08-27T00:00:00" u="1"/>
        <d v="2023-09-06T00:00:00" u="1"/>
        <d v="2023-09-11T00:00:00" u="1"/>
        <d v="2023-09-16T00:00:00" u="1"/>
        <d v="2023-09-21T00:00:00" u="1"/>
        <d v="2023-09-26T00:00:00" u="1"/>
        <d v="2023-10-01T00:00:00" u="1"/>
        <d v="2023-10-06T00:00:00" u="1"/>
        <d v="2023-10-11T00:00:00" u="1"/>
        <d v="2023-10-16T00:00:00" u="1"/>
        <d v="2023-10-21T00:00:00" u="1"/>
        <d v="2023-10-26T00:00:00" u="1"/>
        <d v="2023-10-31T00:00:00" u="1"/>
        <d v="2023-11-05T00:00:00" u="1"/>
        <d v="2023-11-10T00:00:00" u="1"/>
        <d v="2023-11-15T00:00:00" u="1"/>
        <d v="2023-11-20T00:00:00" u="1"/>
        <d v="2023-11-30T00:00:00" u="1"/>
        <d v="2023-12-10T00:00:00" u="1"/>
        <d v="2023-12-15T00:00:00" u="1"/>
        <d v="2023-12-20T00:00:00" u="1"/>
        <d v="2023-12-25T00:00:00" u="1"/>
        <d v="2023-12-30T00:00:00" u="1"/>
        <d v="2024-01-04T00:00:00" u="1"/>
        <d v="2024-01-09T00:00:00" u="1"/>
        <d v="2024-01-14T00:00:00" u="1"/>
        <d v="2024-01-19T00:00:00" u="1"/>
        <d v="2024-01-24T00:00:00" u="1"/>
        <d v="2024-01-29T00:00:00" u="1"/>
        <d v="2024-02-03T00:00:00" u="1"/>
        <d v="2024-02-08T00:00:00" u="1"/>
        <d v="2024-02-13T00:00:00" u="1"/>
        <d v="2024-02-18T00:00:00" u="1"/>
        <d v="2024-02-23T00:00:00" u="1"/>
        <d v="2024-03-04T00:00:00" u="1"/>
        <d v="2024-03-09T00:00:00" u="1"/>
        <d v="2024-03-14T00:00:00" u="1"/>
        <d v="2024-03-19T00:00:00" u="1"/>
        <d v="2024-03-24T00:00:00" u="1"/>
        <d v="2024-03-29T00:00:00" u="1"/>
        <d v="2024-04-03T00:00:00" u="1"/>
        <d v="2024-04-08T00:00:00" u="1"/>
        <d v="2024-04-18T00:00:00" u="1"/>
        <d v="2024-04-23T00:00:00" u="1"/>
        <d v="2024-04-28T00:00:00" u="1"/>
        <d v="2024-05-03T00:00:00" u="1"/>
        <d v="2024-05-08T00:00:00" u="1"/>
        <d v="2024-05-13T00:00:00" u="1"/>
        <d v="2024-05-18T00:00:00" u="1"/>
        <d v="2024-05-23T00:00:00" u="1"/>
        <d v="2024-05-28T00:00:00" u="1"/>
        <d v="2024-06-07T00:00:00" u="1"/>
        <d v="2024-06-11T00:00:00" u="1"/>
        <d v="2024-06-12T00:00:00" u="1"/>
        <d v="2024-06-17T00:00:00" u="1"/>
        <d v="2024-06-22T00:00:00" u="1"/>
        <d v="2024-06-27T00:00:00" u="1"/>
        <d v="2024-07-02T00:00:00" u="1"/>
        <d v="2024-07-07T00:00:00" u="1"/>
        <d v="2024-07-12T00:00:00" u="1"/>
        <d v="2024-07-13T00:00:00" u="1"/>
        <d v="2024-07-17T00:00:00" u="1"/>
        <d v="2024-07-22T00:00:00" u="1"/>
        <d v="2024-07-27T00:00:00" u="1"/>
        <d v="2024-07-29T00:00:00" u="1"/>
        <d v="2024-08-01T00:00:00" u="1"/>
        <d v="2024-08-26T00:00:00" u="1"/>
        <d v="2024-08-31T00:00:00" u="1"/>
        <d v="2024-09-05T00:00:00" u="1"/>
        <d v="2024-09-10T00:00:00" u="1"/>
        <d v="2024-09-15T00:00:00" u="1"/>
        <d v="2024-09-20T00:00:00" u="1"/>
        <d v="2024-09-25T00:00:00" u="1"/>
        <d v="2024-09-30T00:00:00" u="1"/>
        <d v="2024-10-01T00:00:00" u="1"/>
        <d v="2024-10-05T00:00:00" u="1"/>
        <d v="2024-10-10T00:00:00" u="1"/>
        <d v="2024-10-17T00:00:00" u="1"/>
        <d v="2024-10-20T00:00:00" u="1"/>
        <d v="2024-10-25T00:00:00" u="1"/>
        <d v="2024-10-30T00:00:00" u="1"/>
        <d v="2024-11-02T00:00:00" u="1"/>
        <d v="2024-11-04T00:00:00" u="1"/>
        <d v="2024-11-14T00:00:00" u="1"/>
        <d v="2024-11-18T00:00:00" u="1"/>
        <d v="2024-11-19T00:00:00" u="1"/>
        <d v="2024-11-24T00:00:00" u="1"/>
        <d v="2024-11-29T00:00:00" u="1"/>
        <d v="2024-12-04T00:00:00" u="1"/>
        <d v="2024-12-09T00:00:00" u="1"/>
        <d v="2024-12-14T00:00:00" u="1"/>
        <d v="2024-12-19T00:00:00" u="1"/>
        <d v="2024-12-24T00:00:00" u="1"/>
        <d v="2024-12-29T00:00:00" u="1"/>
        <d v="2025-01-03T00:00:00" u="1"/>
        <d v="2025-01-05T00:00:00" u="1"/>
        <d v="2025-01-08T00:00:00" u="1"/>
        <d v="2025-01-13T00:00:00" u="1"/>
        <d v="2025-01-21T00:00:00" u="1"/>
        <d v="2025-01-23T00:00:00" u="1"/>
        <d v="2025-02-02T00:00:00" u="1"/>
        <d v="2025-02-06T00:00:00" u="1"/>
        <d v="2025-02-07T00:00:00" u="1"/>
        <d v="2025-02-12T00:00:00" u="1"/>
        <d v="2025-02-22T00:00:00" u="1"/>
        <d v="2025-03-04T00:00:00" u="1"/>
        <d v="2025-03-09T00:00:00" u="1"/>
        <d v="2025-03-14T00:00:00" u="1"/>
        <d v="2025-03-19T00:00:00" u="1"/>
        <d v="2025-03-24T00:00:00" u="1"/>
        <d v="2025-03-26T00:00:00" u="1"/>
        <d v="2025-03-29T00:00:00" u="1"/>
        <d v="2025-04-03T00:00:00" u="1"/>
        <d v="2025-04-11T00:00:00" u="1"/>
        <d v="2025-04-13T00:00:00" u="1"/>
        <d v="2025-04-15T00:00:00" u="1"/>
        <d v="2025-04-23T00:00:00" u="1"/>
        <d v="2025-04-28T00:00:00" u="1"/>
        <d v="2025-05-03T00:00:00" u="1"/>
        <d v="2025-05-05T00:00:00" u="1"/>
        <d v="2025-05-08T00:00:00" u="1"/>
        <d v="2025-05-13T00:00:00" u="1"/>
        <d v="2025-05-18T00:00:00" u="1"/>
        <d v="2025-05-23T00:00:00" u="1"/>
        <d v="2025-05-25T00:00:00" u="1"/>
        <d v="2025-05-28T00:00:00" u="1"/>
        <d v="2025-06-02T00:00:00" u="1"/>
        <d v="2025-06-05T00:00:00" u="1"/>
        <d v="2025-06-07T00:00:00" u="1"/>
        <d v="2025-06-12T00:00:00" u="1"/>
        <d v="2025-06-14T00:00:00" u="1"/>
        <d v="2025-06-17T00:00:00" u="1"/>
        <d v="2025-06-27T00:00:00" u="1"/>
        <d v="2024-10-15T00:00:00" u="1"/>
        <d v="2025-04-08T00:00:00" u="1"/>
        <d v="2025-06-22T00:00:00" u="1"/>
        <d v="1999-11-06T00:00:00" u="1"/>
      </sharedItems>
      <fieldGroup par="9"/>
    </cacheField>
    <cacheField name="Area (km2)" numFmtId="0">
      <sharedItems containsSemiMixedTypes="0" containsString="0" containsNumber="1" minValue="14.6" maxValue="15.42"/>
    </cacheField>
    <cacheField name="Volume (MCM)" numFmtId="166">
      <sharedItems/>
    </cacheField>
    <cacheField name="Elevation (SRTM30-m)" numFmtId="4">
      <sharedItems/>
    </cacheField>
    <cacheField name="Area (Acre)" numFmtId="3">
      <sharedItems containsSemiMixedTypes="0" containsString="0" containsNumber="1" minValue="3607.7385694206137" maxValue="3810.3649822236894"/>
    </cacheField>
    <cacheField name="Volume (Acre-ft)" numFmtId="3">
      <sharedItems/>
    </cacheField>
    <cacheField name="Elevation (SRTM30-ft)" numFmtId="164">
      <sharedItems/>
    </cacheField>
    <cacheField name="Months (Date)" numFmtId="0" databaseField="0">
      <fieldGroup base="1">
        <rangePr groupBy="months" startDate="2006-09-06T00:00:00" endDate="2006-09-23T00:00:00"/>
        <groupItems count="14">
          <s v="&lt;06/09/200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3/09/2006"/>
        </groupItems>
      </fieldGroup>
    </cacheField>
    <cacheField name="Years (Date)" numFmtId="0" databaseField="0">
      <fieldGroup base="1">
        <rangePr groupBy="years" startDate="2006-09-06T00:00:00" endDate="2006-09-23T00:00:00"/>
        <groupItems count="3">
          <s v="&lt;06/09/2006"/>
          <s v="2006"/>
          <s v="&gt;23/09/2006"/>
        </groupItems>
      </fieldGroup>
    </cacheField>
  </cacheFields>
  <extLst>
    <ext xmlns:x14="http://schemas.microsoft.com/office/spreadsheetml/2009/9/main" uri="{725AE2AE-9491-48be-B2B4-4EB974FC3084}">
      <x14:pivotCacheDefinition pivotCacheId="105671447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n v="1"/>
    <x v="0"/>
    <n v="15.42"/>
    <s v="Area above Calibration range"/>
    <s v="Area above Calibration range"/>
    <n v="3810.3649822236894"/>
    <e v="#VALUE!"/>
    <e v="#VALUE!"/>
  </r>
  <r>
    <n v="2"/>
    <x v="1"/>
    <n v="14.6"/>
    <s v="Area above Calibration range"/>
    <s v="Area above Calibration range"/>
    <n v="3607.7385694206137"/>
    <e v="#VALUE!"/>
    <e v="#VALUE!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57F2D3-2EF7-4C3F-8589-F05C51B58503}" name="tbl_AnnualReport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1">
  <location ref="A3:D4" firstHeaderRow="0" firstDataRow="1" firstDataCol="1"/>
  <pivotFields count="10">
    <pivotField showAll="0"/>
    <pivotField numFmtId="14" showAll="0">
      <items count="845">
        <item m="1" x="843"/>
        <item x="0"/>
        <item x="1"/>
        <item m="1" x="2"/>
        <item m="1" x="3"/>
        <item m="1" x="4"/>
        <item m="1" x="5"/>
        <item m="1" x="6"/>
        <item m="1" x="7"/>
        <item m="1" x="8"/>
        <item m="1" x="9"/>
        <item m="1" x="10"/>
        <item m="1" x="11"/>
        <item m="1" x="12"/>
        <item m="1" x="13"/>
        <item m="1" x="14"/>
        <item m="1" x="15"/>
        <item m="1" x="16"/>
        <item m="1" x="17"/>
        <item m="1" x="18"/>
        <item m="1" x="19"/>
        <item m="1" x="20"/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30"/>
        <item m="1" x="31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2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122"/>
        <item m="1" x="123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4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m="1" x="144"/>
        <item m="1" x="145"/>
        <item m="1" x="146"/>
        <item m="1" x="147"/>
        <item m="1" x="148"/>
        <item m="1" x="149"/>
        <item m="1" x="150"/>
        <item m="1" x="151"/>
        <item m="1" x="152"/>
        <item m="1" x="153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168"/>
        <item m="1" x="169"/>
        <item m="1" x="170"/>
        <item m="1" x="171"/>
        <item m="1" x="172"/>
        <item m="1" x="173"/>
        <item m="1" x="174"/>
        <item m="1" x="175"/>
        <item m="1" x="176"/>
        <item m="1" x="177"/>
        <item m="1" x="178"/>
        <item m="1" x="179"/>
        <item m="1" x="180"/>
        <item m="1" x="181"/>
        <item m="1" x="182"/>
        <item m="1" x="183"/>
        <item m="1" x="184"/>
        <item m="1" x="185"/>
        <item m="1" x="186"/>
        <item m="1" x="187"/>
        <item m="1" x="188"/>
        <item m="1" x="189"/>
        <item m="1" x="190"/>
        <item m="1" x="191"/>
        <item m="1" x="192"/>
        <item m="1" x="193"/>
        <item m="1" x="194"/>
        <item m="1" x="195"/>
        <item m="1" x="196"/>
        <item m="1" x="197"/>
        <item m="1" x="198"/>
        <item m="1" x="199"/>
        <item m="1" x="200"/>
        <item m="1" x="201"/>
        <item m="1" x="202"/>
        <item m="1" x="203"/>
        <item m="1" x="204"/>
        <item m="1" x="205"/>
        <item m="1" x="206"/>
        <item m="1" x="207"/>
        <item m="1" x="208"/>
        <item m="1" x="209"/>
        <item m="1" x="210"/>
        <item m="1" x="211"/>
        <item m="1" x="212"/>
        <item m="1" x="213"/>
        <item m="1" x="214"/>
        <item m="1" x="215"/>
        <item m="1" x="216"/>
        <item m="1" x="217"/>
        <item m="1" x="218"/>
        <item m="1" x="219"/>
        <item m="1" x="220"/>
        <item m="1" x="221"/>
        <item m="1" x="222"/>
        <item m="1" x="223"/>
        <item m="1" x="224"/>
        <item m="1" x="225"/>
        <item m="1" x="226"/>
        <item m="1" x="227"/>
        <item m="1" x="228"/>
        <item m="1" x="229"/>
        <item m="1" x="230"/>
        <item m="1" x="231"/>
        <item m="1" x="232"/>
        <item m="1" x="233"/>
        <item m="1" x="234"/>
        <item m="1" x="235"/>
        <item m="1" x="236"/>
        <item m="1" x="237"/>
        <item m="1" x="238"/>
        <item m="1" x="239"/>
        <item m="1" x="240"/>
        <item m="1" x="241"/>
        <item m="1" x="242"/>
        <item m="1" x="243"/>
        <item m="1" x="244"/>
        <item m="1" x="245"/>
        <item m="1" x="246"/>
        <item m="1" x="247"/>
        <item m="1" x="248"/>
        <item m="1" x="249"/>
        <item m="1" x="250"/>
        <item m="1" x="251"/>
        <item m="1" x="252"/>
        <item m="1" x="253"/>
        <item m="1" x="254"/>
        <item m="1" x="255"/>
        <item m="1" x="256"/>
        <item m="1" x="257"/>
        <item m="1" x="258"/>
        <item m="1" x="259"/>
        <item m="1" x="260"/>
        <item m="1" x="261"/>
        <item m="1" x="262"/>
        <item m="1" x="263"/>
        <item m="1" x="264"/>
        <item m="1" x="265"/>
        <item m="1" x="266"/>
        <item m="1" x="267"/>
        <item m="1" x="268"/>
        <item m="1" x="269"/>
        <item m="1" x="270"/>
        <item m="1" x="271"/>
        <item m="1" x="272"/>
        <item m="1" x="273"/>
        <item m="1" x="274"/>
        <item m="1" x="275"/>
        <item m="1" x="276"/>
        <item m="1" x="277"/>
        <item m="1" x="278"/>
        <item m="1" x="279"/>
        <item m="1" x="280"/>
        <item m="1" x="281"/>
        <item m="1" x="282"/>
        <item m="1" x="283"/>
        <item m="1" x="284"/>
        <item m="1" x="285"/>
        <item m="1" x="286"/>
        <item m="1" x="287"/>
        <item m="1" x="288"/>
        <item m="1" x="289"/>
        <item m="1" x="290"/>
        <item m="1" x="291"/>
        <item m="1" x="292"/>
        <item m="1" x="293"/>
        <item m="1" x="294"/>
        <item m="1" x="295"/>
        <item m="1" x="296"/>
        <item m="1" x="297"/>
        <item m="1" x="298"/>
        <item m="1" x="299"/>
        <item m="1" x="300"/>
        <item m="1" x="301"/>
        <item m="1" x="302"/>
        <item m="1" x="303"/>
        <item m="1" x="304"/>
        <item m="1" x="305"/>
        <item m="1" x="306"/>
        <item m="1" x="307"/>
        <item m="1" x="308"/>
        <item m="1" x="309"/>
        <item m="1" x="310"/>
        <item m="1" x="311"/>
        <item m="1" x="312"/>
        <item m="1" x="313"/>
        <item m="1" x="314"/>
        <item m="1" x="315"/>
        <item m="1" x="316"/>
        <item m="1" x="317"/>
        <item m="1" x="318"/>
        <item m="1" x="319"/>
        <item m="1" x="320"/>
        <item m="1" x="321"/>
        <item m="1" x="322"/>
        <item m="1" x="323"/>
        <item m="1" x="324"/>
        <item m="1" x="325"/>
        <item m="1" x="326"/>
        <item m="1" x="327"/>
        <item m="1" x="328"/>
        <item m="1" x="329"/>
        <item m="1" x="330"/>
        <item m="1" x="331"/>
        <item m="1" x="332"/>
        <item m="1" x="333"/>
        <item m="1" x="334"/>
        <item m="1" x="335"/>
        <item m="1" x="336"/>
        <item m="1" x="337"/>
        <item m="1" x="338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362"/>
        <item m="1" x="363"/>
        <item m="1" x="364"/>
        <item m="1" x="365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m="1" x="417"/>
        <item m="1" x="418"/>
        <item m="1" x="419"/>
        <item m="1" x="420"/>
        <item m="1" x="421"/>
        <item m="1" x="422"/>
        <item m="1" x="423"/>
        <item m="1" x="424"/>
        <item m="1" x="425"/>
        <item m="1" x="426"/>
        <item m="1" x="427"/>
        <item m="1" x="428"/>
        <item m="1" x="429"/>
        <item m="1" x="430"/>
        <item m="1" x="431"/>
        <item m="1" x="432"/>
        <item m="1" x="433"/>
        <item m="1" x="434"/>
        <item m="1" x="435"/>
        <item m="1" x="436"/>
        <item m="1" x="437"/>
        <item m="1" x="438"/>
        <item m="1" x="439"/>
        <item m="1" x="440"/>
        <item m="1" x="441"/>
        <item m="1" x="442"/>
        <item m="1" x="443"/>
        <item m="1" x="444"/>
        <item m="1" x="445"/>
        <item m="1" x="446"/>
        <item m="1" x="447"/>
        <item m="1" x="448"/>
        <item m="1" x="449"/>
        <item m="1" x="450"/>
        <item m="1" x="451"/>
        <item m="1" x="452"/>
        <item m="1" x="453"/>
        <item m="1" x="454"/>
        <item m="1" x="455"/>
        <item m="1" x="456"/>
        <item m="1" x="457"/>
        <item m="1" x="458"/>
        <item m="1" x="459"/>
        <item m="1" x="460"/>
        <item m="1" x="461"/>
        <item m="1" x="462"/>
        <item m="1" x="463"/>
        <item m="1" x="464"/>
        <item m="1" x="465"/>
        <item m="1" x="466"/>
        <item m="1" x="467"/>
        <item m="1" x="468"/>
        <item m="1" x="469"/>
        <item m="1" x="470"/>
        <item m="1" x="471"/>
        <item m="1" x="472"/>
        <item m="1" x="473"/>
        <item m="1" x="474"/>
        <item m="1" x="475"/>
        <item m="1" x="476"/>
        <item m="1" x="477"/>
        <item m="1" x="478"/>
        <item m="1" x="479"/>
        <item m="1" x="480"/>
        <item m="1" x="481"/>
        <item m="1" x="482"/>
        <item m="1" x="483"/>
        <item m="1" x="484"/>
        <item m="1" x="485"/>
        <item m="1" x="486"/>
        <item m="1" x="487"/>
        <item m="1" x="488"/>
        <item m="1" x="489"/>
        <item m="1" x="490"/>
        <item m="1" x="491"/>
        <item m="1" x="492"/>
        <item m="1" x="493"/>
        <item m="1" x="494"/>
        <item m="1" x="495"/>
        <item m="1" x="496"/>
        <item m="1" x="497"/>
        <item m="1" x="498"/>
        <item m="1" x="499"/>
        <item m="1" x="500"/>
        <item m="1" x="501"/>
        <item m="1" x="502"/>
        <item m="1" x="503"/>
        <item m="1" x="504"/>
        <item m="1" x="505"/>
        <item m="1" x="506"/>
        <item m="1" x="507"/>
        <item m="1" x="508"/>
        <item m="1" x="509"/>
        <item m="1" x="510"/>
        <item m="1" x="511"/>
        <item m="1" x="512"/>
        <item m="1" x="513"/>
        <item m="1" x="514"/>
        <item m="1" x="515"/>
        <item m="1" x="516"/>
        <item m="1" x="517"/>
        <item m="1" x="518"/>
        <item m="1" x="519"/>
        <item m="1" x="520"/>
        <item m="1" x="521"/>
        <item m="1" x="522"/>
        <item m="1" x="523"/>
        <item m="1" x="524"/>
        <item m="1" x="525"/>
        <item m="1" x="526"/>
        <item m="1" x="527"/>
        <item m="1" x="528"/>
        <item m="1" x="529"/>
        <item m="1" x="530"/>
        <item m="1" x="531"/>
        <item m="1" x="532"/>
        <item m="1" x="533"/>
        <item m="1" x="534"/>
        <item m="1" x="535"/>
        <item m="1" x="536"/>
        <item m="1" x="537"/>
        <item m="1" x="538"/>
        <item m="1" x="539"/>
        <item m="1" x="540"/>
        <item m="1" x="541"/>
        <item m="1" x="542"/>
        <item m="1" x="543"/>
        <item m="1" x="544"/>
        <item m="1" x="545"/>
        <item m="1" x="546"/>
        <item m="1" x="547"/>
        <item m="1" x="548"/>
        <item m="1" x="549"/>
        <item m="1" x="550"/>
        <item m="1" x="551"/>
        <item m="1" x="552"/>
        <item m="1" x="553"/>
        <item m="1" x="554"/>
        <item m="1" x="555"/>
        <item m="1" x="556"/>
        <item m="1" x="557"/>
        <item m="1" x="558"/>
        <item m="1" x="559"/>
        <item m="1" x="560"/>
        <item m="1" x="561"/>
        <item m="1" x="562"/>
        <item m="1" x="563"/>
        <item m="1" x="564"/>
        <item m="1" x="565"/>
        <item m="1" x="566"/>
        <item m="1" x="567"/>
        <item m="1" x="568"/>
        <item m="1" x="569"/>
        <item m="1" x="570"/>
        <item m="1" x="571"/>
        <item m="1" x="572"/>
        <item m="1" x="573"/>
        <item m="1" x="574"/>
        <item m="1" x="575"/>
        <item m="1" x="576"/>
        <item m="1" x="577"/>
        <item m="1" x="578"/>
        <item m="1" x="579"/>
        <item m="1" x="580"/>
        <item m="1" x="581"/>
        <item m="1" x="582"/>
        <item m="1" x="583"/>
        <item m="1" x="584"/>
        <item m="1" x="585"/>
        <item m="1" x="586"/>
        <item m="1" x="587"/>
        <item m="1" x="588"/>
        <item m="1" x="589"/>
        <item m="1" x="590"/>
        <item m="1" x="591"/>
        <item m="1" x="592"/>
        <item m="1" x="593"/>
        <item m="1" x="594"/>
        <item m="1" x="595"/>
        <item m="1" x="596"/>
        <item m="1" x="597"/>
        <item m="1" x="598"/>
        <item m="1" x="599"/>
        <item m="1" x="600"/>
        <item m="1" x="601"/>
        <item m="1" x="602"/>
        <item m="1" x="603"/>
        <item m="1" x="604"/>
        <item m="1" x="605"/>
        <item m="1" x="606"/>
        <item m="1" x="607"/>
        <item m="1" x="608"/>
        <item m="1" x="609"/>
        <item m="1" x="610"/>
        <item m="1" x="611"/>
        <item m="1" x="612"/>
        <item m="1" x="613"/>
        <item m="1" x="614"/>
        <item m="1" x="615"/>
        <item m="1" x="616"/>
        <item m="1" x="617"/>
        <item m="1" x="618"/>
        <item m="1" x="619"/>
        <item m="1" x="620"/>
        <item m="1" x="621"/>
        <item m="1" x="622"/>
        <item m="1" x="623"/>
        <item m="1" x="624"/>
        <item m="1" x="625"/>
        <item m="1" x="626"/>
        <item m="1" x="627"/>
        <item m="1" x="628"/>
        <item m="1" x="629"/>
        <item m="1" x="630"/>
        <item m="1" x="631"/>
        <item m="1" x="632"/>
        <item m="1" x="633"/>
        <item m="1" x="634"/>
        <item m="1" x="635"/>
        <item m="1" x="636"/>
        <item m="1" x="637"/>
        <item m="1" x="638"/>
        <item m="1" x="639"/>
        <item m="1" x="640"/>
        <item m="1" x="641"/>
        <item m="1" x="642"/>
        <item m="1" x="643"/>
        <item m="1" x="644"/>
        <item m="1" x="645"/>
        <item m="1" x="646"/>
        <item m="1" x="647"/>
        <item m="1" x="648"/>
        <item m="1" x="649"/>
        <item m="1" x="650"/>
        <item m="1" x="651"/>
        <item m="1" x="652"/>
        <item m="1" x="653"/>
        <item m="1" x="654"/>
        <item m="1" x="655"/>
        <item m="1" x="656"/>
        <item m="1" x="657"/>
        <item m="1" x="658"/>
        <item m="1" x="659"/>
        <item m="1" x="660"/>
        <item m="1" x="661"/>
        <item m="1" x="662"/>
        <item m="1" x="663"/>
        <item m="1" x="664"/>
        <item m="1" x="665"/>
        <item m="1" x="666"/>
        <item m="1" x="667"/>
        <item m="1" x="668"/>
        <item m="1" x="669"/>
        <item m="1" x="670"/>
        <item m="1" x="671"/>
        <item m="1" x="672"/>
        <item m="1" x="673"/>
        <item m="1" x="674"/>
        <item m="1" x="675"/>
        <item m="1" x="676"/>
        <item m="1" x="677"/>
        <item m="1" x="678"/>
        <item m="1" x="679"/>
        <item m="1" x="680"/>
        <item m="1" x="681"/>
        <item m="1" x="682"/>
        <item m="1" x="683"/>
        <item m="1" x="684"/>
        <item m="1" x="685"/>
        <item m="1" x="686"/>
        <item m="1" x="687"/>
        <item m="1" x="688"/>
        <item m="1" x="689"/>
        <item m="1" x="690"/>
        <item m="1" x="691"/>
        <item m="1" x="692"/>
        <item m="1" x="693"/>
        <item m="1" x="694"/>
        <item m="1" x="695"/>
        <item m="1" x="696"/>
        <item m="1" x="697"/>
        <item m="1" x="698"/>
        <item m="1" x="699"/>
        <item m="1" x="700"/>
        <item m="1" x="701"/>
        <item m="1" x="702"/>
        <item m="1" x="703"/>
        <item m="1" x="704"/>
        <item m="1" x="705"/>
        <item m="1" x="706"/>
        <item m="1" x="707"/>
        <item m="1" x="708"/>
        <item m="1" x="709"/>
        <item m="1" x="710"/>
        <item m="1" x="711"/>
        <item m="1" x="712"/>
        <item m="1" x="713"/>
        <item m="1" x="714"/>
        <item m="1" x="715"/>
        <item m="1" x="716"/>
        <item m="1" x="717"/>
        <item m="1" x="718"/>
        <item m="1" x="719"/>
        <item m="1" x="720"/>
        <item m="1" x="721"/>
        <item m="1" x="722"/>
        <item m="1" x="723"/>
        <item m="1" x="724"/>
        <item m="1" x="725"/>
        <item m="1" x="726"/>
        <item m="1" x="727"/>
        <item m="1" x="728"/>
        <item m="1" x="729"/>
        <item m="1" x="730"/>
        <item m="1" x="731"/>
        <item m="1" x="732"/>
        <item m="1" x="733"/>
        <item m="1" x="734"/>
        <item m="1" x="735"/>
        <item m="1" x="736"/>
        <item m="1" x="737"/>
        <item m="1" x="738"/>
        <item m="1" x="739"/>
        <item m="1" x="740"/>
        <item m="1" x="741"/>
        <item m="1" x="742"/>
        <item m="1" x="743"/>
        <item m="1" x="744"/>
        <item m="1" x="745"/>
        <item m="1" x="746"/>
        <item m="1" x="747"/>
        <item m="1" x="748"/>
        <item m="1" x="749"/>
        <item m="1" x="750"/>
        <item m="1" x="751"/>
        <item m="1" x="752"/>
        <item m="1" x="753"/>
        <item m="1" x="754"/>
        <item m="1" x="755"/>
        <item m="1" x="756"/>
        <item m="1" x="757"/>
        <item m="1" x="758"/>
        <item m="1" x="759"/>
        <item m="1" x="760"/>
        <item m="1" x="761"/>
        <item m="1" x="762"/>
        <item m="1" x="763"/>
        <item m="1" x="764"/>
        <item m="1" x="765"/>
        <item m="1" x="766"/>
        <item m="1" x="767"/>
        <item m="1" x="768"/>
        <item m="1" x="769"/>
        <item m="1" x="770"/>
        <item m="1" x="771"/>
        <item m="1" x="772"/>
        <item m="1" x="773"/>
        <item m="1" x="774"/>
        <item m="1" x="775"/>
        <item m="1" x="776"/>
        <item m="1" x="777"/>
        <item m="1" x="778"/>
        <item m="1" x="779"/>
        <item m="1" x="780"/>
        <item m="1" x="781"/>
        <item m="1" x="782"/>
        <item m="1" x="783"/>
        <item m="1" x="840"/>
        <item m="1" x="784"/>
        <item m="1" x="785"/>
        <item m="1" x="786"/>
        <item m="1" x="787"/>
        <item m="1" x="788"/>
        <item m="1" x="789"/>
        <item m="1" x="790"/>
        <item m="1" x="791"/>
        <item m="1" x="792"/>
        <item m="1" x="793"/>
        <item m="1" x="794"/>
        <item m="1" x="795"/>
        <item m="1" x="796"/>
        <item m="1" x="797"/>
        <item m="1" x="798"/>
        <item m="1" x="799"/>
        <item m="1" x="800"/>
        <item m="1" x="801"/>
        <item m="1" x="802"/>
        <item m="1" x="803"/>
        <item m="1" x="804"/>
        <item m="1" x="805"/>
        <item m="1" x="806"/>
        <item m="1" x="807"/>
        <item m="1" x="808"/>
        <item m="1" x="809"/>
        <item m="1" x="810"/>
        <item m="1" x="811"/>
        <item m="1" x="812"/>
        <item m="1" x="813"/>
        <item m="1" x="814"/>
        <item m="1" x="815"/>
        <item m="1" x="816"/>
        <item m="1" x="817"/>
        <item m="1" x="818"/>
        <item m="1" x="819"/>
        <item m="1" x="841"/>
        <item m="1" x="820"/>
        <item m="1" x="821"/>
        <item m="1" x="822"/>
        <item m="1" x="823"/>
        <item m="1" x="824"/>
        <item m="1" x="825"/>
        <item m="1" x="826"/>
        <item m="1" x="827"/>
        <item m="1" x="828"/>
        <item m="1" x="829"/>
        <item m="1" x="830"/>
        <item m="1" x="831"/>
        <item m="1" x="832"/>
        <item m="1" x="833"/>
        <item m="1" x="834"/>
        <item m="1" x="835"/>
        <item m="1" x="836"/>
        <item m="1" x="837"/>
        <item m="1" x="838"/>
        <item m="1" x="842"/>
        <item m="1" x="839"/>
        <item t="default"/>
      </items>
    </pivotField>
    <pivotField showAll="0"/>
    <pivotField dataField="1" numFmtId="164" showAll="0"/>
    <pivotField numFmtId="164" showAll="0"/>
    <pivotField numFmtId="3" showAll="0"/>
    <pivotField numFmtId="3" showAll="0"/>
    <pivotField numFmtId="16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4">
        <item x="1"/>
        <item x="0"/>
        <item x="2"/>
        <item t="default"/>
      </items>
    </pivotField>
  </pivotFields>
  <rowFields count="1">
    <field x="9"/>
  </rowFields>
  <rowItems count="1">
    <i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Min of Volume (MCM)" fld="3" subtotal="min" baseField="0" baseItem="0" numFmtId="164"/>
    <dataField name="Average of Volume (MCM)" fld="3" subtotal="average" baseField="0" baseItem="0" numFmtId="164"/>
    <dataField name="Max of Volume (MCM)" fld="3" subtotal="max" baseField="0" baseItem="0" numFmtId="164"/>
  </dataFields>
  <chartFormats count="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B79ED59-70CA-45EA-9570-A3584F71B443}" name="tbl_Spillway" displayName="tbl_Spillway" ref="E5:G8" totalsRowShown="0" headerRowDxfId="42" dataDxfId="41">
  <autoFilter ref="E5:G8" xr:uid="{2B79ED59-70CA-45EA-9570-A3584F71B443}">
    <filterColumn colId="0" hiddenButton="1"/>
    <filterColumn colId="1" hiddenButton="1"/>
    <filterColumn colId="2" hiddenButton="1"/>
  </autoFilter>
  <tableColumns count="3">
    <tableColumn id="1" xr3:uid="{20BB013B-CBA6-49F4-A648-F774B4CCA75A}" name="x" dataDxfId="40"/>
    <tableColumn id="2" xr3:uid="{D6FED401-6BEE-460F-839E-A1AE674A942A}" name="y" dataDxfId="39"/>
    <tableColumn id="3" xr3:uid="{36B8D658-24AE-46DB-9254-AB19756B2D47}" name="Name" dataDxfId="38">
      <calculatedColumnFormula>_xlfn.CONCAT("Estimated Top of Spillway (",tbl_Spillway[[#This Row],[y]],"m)")</calculatedColumnFormula>
    </tableColumn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1338DBE-B962-4931-901D-9A5872AA9BD4}" name="tbl_Info" displayName="tbl_Info" ref="B4:C46" headerRowCount="0" totalsRowShown="0" headerRowDxfId="37" dataDxfId="36" tableBorderDxfId="35" totalsRowBorderDxfId="34" headerRowCellStyle="Normal 2" dataCellStyle="Normal 2">
  <tableColumns count="2">
    <tableColumn id="1" xr3:uid="{21E66A7E-B5EC-49AD-A55B-D87D50A956CD}" name="Column1" headerRowDxfId="33" dataDxfId="32" headerRowCellStyle="Normal 2" dataCellStyle="Normal 2"/>
    <tableColumn id="2" xr3:uid="{E84C8069-3706-4EEA-9405-FC65852072C1}" name="Column2" headerRowDxfId="31" dataDxfId="30" headerRowCellStyle="Normal 2" dataCellStyle="Normal 2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6FA880-6673-467E-88B3-395BE852922A}" name="tbl_Data" displayName="tbl_Data" ref="B4:J6" totalsRowShown="0" headerRowDxfId="29" dataDxfId="28">
  <autoFilter ref="B4:J6" xr:uid="{733C5FC2-4706-43B5-9AC1-CDB0DDFD1FE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B4BA750D-DB9D-4224-91A7-8E0E91B3AFF5}" name="ID" dataDxfId="27">
      <calculatedColumnFormula>ROW()-4</calculatedColumnFormula>
    </tableColumn>
    <tableColumn id="5" xr3:uid="{BB20D96A-187E-49EE-B18D-1211302FDD0F}" name="SRTM30 Elevation (m)" dataDxfId="26" dataCellStyle="Normal 3"/>
    <tableColumn id="9" xr3:uid="{63A24245-E5A8-4F8F-918A-4FDD0DF7B4C0}" name="Pixels" dataDxfId="25" dataCellStyle="Normal 3"/>
    <tableColumn id="10" xr3:uid="{BD436A0C-A21A-4893-BD23-D5DCB5F9C7D0}" name="Area (m2)" dataDxfId="24" dataCellStyle="Normal 3"/>
    <tableColumn id="7" xr3:uid="{DD3286D5-720C-4809-89EB-4EE013AEE195}" name="Capacity (m3)" dataDxfId="23" dataCellStyle="Normal 3"/>
    <tableColumn id="8" xr3:uid="{5A784AE9-A7F1-471D-939F-269F3CC9A446}" name="Area (km2)" dataDxfId="22">
      <calculatedColumnFormula>tbl_Data[[#This Row],[Area (m2)]]/1000000</calculatedColumnFormula>
    </tableColumn>
    <tableColumn id="2" xr3:uid="{1A8CBAFC-B485-3942-82BC-8B38E9F07CCE}" name="Volume (MCM)" dataDxfId="21">
      <calculatedColumnFormula>tbl_Data[[#This Row],[Capacity (m3)]]/1000000</calculatedColumnFormula>
    </tableColumn>
    <tableColumn id="3" xr3:uid="{BA9FF4E4-4E50-4527-9EA3-E9B400BD2E83}" name="Area (Acre)" dataDxfId="20">
      <calculatedColumnFormula>tbl_Data[[#This Row],[Area (m2)]]/4046.8564224</calculatedColumnFormula>
    </tableColumn>
    <tableColumn id="4" xr3:uid="{B330F0B0-CD21-44A7-8C1D-9A71358C46BF}" name="Volume (Acre-ft)" dataDxfId="19">
      <calculatedColumnFormula>tbl_Data[[#This Row],[Capacity (m3)]]/1233.4818375475</calculatedColumnFormula>
    </tableColumn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BA3E3C8-1FAF-674B-81A5-E683F1D91916}" name="tbl_Reservoir" displayName="tbl_Reservoir" ref="B4:G6" totalsRowShown="0" headerRowDxfId="18" headerRowCellStyle="Normal 5" dataCellStyle="Normal 5">
  <autoFilter ref="B4:G6" xr:uid="{6BA3E3C8-1FAF-674B-81A5-E683F1D9191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0F130170-B2AA-994C-9F6E-A778AD3EF9EB}" name="time"/>
    <tableColumn id="2" xr3:uid="{0E0CC2A4-EAEA-C74E-867B-D40EDFF0BBDC}" name="Surface Water Area (km2)"/>
    <tableColumn id="6" xr3:uid="{FEFC515B-0608-5645-8099-DC7238F8DEE4}" name="_" dataDxfId="17" dataCellStyle="Normal 5"/>
    <tableColumn id="3" xr3:uid="{27966D65-18D0-F246-AF38-5B06C2DADC3E}" name="No" dataDxfId="16" dataCellStyle="Normal 5">
      <calculatedColumnFormula>ROW()-4</calculatedColumnFormula>
    </tableColumn>
    <tableColumn id="4" xr3:uid="{39DE45EA-4FFC-5F41-99ED-2B68413D765A}" name="Date" dataDxfId="15" dataCellStyle="Normal 5">
      <calculatedColumnFormula>LEFT(tbl_Reservoir[[#This Row],[time]],10)*1</calculatedColumnFormula>
    </tableColumn>
    <tableColumn id="5" xr3:uid="{01A24F1D-790B-9C48-B1BC-2F6CF5B1F83D}" name="Reservoir Area (km2)" dataDxfId="14" dataCellStyle="Normal 5">
      <calculatedColumnFormula>tbl_Reservoir[[#This Row],[Surface Water Area (km2)]]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CB3E84F-5A61-AB4F-9E79-9D829C8AEE8A}" name="tbl_MonitoringFormulas" displayName="tbl_MonitoringFormulas" ref="I3:J6" totalsRowShown="0">
  <autoFilter ref="I3:J6" xr:uid="{0CB3E84F-5A61-AB4F-9E79-9D829C8AEE8A}">
    <filterColumn colId="0" hiddenButton="1"/>
    <filterColumn colId="1" hiddenButton="1"/>
  </autoFilter>
  <tableColumns count="2">
    <tableColumn id="1" xr3:uid="{F0FF6AD3-8E4F-544E-8108-4FF62FE45F77}" name="Parameter" dataDxfId="13" dataCellStyle="Normal 5"/>
    <tableColumn id="2" xr3:uid="{84118524-BA39-5044-982F-59D0C88928B0}" name="Formula" dataDxfId="12" dataCellStyle="Normal 5"/>
  </tableColumns>
  <tableStyleInfo name="TableStyleLight10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A436E37-D506-1C44-925B-C7AC73741D24}" name="tbl_Monitoring" displayName="tbl_Monitoring" ref="B4:I6" totalsRowShown="0" headerRowDxfId="11" dataDxfId="10">
  <autoFilter ref="B4:I6" xr:uid="{6A436E37-D506-1C44-925B-C7AC73741D2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DD6EB76A-2AB8-F343-9620-EE3E2CCB495F}" name="No" dataDxfId="9" dataCellStyle="Normal 5"/>
    <tableColumn id="2" xr3:uid="{7D06FD62-8EF4-3743-9628-C610AD265C2D}" name="Date" dataDxfId="8" dataCellStyle="Normal 5"/>
    <tableColumn id="3" xr3:uid="{B3D48476-844F-ED4E-9B49-22343477348C}" name="Area (km2)" dataDxfId="7" dataCellStyle="Normal 5"/>
    <tableColumn id="4" xr3:uid="{3B0D6703-677C-F04E-BE6C-BF8F544A80E2}" name="Volume (MCM)" dataDxfId="6">
      <calculatedColumnFormula array="1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calculatedColumnFormula>
    </tableColumn>
    <tableColumn id="5" xr3:uid="{2D551D4E-DE8A-E44C-BA21-3B68E1E7DE8D}" name="Elevation (SRTM30-m)" dataDxfId="5">
      <calculatedColumnFormula array="1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calculatedColumnFormula>
    </tableColumn>
    <tableColumn id="6" xr3:uid="{EC4738C3-117B-F847-8158-833663AD1FE0}" name="Area (Acre)" dataDxfId="4">
      <calculatedColumnFormula>tbl_Monitoring[[#This Row],[Area (km2)]]/4046.8564224*1000000</calculatedColumnFormula>
    </tableColumn>
    <tableColumn id="7" xr3:uid="{5B0525C2-E77B-4149-80B2-71253E3A5158}" name="Volume (Acre-ft)" dataDxfId="3">
      <calculatedColumnFormula>tbl_Monitoring[[#This Row],[Volume (MCM)]]/1233.4818375475*1000000</calculatedColumnFormula>
    </tableColumn>
    <tableColumn id="8" xr3:uid="{9C9960D4-0859-3142-AC40-4770739AE628}" name="Elevation (SRTM30-ft)" dataDxfId="2">
      <calculatedColumnFormula>tbl_Monitoring[[#This Row],[Elevation (SRTM30-m)]]*3.280839895</calculatedColumnFormula>
    </tableColumn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4860822-F348-4989-89E7-B45B15CB2B82}" name="tbl_Export" displayName="tbl_Export" ref="B4:I6" totalsRowShown="0">
  <autoFilter ref="B4:I6" xr:uid="{84860822-F348-4989-89E7-B45B15CB2B8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36940657-CBBF-4BD6-B54B-E2EFEFF54E77}" name="No" dataDxfId="1"/>
    <tableColumn id="2" xr3:uid="{F5FE1F98-BB5A-4263-B48D-C941AEE2EF96}" name="Date" dataDxfId="0"/>
    <tableColumn id="3" xr3:uid="{23CDA93D-FA70-4112-A9E8-866DF65A74C1}" name="Area (km2)"/>
    <tableColumn id="4" xr3:uid="{2BB09981-D4C2-4F44-BBA2-97B99DB20317}" name="Volume (MCM)"/>
    <tableColumn id="5" xr3:uid="{CD5263AD-A53C-4C9E-861D-C5BC140D6935}" name="Elevation (SRTM30-m)"/>
    <tableColumn id="6" xr3:uid="{391278BE-F40A-47E1-9D9B-207F47414CC7}" name="Area (Acre)"/>
    <tableColumn id="7" xr3:uid="{17859669-BF3B-47BE-B438-CDEA2F025F8C}" name="Volume (Acre-ft)"/>
    <tableColumn id="8" xr3:uid="{4CC0B1F8-8EDA-4CA8-B094-662697DD110E}" name="Elevation (SRTM30-ft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globalwaterwatch.earth/" TargetMode="External"/><Relationship Id="rId5" Type="http://schemas.openxmlformats.org/officeDocument/2006/relationships/table" Target="../tables/table2.xml"/><Relationship Id="rId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631AC-BE98-409D-B8EF-BC50EE36EC03}">
  <sheetPr>
    <pageSetUpPr fitToPage="1"/>
  </sheetPr>
  <dimension ref="A1:I55"/>
  <sheetViews>
    <sheetView tabSelected="1" zoomScaleNormal="100" workbookViewId="0">
      <selection activeCell="C46" sqref="C46"/>
    </sheetView>
  </sheetViews>
  <sheetFormatPr defaultColWidth="12.46484375" defaultRowHeight="15.75" x14ac:dyDescent="0.5"/>
  <cols>
    <col min="1" max="1" width="3.6640625" style="4" customWidth="1"/>
    <col min="2" max="2" width="23.1328125" style="4" customWidth="1"/>
    <col min="3" max="3" width="89.6640625" style="4" bestFit="1" customWidth="1"/>
    <col min="4" max="6" width="12.46484375" style="4"/>
    <col min="7" max="7" width="39.33203125" style="4" customWidth="1"/>
    <col min="8" max="8" width="4.1328125" style="4" customWidth="1"/>
    <col min="9" max="16384" width="12.46484375" style="4"/>
  </cols>
  <sheetData>
    <row r="1" spans="1:9" x14ac:dyDescent="0.5">
      <c r="B1" s="87"/>
      <c r="C1" s="57"/>
      <c r="E1" s="57"/>
      <c r="F1" s="57"/>
      <c r="G1" s="57"/>
    </row>
    <row r="2" spans="1:9" x14ac:dyDescent="0.5">
      <c r="A2" s="58"/>
      <c r="B2" s="61" t="s">
        <v>50</v>
      </c>
      <c r="C2" s="62"/>
      <c r="D2" s="63"/>
      <c r="E2" s="55" t="s">
        <v>54</v>
      </c>
      <c r="F2" s="56"/>
      <c r="G2" s="64"/>
    </row>
    <row r="3" spans="1:9" x14ac:dyDescent="0.5">
      <c r="D3" s="58"/>
      <c r="E3" s="67" t="s">
        <v>53</v>
      </c>
      <c r="F3" s="66"/>
      <c r="G3" s="65"/>
    </row>
    <row r="4" spans="1:9" x14ac:dyDescent="0.5">
      <c r="B4" s="99" t="s">
        <v>5</v>
      </c>
      <c r="C4" s="100" t="s">
        <v>103</v>
      </c>
    </row>
    <row r="5" spans="1:9" x14ac:dyDescent="0.5">
      <c r="B5" s="107" t="s">
        <v>6</v>
      </c>
      <c r="C5" s="107"/>
      <c r="E5" s="1" t="s">
        <v>2</v>
      </c>
      <c r="F5" s="1" t="s">
        <v>3</v>
      </c>
      <c r="G5" s="1" t="s">
        <v>4</v>
      </c>
    </row>
    <row r="6" spans="1:9" x14ac:dyDescent="0.5">
      <c r="B6" s="108" t="s">
        <v>7</v>
      </c>
      <c r="C6" s="108"/>
      <c r="E6" s="1">
        <v>0</v>
      </c>
      <c r="F6" s="1">
        <v>1</v>
      </c>
      <c r="G6" s="1" t="s">
        <v>24</v>
      </c>
      <c r="I6" s="54" t="s">
        <v>57</v>
      </c>
    </row>
    <row r="7" spans="1:9" x14ac:dyDescent="0.5">
      <c r="B7" s="107" t="s">
        <v>8</v>
      </c>
      <c r="C7" s="107"/>
      <c r="E7" s="1">
        <f>E8*0.5</f>
        <v>1.3500000000000001E-3</v>
      </c>
      <c r="F7" s="1">
        <v>1</v>
      </c>
      <c r="G7" s="1" t="str">
        <f>_xlfn.CONCAT("Estimated Top of Spillway (",tbl_Spillway[[#This Row],[y]],"m)")</f>
        <v>Estimated Top of Spillway (1m)</v>
      </c>
      <c r="I7" s="88" t="s">
        <v>73</v>
      </c>
    </row>
    <row r="8" spans="1:9" x14ac:dyDescent="0.5">
      <c r="B8" s="108" t="s">
        <v>9</v>
      </c>
      <c r="C8" s="108"/>
      <c r="E8" s="1">
        <f>MAX(tbl_Data[Volume (MCM)])</f>
        <v>2.7000000000000001E-3</v>
      </c>
      <c r="F8" s="1">
        <v>1</v>
      </c>
      <c r="G8" s="1" t="s">
        <v>24</v>
      </c>
      <c r="I8" s="119" t="s">
        <v>72</v>
      </c>
    </row>
    <row r="9" spans="1:9" x14ac:dyDescent="0.5">
      <c r="B9" s="107" t="s">
        <v>10</v>
      </c>
      <c r="C9" s="107"/>
      <c r="E9" s="3" t="s">
        <v>39</v>
      </c>
    </row>
    <row r="10" spans="1:9" x14ac:dyDescent="0.5">
      <c r="B10" s="108" t="s">
        <v>87</v>
      </c>
      <c r="C10" s="109"/>
    </row>
    <row r="11" spans="1:9" x14ac:dyDescent="0.5">
      <c r="B11" s="107" t="s">
        <v>11</v>
      </c>
      <c r="C11" s="110"/>
    </row>
    <row r="12" spans="1:9" x14ac:dyDescent="0.5">
      <c r="B12" s="108" t="s">
        <v>97</v>
      </c>
      <c r="C12" s="109"/>
    </row>
    <row r="13" spans="1:9" x14ac:dyDescent="0.5">
      <c r="B13" s="107"/>
      <c r="C13" s="107"/>
    </row>
    <row r="14" spans="1:9" x14ac:dyDescent="0.5">
      <c r="B14" s="111" t="s">
        <v>78</v>
      </c>
      <c r="C14" s="109"/>
    </row>
    <row r="15" spans="1:9" x14ac:dyDescent="0.5">
      <c r="B15" s="107" t="s">
        <v>79</v>
      </c>
      <c r="C15" s="107"/>
    </row>
    <row r="16" spans="1:9" x14ac:dyDescent="0.5">
      <c r="B16" s="108" t="s">
        <v>80</v>
      </c>
      <c r="C16" s="108"/>
      <c r="E16" s="17" t="s">
        <v>42</v>
      </c>
    </row>
    <row r="17" spans="2:5" x14ac:dyDescent="0.5">
      <c r="B17" s="107" t="s">
        <v>81</v>
      </c>
      <c r="C17" s="107"/>
      <c r="E17" s="28" t="s">
        <v>49</v>
      </c>
    </row>
    <row r="18" spans="2:5" x14ac:dyDescent="0.5">
      <c r="B18" s="108" t="s">
        <v>82</v>
      </c>
      <c r="C18" s="108"/>
      <c r="E18" s="17" t="s">
        <v>43</v>
      </c>
    </row>
    <row r="19" spans="2:5" x14ac:dyDescent="0.5">
      <c r="B19" s="107"/>
      <c r="C19" s="112"/>
      <c r="E19" s="17" t="s">
        <v>44</v>
      </c>
    </row>
    <row r="20" spans="2:5" x14ac:dyDescent="0.5">
      <c r="B20" s="113" t="s">
        <v>83</v>
      </c>
      <c r="C20" s="108"/>
      <c r="E20" s="52" t="s">
        <v>52</v>
      </c>
    </row>
    <row r="21" spans="2:5" x14ac:dyDescent="0.5">
      <c r="B21" s="107" t="s">
        <v>79</v>
      </c>
      <c r="C21" s="107"/>
      <c r="E21" s="102" t="s">
        <v>98</v>
      </c>
    </row>
    <row r="22" spans="2:5" x14ac:dyDescent="0.5">
      <c r="B22" s="108" t="s">
        <v>84</v>
      </c>
      <c r="C22" s="108"/>
      <c r="E22" s="102" t="s">
        <v>99</v>
      </c>
    </row>
    <row r="23" spans="2:5" x14ac:dyDescent="0.5">
      <c r="B23" s="107" t="s">
        <v>85</v>
      </c>
      <c r="C23" s="107"/>
      <c r="E23" s="102" t="s">
        <v>100</v>
      </c>
    </row>
    <row r="24" spans="2:5" x14ac:dyDescent="0.5">
      <c r="B24" s="108" t="s">
        <v>86</v>
      </c>
      <c r="C24" s="108"/>
      <c r="E24" s="102" t="s">
        <v>101</v>
      </c>
    </row>
    <row r="25" spans="2:5" x14ac:dyDescent="0.5">
      <c r="B25" s="107"/>
      <c r="C25" s="107"/>
      <c r="E25" s="102" t="s">
        <v>102</v>
      </c>
    </row>
    <row r="26" spans="2:5" x14ac:dyDescent="0.5">
      <c r="B26" s="111" t="s">
        <v>55</v>
      </c>
      <c r="C26" s="108"/>
    </row>
    <row r="27" spans="2:5" x14ac:dyDescent="0.5">
      <c r="B27" s="107" t="s">
        <v>12</v>
      </c>
      <c r="C27" s="107"/>
    </row>
    <row r="28" spans="2:5" x14ac:dyDescent="0.5">
      <c r="B28" s="108" t="s">
        <v>13</v>
      </c>
      <c r="C28" s="108"/>
    </row>
    <row r="29" spans="2:5" x14ac:dyDescent="0.5">
      <c r="B29" s="107" t="s">
        <v>104</v>
      </c>
      <c r="C29" s="107"/>
    </row>
    <row r="30" spans="2:5" x14ac:dyDescent="0.5">
      <c r="B30" s="108"/>
      <c r="C30" s="108"/>
    </row>
    <row r="31" spans="2:5" x14ac:dyDescent="0.5">
      <c r="B31" s="114" t="s">
        <v>88</v>
      </c>
      <c r="C31" s="107"/>
    </row>
    <row r="32" spans="2:5" x14ac:dyDescent="0.5">
      <c r="B32" s="108" t="s">
        <v>89</v>
      </c>
      <c r="C32" s="108"/>
    </row>
    <row r="33" spans="1:3" x14ac:dyDescent="0.5">
      <c r="B33" s="107" t="s">
        <v>90</v>
      </c>
      <c r="C33" s="107"/>
    </row>
    <row r="34" spans="1:3" x14ac:dyDescent="0.5">
      <c r="A34" s="58"/>
      <c r="B34" s="108"/>
      <c r="C34" s="108"/>
    </row>
    <row r="35" spans="1:3" x14ac:dyDescent="0.5">
      <c r="B35" s="114" t="s">
        <v>91</v>
      </c>
      <c r="C35" s="114"/>
    </row>
    <row r="36" spans="1:3" x14ac:dyDescent="0.5">
      <c r="B36" s="108" t="s">
        <v>92</v>
      </c>
      <c r="C36" s="115"/>
    </row>
    <row r="37" spans="1:3" x14ac:dyDescent="0.5">
      <c r="B37" s="107" t="s">
        <v>93</v>
      </c>
      <c r="C37" s="112"/>
    </row>
    <row r="38" spans="1:3" x14ac:dyDescent="0.5">
      <c r="B38" s="108" t="s">
        <v>94</v>
      </c>
      <c r="C38" s="108"/>
    </row>
    <row r="39" spans="1:3" x14ac:dyDescent="0.5">
      <c r="B39" s="107" t="s">
        <v>95</v>
      </c>
      <c r="C39" s="107"/>
    </row>
    <row r="40" spans="1:3" x14ac:dyDescent="0.5">
      <c r="B40" s="108"/>
      <c r="C40" s="108"/>
    </row>
    <row r="41" spans="1:3" x14ac:dyDescent="0.5">
      <c r="B41" s="114" t="s">
        <v>96</v>
      </c>
      <c r="C41" s="107"/>
    </row>
    <row r="42" spans="1:3" x14ac:dyDescent="0.5">
      <c r="B42" s="108"/>
      <c r="C42" s="116"/>
    </row>
    <row r="43" spans="1:3" x14ac:dyDescent="0.5">
      <c r="B43" s="117"/>
      <c r="C43" s="117"/>
    </row>
    <row r="44" spans="1:3" x14ac:dyDescent="0.5">
      <c r="B44" s="108"/>
      <c r="C44" s="108"/>
    </row>
    <row r="45" spans="1:3" x14ac:dyDescent="0.5">
      <c r="B45" s="114" t="s">
        <v>26</v>
      </c>
      <c r="C45" s="118" t="s">
        <v>105</v>
      </c>
    </row>
    <row r="46" spans="1:3" x14ac:dyDescent="0.5">
      <c r="B46" s="101"/>
      <c r="C46" s="101"/>
    </row>
    <row r="47" spans="1:3" x14ac:dyDescent="0.5">
      <c r="B47" s="57"/>
    </row>
    <row r="48" spans="1:3" x14ac:dyDescent="0.5">
      <c r="B48" s="59" t="s">
        <v>56</v>
      </c>
      <c r="C48" s="60"/>
    </row>
    <row r="49" spans="2:4" x14ac:dyDescent="0.5">
      <c r="D49" s="54" t="s">
        <v>57</v>
      </c>
    </row>
    <row r="50" spans="2:4" x14ac:dyDescent="0.5">
      <c r="B50" s="3" t="s">
        <v>18</v>
      </c>
      <c r="C50" s="5" t="str">
        <f>CONCATENATE(Dam_name, ": Elevation-Capacity Curve")</f>
        <v>RESERVOIR NAME: Elevation-Capacity Curve</v>
      </c>
      <c r="D50" s="53" t="s">
        <v>58</v>
      </c>
    </row>
    <row r="51" spans="2:4" x14ac:dyDescent="0.5">
      <c r="B51" s="3" t="s">
        <v>19</v>
      </c>
      <c r="C51" s="5" t="str">
        <f>CONCATENATE(Dam_name, ": Elevation-Area Curve")</f>
        <v>RESERVOIR NAME: Elevation-Area Curve</v>
      </c>
      <c r="D51" s="53" t="s">
        <v>59</v>
      </c>
    </row>
    <row r="52" spans="2:4" x14ac:dyDescent="0.5">
      <c r="B52" s="3" t="s">
        <v>29</v>
      </c>
      <c r="C52" s="5" t="str">
        <f>CONCATENATE(Dam_name, ": Elevation-Area-Capacity Curves")</f>
        <v>RESERVOIR NAME: Elevation-Area-Capacity Curves</v>
      </c>
      <c r="D52" s="53" t="s">
        <v>60</v>
      </c>
    </row>
    <row r="53" spans="2:4" x14ac:dyDescent="0.5">
      <c r="B53" s="3" t="s">
        <v>30</v>
      </c>
      <c r="C53" s="5" t="str">
        <f>CONCATENATE(Dam_name, ": Reservoir Capacity")</f>
        <v>RESERVOIR NAME: Reservoir Capacity</v>
      </c>
      <c r="D53" s="53" t="s">
        <v>61</v>
      </c>
    </row>
    <row r="54" spans="2:4" x14ac:dyDescent="0.5">
      <c r="B54" s="3" t="s">
        <v>31</v>
      </c>
      <c r="C54" s="5" t="str">
        <f>CONCATENATE(Dam_name, ": Reservoir Water Area")</f>
        <v>RESERVOIR NAME: Reservoir Water Area</v>
      </c>
      <c r="D54" s="53" t="s">
        <v>62</v>
      </c>
    </row>
    <row r="55" spans="2:4" x14ac:dyDescent="0.5">
      <c r="B55" s="3" t="s">
        <v>32</v>
      </c>
      <c r="C55" s="5" t="str">
        <f>CONCATENATE(Dam_name, ": Reservoir Water Level")</f>
        <v>RESERVOIR NAME: Reservoir Water Level</v>
      </c>
      <c r="D55" s="53" t="s">
        <v>63</v>
      </c>
    </row>
  </sheetData>
  <hyperlinks>
    <hyperlink ref="C45" r:id="rId1" xr:uid="{3A700E18-8FA6-3F43-BC31-ECC1C395A3F4}"/>
  </hyperlinks>
  <pageMargins left="0.7" right="0.7" top="0.75" bottom="0.75" header="0.3" footer="0.3"/>
  <pageSetup orientation="landscape" r:id="rId2"/>
  <ignoredErrors>
    <ignoredError sqref="G6:G8" calculatedColumn="1"/>
  </ignoredErrors>
  <drawing r:id="rId3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4E27B-F0F9-4F19-A557-45E33C0A909B}">
  <sheetPr>
    <pageSetUpPr fitToPage="1"/>
  </sheetPr>
  <dimension ref="B1:L6"/>
  <sheetViews>
    <sheetView zoomScaleNormal="100" workbookViewId="0">
      <selection activeCell="G20" sqref="G20"/>
    </sheetView>
  </sheetViews>
  <sheetFormatPr defaultColWidth="8.796875" defaultRowHeight="14.25" x14ac:dyDescent="0.45"/>
  <cols>
    <col min="1" max="1" width="4.6640625" customWidth="1"/>
    <col min="2" max="2" width="7" style="1" customWidth="1"/>
    <col min="3" max="7" width="12.6640625" customWidth="1"/>
    <col min="8" max="8" width="14" customWidth="1"/>
    <col min="9" max="9" width="12.6640625" customWidth="1"/>
    <col min="10" max="10" width="14.33203125" customWidth="1"/>
    <col min="11" max="11" width="10" bestFit="1" customWidth="1"/>
    <col min="12" max="12" width="15.33203125" bestFit="1" customWidth="1"/>
  </cols>
  <sheetData>
    <row r="1" spans="2:12" ht="14.65" thickBot="1" x14ac:dyDescent="0.5"/>
    <row r="2" spans="2:12" x14ac:dyDescent="0.45">
      <c r="G2" s="31" t="s">
        <v>40</v>
      </c>
      <c r="H2" s="32"/>
      <c r="I2" s="32"/>
      <c r="J2" s="41"/>
    </row>
    <row r="3" spans="2:12" x14ac:dyDescent="0.45">
      <c r="B3" s="103"/>
      <c r="C3" s="8" t="s">
        <v>22</v>
      </c>
      <c r="D3" s="8"/>
      <c r="E3" s="8"/>
      <c r="F3" s="8"/>
      <c r="G3" s="34" t="s">
        <v>23</v>
      </c>
      <c r="H3" s="9"/>
      <c r="I3" s="9"/>
      <c r="J3" s="35"/>
      <c r="K3" s="18"/>
      <c r="L3" s="18"/>
    </row>
    <row r="4" spans="2:12" s="2" customFormat="1" ht="67.05" customHeight="1" x14ac:dyDescent="0.45">
      <c r="B4" s="105" t="s">
        <v>0</v>
      </c>
      <c r="C4" s="2" t="s">
        <v>1</v>
      </c>
      <c r="D4" s="2" t="s">
        <v>14</v>
      </c>
      <c r="E4" s="2" t="s">
        <v>15</v>
      </c>
      <c r="F4" s="2" t="s">
        <v>71</v>
      </c>
      <c r="G4" s="42" t="s">
        <v>16</v>
      </c>
      <c r="H4" s="2" t="s">
        <v>17</v>
      </c>
      <c r="I4" s="2" t="s">
        <v>20</v>
      </c>
      <c r="J4" s="43" t="s">
        <v>21</v>
      </c>
    </row>
    <row r="5" spans="2:12" x14ac:dyDescent="0.45">
      <c r="B5" s="104">
        <f>ROW()-4</f>
        <v>1</v>
      </c>
      <c r="C5">
        <v>47</v>
      </c>
      <c r="D5">
        <v>0</v>
      </c>
      <c r="E5">
        <v>0</v>
      </c>
      <c r="F5">
        <v>0</v>
      </c>
      <c r="G5" s="44">
        <f>tbl_Data[[#This Row],[Area (m2)]]/1000000</f>
        <v>0</v>
      </c>
      <c r="H5" s="21">
        <f>tbl_Data[[#This Row],[Capacity (m3)]]/1000000</f>
        <v>0</v>
      </c>
      <c r="I5" s="22">
        <f>tbl_Data[[#This Row],[Area (m2)]]/4046.8564224</f>
        <v>0</v>
      </c>
      <c r="J5" s="45">
        <f>tbl_Data[[#This Row],[Capacity (m3)]]/1233.4818375475</f>
        <v>0</v>
      </c>
    </row>
    <row r="6" spans="2:12" x14ac:dyDescent="0.45">
      <c r="B6" s="106">
        <f>ROW()-4</f>
        <v>2</v>
      </c>
      <c r="C6">
        <v>48</v>
      </c>
      <c r="D6">
        <v>3</v>
      </c>
      <c r="E6">
        <v>2700</v>
      </c>
      <c r="F6">
        <v>2700</v>
      </c>
      <c r="G6" s="46">
        <f>tbl_Data[[#This Row],[Area (m2)]]/1000000</f>
        <v>2.7000000000000001E-3</v>
      </c>
      <c r="H6" s="23">
        <f>tbl_Data[[#This Row],[Capacity (m3)]]/1000000</f>
        <v>2.7000000000000001E-3</v>
      </c>
      <c r="I6" s="24">
        <f>tbl_Data[[#This Row],[Area (m2)]]/4046.8564224</f>
        <v>0.66718452996134636</v>
      </c>
      <c r="J6" s="47">
        <f>tbl_Data[[#This Row],[Capacity (m3)]]/1233.4818375475</f>
        <v>2.1889256232327994</v>
      </c>
    </row>
  </sheetData>
  <phoneticPr fontId="12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scale="54" orientation="landscape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49CC7-131A-A84C-83F1-29D3B1B7DB7A}">
  <dimension ref="B1:J6"/>
  <sheetViews>
    <sheetView zoomScaleNormal="100" workbookViewId="0">
      <selection activeCell="G17" sqref="G17"/>
    </sheetView>
  </sheetViews>
  <sheetFormatPr defaultColWidth="10.796875" defaultRowHeight="15.75" x14ac:dyDescent="0.5"/>
  <cols>
    <col min="1" max="1" width="5.6640625" style="16" customWidth="1"/>
    <col min="2" max="2" width="22.33203125" style="16" customWidth="1"/>
    <col min="3" max="3" width="47.6640625" style="16" customWidth="1"/>
    <col min="4" max="4" width="1.6640625" style="16" customWidth="1"/>
    <col min="5" max="5" width="11" style="16" customWidth="1"/>
    <col min="6" max="6" width="15.1328125" style="16" customWidth="1"/>
    <col min="7" max="7" width="23.33203125" style="16" customWidth="1"/>
    <col min="8" max="8" width="4.46484375" style="16" customWidth="1"/>
    <col min="9" max="9" width="20" style="16" customWidth="1"/>
    <col min="10" max="10" width="30.33203125" style="16" customWidth="1"/>
    <col min="11" max="16384" width="10.796875" style="16"/>
  </cols>
  <sheetData>
    <row r="1" spans="2:10" ht="16.149999999999999" thickBot="1" x14ac:dyDescent="0.55000000000000004"/>
    <row r="2" spans="2:10" ht="16.149999999999999" thickTop="1" x14ac:dyDescent="0.5">
      <c r="B2" s="29" t="s">
        <v>51</v>
      </c>
      <c r="C2" s="30"/>
      <c r="D2" s="76" t="s">
        <v>40</v>
      </c>
      <c r="E2" s="77"/>
      <c r="F2" s="77"/>
      <c r="G2" s="78"/>
    </row>
    <row r="3" spans="2:10" x14ac:dyDescent="0.5">
      <c r="B3" s="73" t="s">
        <v>41</v>
      </c>
      <c r="C3" s="74"/>
      <c r="D3" s="79" t="s">
        <v>23</v>
      </c>
      <c r="E3" s="75"/>
      <c r="F3" s="75"/>
      <c r="G3" s="80"/>
      <c r="I3" s="86" t="s">
        <v>69</v>
      </c>
      <c r="J3" s="86" t="s">
        <v>70</v>
      </c>
    </row>
    <row r="4" spans="2:10" x14ac:dyDescent="0.5">
      <c r="B4" s="72" t="s">
        <v>37</v>
      </c>
      <c r="C4" s="89" t="s">
        <v>36</v>
      </c>
      <c r="D4" s="84" t="s">
        <v>65</v>
      </c>
      <c r="E4" s="93" t="s">
        <v>27</v>
      </c>
      <c r="F4" s="81" t="s">
        <v>25</v>
      </c>
      <c r="G4" s="82" t="s">
        <v>64</v>
      </c>
      <c r="I4" s="86" t="s">
        <v>38</v>
      </c>
      <c r="J4" s="85" t="s">
        <v>66</v>
      </c>
    </row>
    <row r="5" spans="2:10" x14ac:dyDescent="0.5">
      <c r="B5" t="s">
        <v>35</v>
      </c>
      <c r="C5">
        <v>15.42</v>
      </c>
      <c r="D5" s="83"/>
      <c r="E5" s="90">
        <f t="shared" ref="E5" si="0">ROW()-4</f>
        <v>1</v>
      </c>
      <c r="F5" s="91">
        <f>LEFT(tbl_Reservoir[[#This Row],[time]],10)*1</f>
        <v>38966</v>
      </c>
      <c r="G5" s="92">
        <f>tbl_Reservoir[[#This Row],[Surface Water Area (km2)]]</f>
        <v>15.42</v>
      </c>
      <c r="I5" s="86" t="s">
        <v>25</v>
      </c>
      <c r="J5" s="85" t="s">
        <v>67</v>
      </c>
    </row>
    <row r="6" spans="2:10" x14ac:dyDescent="0.5">
      <c r="B6" t="s">
        <v>74</v>
      </c>
      <c r="C6">
        <v>14.6</v>
      </c>
      <c r="D6" s="83"/>
      <c r="E6" s="90">
        <f t="shared" ref="E6" si="1">ROW()-4</f>
        <v>2</v>
      </c>
      <c r="F6" s="91">
        <f>LEFT(tbl_Reservoir[[#This Row],[time]],10)*1</f>
        <v>38982</v>
      </c>
      <c r="G6" s="92">
        <f>tbl_Reservoir[[#This Row],[Surface Water Area (km2)]]</f>
        <v>14.6</v>
      </c>
      <c r="I6" s="86" t="s">
        <v>64</v>
      </c>
      <c r="J6" s="85" t="s">
        <v>68</v>
      </c>
    </row>
  </sheetData>
  <phoneticPr fontId="12" type="noConversion"/>
  <pageMargins left="0.75" right="0.75" top="1" bottom="1" header="0.5" footer="0.5"/>
  <pageSetup paperSize="9" orientation="portrait" horizontalDpi="0" verticalDpi="0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89951-67D8-784F-A1BB-F4C7A9B875C3}">
  <dimension ref="B1:I6"/>
  <sheetViews>
    <sheetView zoomScaleNormal="100" workbookViewId="0">
      <selection activeCell="B5" sqref="B5"/>
    </sheetView>
  </sheetViews>
  <sheetFormatPr defaultColWidth="10.6640625" defaultRowHeight="14.25" x14ac:dyDescent="0.45"/>
  <cols>
    <col min="1" max="1" width="5.6640625" customWidth="1"/>
    <col min="2" max="2" width="10.796875" style="11"/>
    <col min="3" max="3" width="10.796875" style="12"/>
    <col min="4" max="4" width="12.33203125" style="10" customWidth="1"/>
    <col min="5" max="5" width="14" style="13" customWidth="1"/>
    <col min="6" max="6" width="14.33203125" style="13" customWidth="1"/>
    <col min="8" max="8" width="11" customWidth="1"/>
  </cols>
  <sheetData>
    <row r="1" spans="2:9" ht="14.65" thickBot="1" x14ac:dyDescent="0.5"/>
    <row r="2" spans="2:9" x14ac:dyDescent="0.45">
      <c r="B2" s="98" t="s">
        <v>77</v>
      </c>
      <c r="C2" s="96"/>
      <c r="D2" s="97"/>
      <c r="E2" s="31" t="s">
        <v>40</v>
      </c>
      <c r="F2" s="32"/>
      <c r="G2" s="32"/>
      <c r="H2" s="32"/>
      <c r="I2" s="33"/>
    </row>
    <row r="3" spans="2:9" x14ac:dyDescent="0.45">
      <c r="B3" s="7" t="s">
        <v>33</v>
      </c>
      <c r="C3" s="8"/>
      <c r="D3" s="8"/>
      <c r="E3" s="34" t="s">
        <v>23</v>
      </c>
      <c r="F3" s="9"/>
      <c r="G3" s="9"/>
      <c r="H3" s="9"/>
      <c r="I3" s="35"/>
    </row>
    <row r="4" spans="2:9" ht="43.05" customHeight="1" x14ac:dyDescent="0.45">
      <c r="B4" s="2" t="s">
        <v>27</v>
      </c>
      <c r="C4" s="14" t="s">
        <v>25</v>
      </c>
      <c r="D4" s="6" t="s">
        <v>16</v>
      </c>
      <c r="E4" s="36" t="s">
        <v>17</v>
      </c>
      <c r="F4" s="37" t="s">
        <v>28</v>
      </c>
      <c r="G4" s="2" t="s">
        <v>20</v>
      </c>
      <c r="H4" s="2" t="s">
        <v>21</v>
      </c>
      <c r="I4" s="38" t="s">
        <v>34</v>
      </c>
    </row>
    <row r="5" spans="2:9" ht="15.75" x14ac:dyDescent="0.5">
      <c r="B5" s="94">
        <v>1</v>
      </c>
      <c r="C5" s="91">
        <v>38966</v>
      </c>
      <c r="D5" s="92">
        <v>15.42</v>
      </c>
      <c r="E5" s="50" t="str" cm="1">
        <f t="array" ref="E5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Area above Calibration range</v>
      </c>
      <c r="F5" s="48" t="str" cm="1">
        <f t="array" ref="F5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Area above Calibration range</v>
      </c>
      <c r="G5" s="19">
        <f>tbl_Monitoring[[#This Row],[Area (km2)]]/4046.8564224*1000000</f>
        <v>3810.3649822236894</v>
      </c>
      <c r="H5" s="19" t="e">
        <f>tbl_Monitoring[[#This Row],[Volume (MCM)]]/1233.4818375475*1000000</f>
        <v>#VALUE!</v>
      </c>
      <c r="I5" s="39" t="e">
        <f>tbl_Monitoring[[#This Row],[Elevation (SRTM30-m)]]*3.280839895</f>
        <v>#VALUE!</v>
      </c>
    </row>
    <row r="6" spans="2:9" ht="15.75" x14ac:dyDescent="0.5">
      <c r="B6" s="90">
        <v>2</v>
      </c>
      <c r="C6" s="91">
        <v>38982</v>
      </c>
      <c r="D6" s="92">
        <v>14.6</v>
      </c>
      <c r="E6" s="51" t="str" cm="1">
        <f t="array" ref="E6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_xlpm.lowerVolume, INDEX(tbl_Data[Volume (MCM)], _xlpm.lowerIndex),
                _xlpm.upperVolume, INDEX(tbl_Data[Volume (MCM)], _xlpm.lowerIndex + 1),
                IF(_xlpm.lowerArea = _xlpm.upperArea, _xlpm.lowerVolume, _xlpm.lowerVolume + (tbl_Monitoring[[#This Row],[Area (km2)]] - _xlpm.lowerArea) * (_xlpm.upperVolume - _xlpm.lowerVolume) / (_xlpm.upperArea - _xlpm.lowerArea))
            )
        )
    ),
    "Error"
)</f>
        <v>Area above Calibration range</v>
      </c>
      <c r="F6" s="49" t="str" cm="1">
        <f t="array" ref="F6">IFERROR(
    IF(tbl_Monitoring[[#This Row],[Area (km2)]] &lt; MIN(tbl_Data[Area (km2)]), "Area below Calibration range",
        IF(tbl_Monitoring[[#This Row],[Area (km2)]]  &gt; MAX(tbl_Data[Area (km2)]), "Area above Calibration range",
            _xlfn.LET(
                _xlpm.lowerIndex, MATCH(tbl_Monitoring[[#This Row],[Area (km2)]], tbl_Data[Area (km2)], 1),
                _xlpm.lowerArea, INDEX(tbl_Data[Area (km2)], _xlpm.lowerIndex),
                _xlpm.upperArea, INDEX(tbl_Data[Area (km2)], _xlpm.lowerIndex + 1),
                _xlpm.lowerWaterLevel, INDEX(tbl_Data[SRTM30 Elevation (m)], _xlpm.lowerIndex),
                _xlpm.upperWaterLevel, INDEX(tbl_Data[SRTM30 Elevation (m)], _xlpm.lowerIndex + 1),
                IF(_xlpm.lowerArea = _xlpm.upperArea, _xlpm.lowerWaterLevel, _xlpm.lowerWaterLevel + (tbl_Monitoring[[#This Row],[Area (km2)]] - _xlpm.lowerArea) * (_xlpm.upperWaterLevel - _xlpm.lowerWaterLevel) / (_xlpm.upperArea - _xlpm.lowerArea))
            )
        )
    ),
    "Error"
)</f>
        <v>Area above Calibration range</v>
      </c>
      <c r="G6" s="20">
        <f>tbl_Monitoring[[#This Row],[Area (km2)]]/4046.8564224*1000000</f>
        <v>3607.7385694206137</v>
      </c>
      <c r="H6" s="20" t="e">
        <f>tbl_Monitoring[[#This Row],[Volume (MCM)]]/1233.4818375475*1000000</f>
        <v>#VALUE!</v>
      </c>
      <c r="I6" s="40" t="e">
        <f>tbl_Monitoring[[#This Row],[Elevation (SRTM30-m)]]*3.280839895</f>
        <v>#VALUE!</v>
      </c>
    </row>
  </sheetData>
  <pageMargins left="0.7" right="0.7" top="0.75" bottom="0.75" header="0.3" footer="0.3"/>
  <pageSetup paperSize="9" orientation="portrait" horizontalDpi="0" verticalDpi="0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28D1D-C0F9-4CC5-9D7E-CDC4E46E6EC8}">
  <sheetPr>
    <pageSetUpPr fitToPage="1"/>
  </sheetPr>
  <dimension ref="A1:D4"/>
  <sheetViews>
    <sheetView topLeftCell="C1" zoomScaleNormal="100" workbookViewId="0">
      <selection activeCell="D4" sqref="D4"/>
    </sheetView>
  </sheetViews>
  <sheetFormatPr defaultColWidth="8.796875" defaultRowHeight="14.25" x14ac:dyDescent="0.45"/>
  <cols>
    <col min="1" max="1" width="12.1328125" bestFit="1" customWidth="1"/>
    <col min="2" max="2" width="18.46484375" bestFit="1" customWidth="1"/>
    <col min="3" max="3" width="21.796875" bestFit="1" customWidth="1"/>
    <col min="4" max="4" width="18.6640625" bestFit="1" customWidth="1"/>
  </cols>
  <sheetData>
    <row r="1" spans="1:4" ht="23.25" x14ac:dyDescent="0.7">
      <c r="A1" s="27" t="str">
        <f>Info!C53</f>
        <v>RESERVOIR NAME: Reservoir Capacity</v>
      </c>
    </row>
    <row r="3" spans="1:4" x14ac:dyDescent="0.45">
      <c r="A3" s="25" t="s">
        <v>45</v>
      </c>
      <c r="B3" t="s">
        <v>47</v>
      </c>
      <c r="C3" t="s">
        <v>46</v>
      </c>
      <c r="D3" t="s">
        <v>48</v>
      </c>
    </row>
    <row r="4" spans="1:4" x14ac:dyDescent="0.45">
      <c r="A4" s="95" t="s">
        <v>75</v>
      </c>
      <c r="B4" s="26">
        <v>0</v>
      </c>
      <c r="C4" s="26" t="e">
        <v>#DIV/0!</v>
      </c>
      <c r="D4" s="26">
        <v>0</v>
      </c>
    </row>
  </sheetData>
  <pageMargins left="0.7" right="0.7" top="0.75" bottom="0.75" header="0.3" footer="0.3"/>
  <pageSetup paperSize="9" scale="82" orientation="landscape" horizontalDpi="0" verticalDpi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841FA-1D1D-48D8-9322-28442A026B44}">
  <dimension ref="B2:I6"/>
  <sheetViews>
    <sheetView zoomScaleNormal="100" workbookViewId="0">
      <selection activeCell="M17" sqref="M17"/>
    </sheetView>
  </sheetViews>
  <sheetFormatPr defaultColWidth="8.796875" defaultRowHeight="14.25" x14ac:dyDescent="0.45"/>
  <cols>
    <col min="3" max="3" width="10.1328125" bestFit="1" customWidth="1"/>
    <col min="4" max="4" width="11.6640625" customWidth="1"/>
    <col min="5" max="5" width="15" customWidth="1"/>
    <col min="6" max="6" width="20.6640625" customWidth="1"/>
    <col min="7" max="7" width="11.6640625" customWidth="1"/>
    <col min="8" max="8" width="16.1328125" customWidth="1"/>
    <col min="9" max="9" width="20.33203125" customWidth="1"/>
  </cols>
  <sheetData>
    <row r="2" spans="2:9" x14ac:dyDescent="0.45">
      <c r="B2" s="68" t="s">
        <v>76</v>
      </c>
      <c r="C2" s="69"/>
      <c r="D2" s="70"/>
      <c r="E2" s="70"/>
      <c r="F2" s="70"/>
      <c r="G2" s="70"/>
      <c r="H2" s="70"/>
      <c r="I2" s="71"/>
    </row>
    <row r="4" spans="2:9" x14ac:dyDescent="0.45">
      <c r="B4" s="1" t="s">
        <v>27</v>
      </c>
      <c r="C4" t="s">
        <v>25</v>
      </c>
      <c r="D4" t="s">
        <v>16</v>
      </c>
      <c r="E4" t="s">
        <v>17</v>
      </c>
      <c r="F4" t="s">
        <v>28</v>
      </c>
      <c r="G4" t="s">
        <v>20</v>
      </c>
      <c r="H4" t="s">
        <v>21</v>
      </c>
      <c r="I4" t="s">
        <v>34</v>
      </c>
    </row>
    <row r="5" spans="2:9" x14ac:dyDescent="0.45">
      <c r="B5" s="1">
        <v>1</v>
      </c>
      <c r="C5" s="15">
        <v>38966</v>
      </c>
      <c r="D5">
        <v>15.42</v>
      </c>
      <c r="E5">
        <v>89.876437664618081</v>
      </c>
      <c r="F5">
        <v>66.440444834650279</v>
      </c>
      <c r="G5">
        <v>3810.3649822236894</v>
      </c>
      <c r="H5">
        <v>72864.01382554369</v>
      </c>
      <c r="I5">
        <v>217.98046205506733</v>
      </c>
    </row>
    <row r="6" spans="2:9" x14ac:dyDescent="0.45">
      <c r="B6" s="1">
        <v>2</v>
      </c>
      <c r="C6" s="15">
        <v>38982</v>
      </c>
      <c r="D6">
        <v>14.6</v>
      </c>
      <c r="E6">
        <v>83.250204126426681</v>
      </c>
      <c r="F6">
        <v>66.040483855233632</v>
      </c>
      <c r="G6">
        <v>3607.7385694206137</v>
      </c>
      <c r="H6">
        <v>67492.038870998629</v>
      </c>
      <c r="I6">
        <v>216.66825411735391</v>
      </c>
    </row>
  </sheetData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EE2A25B-6F8B-D64C-8526-0F63FA388CA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6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Info</vt:lpstr>
      <vt:lpstr>Data</vt:lpstr>
      <vt:lpstr>Monitoring</vt:lpstr>
      <vt:lpstr>Calcs</vt:lpstr>
      <vt:lpstr>Annual Chart</vt:lpstr>
      <vt:lpstr>Export</vt:lpstr>
      <vt:lpstr>Reservoir Curves</vt:lpstr>
      <vt:lpstr>Dam_name</vt:lpstr>
      <vt:lpstr>Info!Print_Area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Andreas de Jong</dc:creator>
  <cp:lastModifiedBy>Andreas de Jong</cp:lastModifiedBy>
  <cp:lastPrinted>2025-03-14T08:24:20Z</cp:lastPrinted>
  <dcterms:created xsi:type="dcterms:W3CDTF">2022-02-02T16:53:53Z</dcterms:created>
  <dcterms:modified xsi:type="dcterms:W3CDTF">2025-07-31T16:23:08Z</dcterms:modified>
</cp:coreProperties>
</file>