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s/Desktop/Reservoir Curves/Deliverables/Reservoir Curves 2/03 Mirani Reservoir/"/>
    </mc:Choice>
  </mc:AlternateContent>
  <xr:revisionPtr revIDLastSave="0" documentId="13_ncr:1_{363CB45F-82A0-9046-BE1D-825D442F5AF6}" xr6:coauthVersionLast="47" xr6:coauthVersionMax="47" xr10:uidLastSave="{00000000-0000-0000-0000-000000000000}"/>
  <bookViews>
    <workbookView xWindow="0" yWindow="780" windowWidth="34560" windowHeight="20600" tabRatio="687" xr2:uid="{B9AF2A4E-26BD-41FA-8155-C774757CCD1F}"/>
  </bookViews>
  <sheets>
    <sheet name="Info" sheetId="4" r:id="rId1"/>
    <sheet name="Data" sheetId="1" r:id="rId2"/>
    <sheet name="Reservoir Curves" sheetId="3" r:id="rId3"/>
    <sheet name="Monitoring" sheetId="12" r:id="rId4"/>
    <sheet name="Calcs" sheetId="11" r:id="rId5"/>
    <sheet name="Annual Chart" sheetId="15" r:id="rId6"/>
    <sheet name="Export" sheetId="17" r:id="rId7"/>
  </sheets>
  <definedNames>
    <definedName name="_xlnm._FilterDatabase" localSheetId="1" hidden="1">Data!#REF!</definedName>
    <definedName name="Dam_name">Info!$C$4</definedName>
    <definedName name="ExternalData_1" localSheetId="3" hidden="1">Monitoring!#REF!</definedName>
    <definedName name="_xlnm.Print_Area" localSheetId="0">tbl_Info[#All]</definedName>
  </definedNames>
  <calcPr calcId="191029"/>
  <pivotCaches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1" l="1" a="1"/>
  <c r="E7" i="11" s="1"/>
  <c r="H7" i="11" s="1"/>
  <c r="E8" i="11" a="1"/>
  <c r="E8" i="11" s="1"/>
  <c r="E9" i="11" a="1"/>
  <c r="E9" i="11"/>
  <c r="E10" i="11" a="1"/>
  <c r="E10" i="11" s="1"/>
  <c r="E11" i="11" a="1"/>
  <c r="E11" i="11" s="1"/>
  <c r="E12" i="11" a="1"/>
  <c r="E12" i="11" s="1"/>
  <c r="E13" i="11" a="1"/>
  <c r="E13" i="11"/>
  <c r="E14" i="11" a="1"/>
  <c r="E14" i="11" s="1"/>
  <c r="E15" i="11" a="1"/>
  <c r="E15" i="11" s="1"/>
  <c r="E16" i="11" a="1"/>
  <c r="E16" i="11" s="1"/>
  <c r="E17" i="11" a="1"/>
  <c r="E17" i="11" s="1"/>
  <c r="E18" i="11" a="1"/>
  <c r="E18" i="11" s="1"/>
  <c r="E19" i="11" a="1"/>
  <c r="E19" i="11" s="1"/>
  <c r="E20" i="11" a="1"/>
  <c r="E20" i="11"/>
  <c r="E21" i="11" a="1"/>
  <c r="E21" i="11" s="1"/>
  <c r="E22" i="11" a="1"/>
  <c r="E22" i="11" s="1"/>
  <c r="H22" i="11" s="1"/>
  <c r="E23" i="11" a="1"/>
  <c r="E23" i="11" s="1"/>
  <c r="H23" i="11" s="1"/>
  <c r="E24" i="11" a="1"/>
  <c r="E24" i="11"/>
  <c r="E25" i="11" a="1"/>
  <c r="E25" i="11" s="1"/>
  <c r="E26" i="11" a="1"/>
  <c r="E26" i="11" s="1"/>
  <c r="H26" i="11" s="1"/>
  <c r="E27" i="11" a="1"/>
  <c r="E27" i="11" s="1"/>
  <c r="E28" i="11" a="1"/>
  <c r="E28" i="11" s="1"/>
  <c r="E29" i="11" a="1"/>
  <c r="E29" i="11" s="1"/>
  <c r="E30" i="11" a="1"/>
  <c r="E30" i="11" s="1"/>
  <c r="E31" i="11" a="1"/>
  <c r="E31" i="11" s="1"/>
  <c r="E32" i="11" a="1"/>
  <c r="E32" i="11" s="1"/>
  <c r="E33" i="11" a="1"/>
  <c r="E33" i="11"/>
  <c r="E34" i="11" a="1"/>
  <c r="E34" i="11" s="1"/>
  <c r="H34" i="11" s="1"/>
  <c r="E35" i="11" a="1"/>
  <c r="E35" i="11" s="1"/>
  <c r="E36" i="11" a="1"/>
  <c r="E36" i="11" s="1"/>
  <c r="E37" i="11" a="1"/>
  <c r="E37" i="11" s="1"/>
  <c r="E38" i="11" a="1"/>
  <c r="E38" i="11" s="1"/>
  <c r="E39" i="11" a="1"/>
  <c r="E39" i="11"/>
  <c r="E40" i="11" a="1"/>
  <c r="E40" i="11" s="1"/>
  <c r="E41" i="11" a="1"/>
  <c r="E41" i="11" s="1"/>
  <c r="H41" i="11" s="1"/>
  <c r="E42" i="11" a="1"/>
  <c r="E42" i="11" s="1"/>
  <c r="E43" i="11" a="1"/>
  <c r="E43" i="11" s="1"/>
  <c r="E44" i="11" a="1"/>
  <c r="E44" i="11" s="1"/>
  <c r="E45" i="11" a="1"/>
  <c r="E45" i="11" s="1"/>
  <c r="E46" i="11" a="1"/>
  <c r="E46" i="11" s="1"/>
  <c r="H46" i="11" s="1"/>
  <c r="E47" i="11" a="1"/>
  <c r="E47" i="11"/>
  <c r="E48" i="11" a="1"/>
  <c r="E48" i="11" s="1"/>
  <c r="E49" i="11" a="1"/>
  <c r="E49" i="11" s="1"/>
  <c r="E50" i="11" a="1"/>
  <c r="E50" i="11" s="1"/>
  <c r="E51" i="11" a="1"/>
  <c r="E51" i="11" s="1"/>
  <c r="E52" i="11" a="1"/>
  <c r="E52" i="11"/>
  <c r="E53" i="11" a="1"/>
  <c r="E53" i="11" s="1"/>
  <c r="E54" i="11" a="1"/>
  <c r="E54" i="11" s="1"/>
  <c r="E55" i="11" a="1"/>
  <c r="E55" i="11" s="1"/>
  <c r="E56" i="11" a="1"/>
  <c r="E56" i="11" s="1"/>
  <c r="H56" i="11" s="1"/>
  <c r="E57" i="11" a="1"/>
  <c r="E57" i="11" s="1"/>
  <c r="E58" i="11" a="1"/>
  <c r="E58" i="11" s="1"/>
  <c r="E59" i="11" a="1"/>
  <c r="E59" i="11" s="1"/>
  <c r="H59" i="11" s="1"/>
  <c r="E60" i="11" a="1"/>
  <c r="E60" i="11" s="1"/>
  <c r="H60" i="11" s="1"/>
  <c r="E61" i="11" a="1"/>
  <c r="E61" i="11" s="1"/>
  <c r="E62" i="11" a="1"/>
  <c r="E62" i="11" s="1"/>
  <c r="E63" i="11" a="1"/>
  <c r="E63" i="11" s="1"/>
  <c r="H63" i="11" s="1"/>
  <c r="E64" i="11" a="1"/>
  <c r="E64" i="11" s="1"/>
  <c r="E65" i="11" a="1"/>
  <c r="E65" i="11"/>
  <c r="E66" i="11" a="1"/>
  <c r="E66" i="11" s="1"/>
  <c r="E67" i="11" a="1"/>
  <c r="E67" i="11" s="1"/>
  <c r="E68" i="11" a="1"/>
  <c r="E68" i="11" s="1"/>
  <c r="E69" i="11" a="1"/>
  <c r="E69" i="11" s="1"/>
  <c r="H69" i="11" s="1"/>
  <c r="E70" i="11" a="1"/>
  <c r="E70" i="11" s="1"/>
  <c r="E71" i="11" a="1"/>
  <c r="E71" i="11" s="1"/>
  <c r="E72" i="11" a="1"/>
  <c r="E72" i="11" s="1"/>
  <c r="H72" i="11" s="1"/>
  <c r="E73" i="11" a="1"/>
  <c r="E73" i="11" s="1"/>
  <c r="E74" i="11" a="1"/>
  <c r="E74" i="11"/>
  <c r="E75" i="11" a="1"/>
  <c r="E75" i="11" s="1"/>
  <c r="E76" i="11" a="1"/>
  <c r="E76" i="11" s="1"/>
  <c r="E77" i="11" a="1"/>
  <c r="E77" i="11" s="1"/>
  <c r="E78" i="11" a="1"/>
  <c r="E78" i="11" s="1"/>
  <c r="H78" i="11" s="1"/>
  <c r="E79" i="11" a="1"/>
  <c r="E79" i="11" s="1"/>
  <c r="E80" i="11" a="1"/>
  <c r="E80" i="11"/>
  <c r="E81" i="11" a="1"/>
  <c r="E81" i="11" s="1"/>
  <c r="E82" i="11" a="1"/>
  <c r="E82" i="11" s="1"/>
  <c r="E83" i="11" a="1"/>
  <c r="E83" i="11" s="1"/>
  <c r="E84" i="11" a="1"/>
  <c r="E84" i="11" s="1"/>
  <c r="E85" i="11" a="1"/>
  <c r="E85" i="11" s="1"/>
  <c r="E86" i="11" a="1"/>
  <c r="E86" i="11" s="1"/>
  <c r="E87" i="11" a="1"/>
  <c r="E87" i="11" s="1"/>
  <c r="H87" i="11" s="1"/>
  <c r="E88" i="11" a="1"/>
  <c r="E88" i="11" s="1"/>
  <c r="E89" i="11" a="1"/>
  <c r="E89" i="11" s="1"/>
  <c r="E90" i="11" a="1"/>
  <c r="E90" i="11" s="1"/>
  <c r="E91" i="11" a="1"/>
  <c r="E91" i="11" s="1"/>
  <c r="E92" i="11" a="1"/>
  <c r="E92" i="11" s="1"/>
  <c r="E93" i="11" a="1"/>
  <c r="E93" i="11" s="1"/>
  <c r="H93" i="11" s="1"/>
  <c r="E94" i="11" a="1"/>
  <c r="E94" i="11" s="1"/>
  <c r="E95" i="11" a="1"/>
  <c r="E95" i="11"/>
  <c r="E96" i="11" a="1"/>
  <c r="E96" i="11" s="1"/>
  <c r="E97" i="11" a="1"/>
  <c r="E97" i="11" s="1"/>
  <c r="E98" i="11" a="1"/>
  <c r="E98" i="11"/>
  <c r="E99" i="11" a="1"/>
  <c r="E99" i="11" s="1"/>
  <c r="E100" i="11" a="1"/>
  <c r="E100" i="11" s="1"/>
  <c r="E101" i="11" a="1"/>
  <c r="E101" i="11" s="1"/>
  <c r="E102" i="11" a="1"/>
  <c r="E102" i="11" s="1"/>
  <c r="E103" i="11" a="1"/>
  <c r="E103" i="11" s="1"/>
  <c r="E104" i="11" a="1"/>
  <c r="E104" i="11" s="1"/>
  <c r="E105" i="11" a="1"/>
  <c r="E105" i="11" s="1"/>
  <c r="E106" i="11" a="1"/>
  <c r="E106" i="11" s="1"/>
  <c r="H106" i="11" s="1"/>
  <c r="E107" i="11" a="1"/>
  <c r="E107" i="11" s="1"/>
  <c r="H107" i="11" s="1"/>
  <c r="E108" i="11" a="1"/>
  <c r="E108" i="11" s="1"/>
  <c r="E109" i="11" a="1"/>
  <c r="E109" i="11" s="1"/>
  <c r="E110" i="11" a="1"/>
  <c r="E110" i="11" s="1"/>
  <c r="E111" i="11" a="1"/>
  <c r="E111" i="11"/>
  <c r="E112" i="11" a="1"/>
  <c r="E112" i="11" s="1"/>
  <c r="E113" i="11" a="1"/>
  <c r="E113" i="11" s="1"/>
  <c r="E114" i="11" a="1"/>
  <c r="E114" i="11" s="1"/>
  <c r="E115" i="11" a="1"/>
  <c r="E115" i="11" s="1"/>
  <c r="E116" i="11" a="1"/>
  <c r="E116" i="11" s="1"/>
  <c r="E117" i="11" a="1"/>
  <c r="E117" i="11" s="1"/>
  <c r="E118" i="11" a="1"/>
  <c r="E118" i="11" s="1"/>
  <c r="H118" i="11" s="1"/>
  <c r="E119" i="11" a="1"/>
  <c r="E119" i="11" s="1"/>
  <c r="H119" i="11" s="1"/>
  <c r="E120" i="11" a="1"/>
  <c r="E120" i="11" s="1"/>
  <c r="E121" i="11" a="1"/>
  <c r="E121" i="11" s="1"/>
  <c r="E122" i="11" a="1"/>
  <c r="E122" i="11" s="1"/>
  <c r="E123" i="11" a="1"/>
  <c r="E123" i="11" s="1"/>
  <c r="E124" i="11" a="1"/>
  <c r="E124" i="11" s="1"/>
  <c r="H124" i="11" s="1"/>
  <c r="E125" i="11" a="1"/>
  <c r="E125" i="11" s="1"/>
  <c r="E126" i="11" a="1"/>
  <c r="E126" i="11"/>
  <c r="E127" i="11" a="1"/>
  <c r="E127" i="11" s="1"/>
  <c r="E128" i="11" a="1"/>
  <c r="E128" i="11" s="1"/>
  <c r="E129" i="11" a="1"/>
  <c r="E129" i="11" s="1"/>
  <c r="E130" i="11" a="1"/>
  <c r="E130" i="11" s="1"/>
  <c r="E131" i="11" a="1"/>
  <c r="E131" i="11" s="1"/>
  <c r="H131" i="11" s="1"/>
  <c r="E132" i="11" a="1"/>
  <c r="E132" i="11" s="1"/>
  <c r="H132" i="11" s="1"/>
  <c r="E133" i="11" a="1"/>
  <c r="E133" i="11" s="1"/>
  <c r="E134" i="11" a="1"/>
  <c r="E134" i="11" s="1"/>
  <c r="E135" i="11" a="1"/>
  <c r="E135" i="11" s="1"/>
  <c r="E136" i="11" a="1"/>
  <c r="E136" i="11" s="1"/>
  <c r="E137" i="11" a="1"/>
  <c r="E137" i="11" s="1"/>
  <c r="E138" i="11" a="1"/>
  <c r="E138" i="11" s="1"/>
  <c r="E139" i="11" a="1"/>
  <c r="E139" i="11" s="1"/>
  <c r="E140" i="11" a="1"/>
  <c r="E140" i="11" s="1"/>
  <c r="E141" i="11" a="1"/>
  <c r="E141" i="11" s="1"/>
  <c r="E142" i="11" a="1"/>
  <c r="E142" i="11" s="1"/>
  <c r="H142" i="11" s="1"/>
  <c r="E143" i="11" a="1"/>
  <c r="E143" i="11" s="1"/>
  <c r="E144" i="11" a="1"/>
  <c r="E144" i="11"/>
  <c r="E145" i="11" a="1"/>
  <c r="E145" i="11" s="1"/>
  <c r="E146" i="11" a="1"/>
  <c r="E146" i="11"/>
  <c r="E147" i="11" a="1"/>
  <c r="E147" i="11"/>
  <c r="E148" i="11" a="1"/>
  <c r="E148" i="11" s="1"/>
  <c r="E149" i="11" a="1"/>
  <c r="E149" i="11" s="1"/>
  <c r="E150" i="11" a="1"/>
  <c r="E150" i="11" s="1"/>
  <c r="H150" i="11" s="1"/>
  <c r="E151" i="11" a="1"/>
  <c r="E151" i="11" s="1"/>
  <c r="E152" i="11" a="1"/>
  <c r="E152" i="11" s="1"/>
  <c r="H152" i="11" s="1"/>
  <c r="E153" i="11" a="1"/>
  <c r="E153" i="11" s="1"/>
  <c r="E154" i="11" a="1"/>
  <c r="E154" i="11" s="1"/>
  <c r="E155" i="11" a="1"/>
  <c r="E155" i="11" s="1"/>
  <c r="E156" i="11" a="1"/>
  <c r="E156" i="11" s="1"/>
  <c r="E157" i="11" a="1"/>
  <c r="E157" i="11" s="1"/>
  <c r="E158" i="11" a="1"/>
  <c r="E158" i="11" s="1"/>
  <c r="E159" i="11" a="1"/>
  <c r="E159" i="11" s="1"/>
  <c r="H159" i="11" s="1"/>
  <c r="E160" i="11" a="1"/>
  <c r="E160" i="11"/>
  <c r="E161" i="11" a="1"/>
  <c r="E161" i="11" s="1"/>
  <c r="E162" i="11" a="1"/>
  <c r="E162" i="11" s="1"/>
  <c r="E163" i="11" a="1"/>
  <c r="E163" i="11" s="1"/>
  <c r="E164" i="11" a="1"/>
  <c r="E164" i="11" s="1"/>
  <c r="H164" i="11" s="1"/>
  <c r="E165" i="11" a="1"/>
  <c r="E165" i="11" s="1"/>
  <c r="E166" i="11" a="1"/>
  <c r="E166" i="11" s="1"/>
  <c r="E167" i="11" a="1"/>
  <c r="E167" i="11"/>
  <c r="E168" i="11" a="1"/>
  <c r="E168" i="11" s="1"/>
  <c r="E169" i="11" a="1"/>
  <c r="E169" i="11" s="1"/>
  <c r="E170" i="11" a="1"/>
  <c r="E170" i="11" s="1"/>
  <c r="E171" i="11" a="1"/>
  <c r="E171" i="11" s="1"/>
  <c r="E172" i="11" a="1"/>
  <c r="E172" i="11" s="1"/>
  <c r="H172" i="11" s="1"/>
  <c r="E173" i="11" a="1"/>
  <c r="E173" i="11" s="1"/>
  <c r="E174" i="11" a="1"/>
  <c r="E174" i="11" s="1"/>
  <c r="H174" i="11" s="1"/>
  <c r="E175" i="11" a="1"/>
  <c r="E175" i="11" s="1"/>
  <c r="E176" i="11" a="1"/>
  <c r="E176" i="11" s="1"/>
  <c r="E177" i="11" a="1"/>
  <c r="E177" i="11" s="1"/>
  <c r="E178" i="11" a="1"/>
  <c r="E178" i="11" s="1"/>
  <c r="H178" i="11" s="1"/>
  <c r="E179" i="11" a="1"/>
  <c r="E179" i="11" s="1"/>
  <c r="E180" i="11" a="1"/>
  <c r="E180" i="11" s="1"/>
  <c r="E181" i="11" a="1"/>
  <c r="E181" i="11" s="1"/>
  <c r="E182" i="11" a="1"/>
  <c r="E182" i="11" s="1"/>
  <c r="E183" i="11" a="1"/>
  <c r="E183" i="11" s="1"/>
  <c r="E184" i="11" a="1"/>
  <c r="E184" i="11" s="1"/>
  <c r="E185" i="11" a="1"/>
  <c r="E185" i="11" s="1"/>
  <c r="E186" i="11" a="1"/>
  <c r="E186" i="11"/>
  <c r="E187" i="11" a="1"/>
  <c r="E187" i="11" s="1"/>
  <c r="E188" i="11" a="1"/>
  <c r="E188" i="11" s="1"/>
  <c r="E189" i="11" a="1"/>
  <c r="E189" i="11" s="1"/>
  <c r="E190" i="11" a="1"/>
  <c r="E190" i="11" s="1"/>
  <c r="H190" i="11" s="1"/>
  <c r="E191" i="11" a="1"/>
  <c r="E191" i="11" s="1"/>
  <c r="H191" i="11" s="1"/>
  <c r="E192" i="11" a="1"/>
  <c r="E192" i="11" s="1"/>
  <c r="E193" i="11" a="1"/>
  <c r="E193" i="11" s="1"/>
  <c r="E194" i="11" a="1"/>
  <c r="E194" i="11" s="1"/>
  <c r="E195" i="11" a="1"/>
  <c r="E195" i="11" s="1"/>
  <c r="E196" i="11" a="1"/>
  <c r="E196" i="11" s="1"/>
  <c r="E197" i="11" a="1"/>
  <c r="E197" i="11" s="1"/>
  <c r="E198" i="11" a="1"/>
  <c r="E198" i="11"/>
  <c r="E199" i="11" a="1"/>
  <c r="E199" i="11" s="1"/>
  <c r="E200" i="11" a="1"/>
  <c r="E200" i="11" s="1"/>
  <c r="E201" i="11" a="1"/>
  <c r="E201" i="11" s="1"/>
  <c r="H201" i="11" s="1"/>
  <c r="E202" i="11" a="1"/>
  <c r="E202" i="11" s="1"/>
  <c r="E203" i="11" a="1"/>
  <c r="E203" i="11" s="1"/>
  <c r="H203" i="11" s="1"/>
  <c r="E204" i="11" a="1"/>
  <c r="E204" i="11" s="1"/>
  <c r="E205" i="11" a="1"/>
  <c r="E205" i="11" s="1"/>
  <c r="E206" i="11" a="1"/>
  <c r="E206" i="11" s="1"/>
  <c r="H206" i="11" s="1"/>
  <c r="E207" i="11" a="1"/>
  <c r="E207" i="11" s="1"/>
  <c r="E208" i="11" a="1"/>
  <c r="E208" i="11" s="1"/>
  <c r="E209" i="11" a="1"/>
  <c r="E209" i="11"/>
  <c r="E210" i="11" a="1"/>
  <c r="E210" i="11" s="1"/>
  <c r="E211" i="11" a="1"/>
  <c r="E211" i="11" s="1"/>
  <c r="E212" i="11" a="1"/>
  <c r="E212" i="11" s="1"/>
  <c r="H212" i="11" s="1"/>
  <c r="E213" i="11" a="1"/>
  <c r="E213" i="11" s="1"/>
  <c r="H213" i="11" s="1"/>
  <c r="E214" i="11" a="1"/>
  <c r="E214" i="11" s="1"/>
  <c r="H214" i="11" s="1"/>
  <c r="E215" i="11" a="1"/>
  <c r="E215" i="11" s="1"/>
  <c r="E216" i="11" a="1"/>
  <c r="E216" i="11" s="1"/>
  <c r="E217" i="11" a="1"/>
  <c r="E217" i="11" s="1"/>
  <c r="E218" i="11" a="1"/>
  <c r="E218" i="11" s="1"/>
  <c r="E219" i="11" a="1"/>
  <c r="E219" i="11"/>
  <c r="E220" i="11" a="1"/>
  <c r="E220" i="11" s="1"/>
  <c r="E221" i="11" a="1"/>
  <c r="E221" i="11" s="1"/>
  <c r="E222" i="11" a="1"/>
  <c r="E222" i="11" s="1"/>
  <c r="H222" i="11" s="1"/>
  <c r="E223" i="11" a="1"/>
  <c r="E223" i="11" s="1"/>
  <c r="E224" i="11" a="1"/>
  <c r="E224" i="11" s="1"/>
  <c r="E225" i="11" a="1"/>
  <c r="E225" i="11" s="1"/>
  <c r="E226" i="11" a="1"/>
  <c r="E226" i="11" s="1"/>
  <c r="H226" i="11" s="1"/>
  <c r="E227" i="11" a="1"/>
  <c r="E227" i="11" s="1"/>
  <c r="E228" i="11" a="1"/>
  <c r="E228" i="11" s="1"/>
  <c r="E229" i="11" a="1"/>
  <c r="E229" i="11" s="1"/>
  <c r="E230" i="11" a="1"/>
  <c r="E230" i="11" s="1"/>
  <c r="E231" i="11" a="1"/>
  <c r="E231" i="11" s="1"/>
  <c r="H231" i="11" s="1"/>
  <c r="E232" i="11" a="1"/>
  <c r="E232" i="11" s="1"/>
  <c r="H232" i="11" s="1"/>
  <c r="E233" i="11" a="1"/>
  <c r="E233" i="11" s="1"/>
  <c r="H233" i="11" s="1"/>
  <c r="E234" i="11" a="1"/>
  <c r="E234" i="11" s="1"/>
  <c r="E235" i="11" a="1"/>
  <c r="E235" i="11" s="1"/>
  <c r="E236" i="11" a="1"/>
  <c r="E236" i="11"/>
  <c r="E237" i="11" a="1"/>
  <c r="E237" i="11" s="1"/>
  <c r="H237" i="11" s="1"/>
  <c r="E238" i="11" a="1"/>
  <c r="E238" i="11" s="1"/>
  <c r="E239" i="11" a="1"/>
  <c r="E239" i="11" s="1"/>
  <c r="H239" i="11" s="1"/>
  <c r="E240" i="11" a="1"/>
  <c r="E240" i="11" s="1"/>
  <c r="E241" i="11" a="1"/>
  <c r="E241" i="11" s="1"/>
  <c r="E242" i="11" a="1"/>
  <c r="E242" i="11" s="1"/>
  <c r="E243" i="11" a="1"/>
  <c r="E243" i="11" s="1"/>
  <c r="E244" i="11" a="1"/>
  <c r="E244" i="11" s="1"/>
  <c r="E245" i="11" a="1"/>
  <c r="E245" i="11" s="1"/>
  <c r="E246" i="11" a="1"/>
  <c r="E246" i="11"/>
  <c r="E247" i="11" a="1"/>
  <c r="E247" i="11" s="1"/>
  <c r="E248" i="11" a="1"/>
  <c r="E248" i="11" s="1"/>
  <c r="E249" i="11" a="1"/>
  <c r="E249" i="11" s="1"/>
  <c r="H249" i="11" s="1"/>
  <c r="E250" i="11" a="1"/>
  <c r="E250" i="11" s="1"/>
  <c r="H250" i="11" s="1"/>
  <c r="E251" i="11" a="1"/>
  <c r="E251" i="11" s="1"/>
  <c r="E252" i="11" a="1"/>
  <c r="E252" i="11" s="1"/>
  <c r="E253" i="11" a="1"/>
  <c r="E253" i="11" s="1"/>
  <c r="E254" i="11" a="1"/>
  <c r="E254" i="11" s="1"/>
  <c r="E255" i="11" a="1"/>
  <c r="E255" i="11" s="1"/>
  <c r="E256" i="11" a="1"/>
  <c r="E256" i="11" s="1"/>
  <c r="E257" i="11" a="1"/>
  <c r="E257" i="11" s="1"/>
  <c r="E258" i="11" a="1"/>
  <c r="E258" i="11" s="1"/>
  <c r="E259" i="11" a="1"/>
  <c r="E259" i="11" s="1"/>
  <c r="E260" i="11" a="1"/>
  <c r="E260" i="11" s="1"/>
  <c r="E261" i="11" a="1"/>
  <c r="E261" i="11" s="1"/>
  <c r="E262" i="11" a="1"/>
  <c r="E262" i="11" s="1"/>
  <c r="H262" i="11" s="1"/>
  <c r="E263" i="11" a="1"/>
  <c r="E263" i="11"/>
  <c r="E264" i="11" a="1"/>
  <c r="E264" i="11" s="1"/>
  <c r="E265" i="11" a="1"/>
  <c r="E265" i="11" s="1"/>
  <c r="E266" i="11" a="1"/>
  <c r="E266" i="11" s="1"/>
  <c r="E267" i="11" a="1"/>
  <c r="E267" i="11" s="1"/>
  <c r="E268" i="11" a="1"/>
  <c r="E268" i="11"/>
  <c r="E269" i="11" a="1"/>
  <c r="E269" i="11" s="1"/>
  <c r="E270" i="11" a="1"/>
  <c r="E270" i="11"/>
  <c r="E271" i="11" a="1"/>
  <c r="E271" i="11" s="1"/>
  <c r="E272" i="11" a="1"/>
  <c r="E272" i="11" s="1"/>
  <c r="E273" i="11" a="1"/>
  <c r="E273" i="11" s="1"/>
  <c r="H273" i="11" s="1"/>
  <c r="E274" i="11" a="1"/>
  <c r="E274" i="11" s="1"/>
  <c r="E275" i="11" a="1"/>
  <c r="E275" i="11" s="1"/>
  <c r="H275" i="11" s="1"/>
  <c r="E276" i="11" a="1"/>
  <c r="E276" i="11" s="1"/>
  <c r="H276" i="11" s="1"/>
  <c r="E277" i="11" a="1"/>
  <c r="E277" i="11" s="1"/>
  <c r="E278" i="11" a="1"/>
  <c r="E278" i="11" s="1"/>
  <c r="H278" i="11" s="1"/>
  <c r="E279" i="11" a="1"/>
  <c r="E279" i="11" s="1"/>
  <c r="E280" i="11" a="1"/>
  <c r="E280" i="11" s="1"/>
  <c r="E281" i="11" a="1"/>
  <c r="E281" i="11" s="1"/>
  <c r="H281" i="11" s="1"/>
  <c r="E282" i="11" a="1"/>
  <c r="E282" i="11" s="1"/>
  <c r="H282" i="11" s="1"/>
  <c r="E283" i="11" a="1"/>
  <c r="E283" i="11" s="1"/>
  <c r="E284" i="11" a="1"/>
  <c r="E284" i="11"/>
  <c r="E285" i="11" a="1"/>
  <c r="E285" i="11" s="1"/>
  <c r="E286" i="11" a="1"/>
  <c r="E286" i="11" s="1"/>
  <c r="E287" i="11" a="1"/>
  <c r="E287" i="11" s="1"/>
  <c r="E288" i="11" a="1"/>
  <c r="E288" i="11"/>
  <c r="E289" i="11" a="1"/>
  <c r="E289" i="11" s="1"/>
  <c r="E290" i="11" a="1"/>
  <c r="E290" i="11" s="1"/>
  <c r="E291" i="11" a="1"/>
  <c r="E291" i="11" s="1"/>
  <c r="E292" i="11" a="1"/>
  <c r="E292" i="11" s="1"/>
  <c r="H292" i="11" s="1"/>
  <c r="E293" i="11" a="1"/>
  <c r="E293" i="11" s="1"/>
  <c r="E294" i="11" a="1"/>
  <c r="E294" i="11"/>
  <c r="E295" i="11" a="1"/>
  <c r="E295" i="11" s="1"/>
  <c r="E296" i="11" a="1"/>
  <c r="E296" i="11" s="1"/>
  <c r="H296" i="11" s="1"/>
  <c r="E297" i="11" a="1"/>
  <c r="E297" i="11" s="1"/>
  <c r="E298" i="11" a="1"/>
  <c r="E298" i="11"/>
  <c r="E299" i="11" a="1"/>
  <c r="E299" i="11"/>
  <c r="E300" i="11" a="1"/>
  <c r="E300" i="11" s="1"/>
  <c r="E301" i="11" a="1"/>
  <c r="E301" i="11" s="1"/>
  <c r="E302" i="11" a="1"/>
  <c r="E302" i="11" s="1"/>
  <c r="E303" i="11" a="1"/>
  <c r="E303" i="11" s="1"/>
  <c r="E304" i="11" a="1"/>
  <c r="E304" i="11" s="1"/>
  <c r="H304" i="11" s="1"/>
  <c r="E305" i="11" a="1"/>
  <c r="E305" i="11" s="1"/>
  <c r="E306" i="11" a="1"/>
  <c r="E306" i="11" s="1"/>
  <c r="E307" i="11" a="1"/>
  <c r="E307" i="11" s="1"/>
  <c r="E308" i="11" a="1"/>
  <c r="E308" i="11" s="1"/>
  <c r="H308" i="11" s="1"/>
  <c r="E309" i="11" a="1"/>
  <c r="E309" i="11" s="1"/>
  <c r="H309" i="11" s="1"/>
  <c r="E310" i="11" a="1"/>
  <c r="E310" i="11" s="1"/>
  <c r="H310" i="11" s="1"/>
  <c r="E311" i="11" a="1"/>
  <c r="E311" i="11" s="1"/>
  <c r="H311" i="11" s="1"/>
  <c r="E312" i="11" a="1"/>
  <c r="E312" i="11" s="1"/>
  <c r="E313" i="11" a="1"/>
  <c r="E313" i="11" s="1"/>
  <c r="E314" i="11" a="1"/>
  <c r="E314" i="11" s="1"/>
  <c r="E315" i="11" a="1"/>
  <c r="E315" i="11" s="1"/>
  <c r="E316" i="11" a="1"/>
  <c r="E316" i="11" s="1"/>
  <c r="E317" i="11" a="1"/>
  <c r="E317" i="11"/>
  <c r="E318" i="11" a="1"/>
  <c r="E318" i="11" s="1"/>
  <c r="E319" i="11" a="1"/>
  <c r="E319" i="11" s="1"/>
  <c r="E320" i="11" a="1"/>
  <c r="E320" i="11" s="1"/>
  <c r="E321" i="11" a="1"/>
  <c r="E321" i="11" s="1"/>
  <c r="H321" i="11" s="1"/>
  <c r="E322" i="11" a="1"/>
  <c r="E322" i="11" s="1"/>
  <c r="H322" i="11" s="1"/>
  <c r="E323" i="11" a="1"/>
  <c r="E323" i="11" s="1"/>
  <c r="E324" i="11" a="1"/>
  <c r="E324" i="11" s="1"/>
  <c r="E325" i="11" a="1"/>
  <c r="E325" i="11" s="1"/>
  <c r="E326" i="11" a="1"/>
  <c r="E326" i="11" s="1"/>
  <c r="E327" i="11" a="1"/>
  <c r="E327" i="11" s="1"/>
  <c r="H327" i="11" s="1"/>
  <c r="E328" i="11" a="1"/>
  <c r="E328" i="11" s="1"/>
  <c r="E329" i="11" a="1"/>
  <c r="E329" i="11" s="1"/>
  <c r="E330" i="11" a="1"/>
  <c r="E330" i="11" s="1"/>
  <c r="E331" i="11" a="1"/>
  <c r="E331" i="11" s="1"/>
  <c r="E332" i="11" a="1"/>
  <c r="E332" i="11" s="1"/>
  <c r="E333" i="11" a="1"/>
  <c r="E333" i="11" s="1"/>
  <c r="E334" i="11" a="1"/>
  <c r="E334" i="11" s="1"/>
  <c r="H334" i="11" s="1"/>
  <c r="E335" i="11" a="1"/>
  <c r="E335" i="11" s="1"/>
  <c r="H335" i="11" s="1"/>
  <c r="E336" i="11" a="1"/>
  <c r="E336" i="11" s="1"/>
  <c r="H336" i="11" s="1"/>
  <c r="E337" i="11" a="1"/>
  <c r="E337" i="11" s="1"/>
  <c r="E338" i="11" a="1"/>
  <c r="E338" i="11" s="1"/>
  <c r="E339" i="11" a="1"/>
  <c r="E339" i="11" s="1"/>
  <c r="E340" i="11" a="1"/>
  <c r="E340" i="11"/>
  <c r="E341" i="11" a="1"/>
  <c r="E341" i="11" s="1"/>
  <c r="E342" i="11" a="1"/>
  <c r="E342" i="11" s="1"/>
  <c r="H342" i="11" s="1"/>
  <c r="E343" i="11" a="1"/>
  <c r="E343" i="11" s="1"/>
  <c r="E344" i="11" a="1"/>
  <c r="E344" i="11" s="1"/>
  <c r="H344" i="11" s="1"/>
  <c r="E345" i="11" a="1"/>
  <c r="E345" i="11" s="1"/>
  <c r="H345" i="11" s="1"/>
  <c r="E346" i="11" a="1"/>
  <c r="E346" i="11" s="1"/>
  <c r="E347" i="11" a="1"/>
  <c r="E347" i="11"/>
  <c r="E348" i="11" a="1"/>
  <c r="E348" i="11" s="1"/>
  <c r="H348" i="11" s="1"/>
  <c r="E349" i="11" a="1"/>
  <c r="E349" i="11" s="1"/>
  <c r="E350" i="11" a="1"/>
  <c r="E350" i="11" s="1"/>
  <c r="H350" i="11" s="1"/>
  <c r="E351" i="11" a="1"/>
  <c r="E351" i="11" s="1"/>
  <c r="E352" i="11" a="1"/>
  <c r="E352" i="11" s="1"/>
  <c r="E353" i="11" a="1"/>
  <c r="E353" i="11" s="1"/>
  <c r="H353" i="11" s="1"/>
  <c r="E354" i="11" a="1"/>
  <c r="E354" i="11" s="1"/>
  <c r="E355" i="11" a="1"/>
  <c r="E355" i="11" s="1"/>
  <c r="E356" i="11" a="1"/>
  <c r="E356" i="11"/>
  <c r="E357" i="11" a="1"/>
  <c r="E357" i="11" s="1"/>
  <c r="E358" i="11" a="1"/>
  <c r="E358" i="11" s="1"/>
  <c r="E359" i="11" a="1"/>
  <c r="E359" i="11" s="1"/>
  <c r="E360" i="11" a="1"/>
  <c r="E360" i="11" s="1"/>
  <c r="E361" i="11" a="1"/>
  <c r="E361" i="11" s="1"/>
  <c r="E362" i="11" a="1"/>
  <c r="E362" i="11" s="1"/>
  <c r="H362" i="11" s="1"/>
  <c r="E363" i="11" a="1"/>
  <c r="E363" i="11" s="1"/>
  <c r="H363" i="11" s="1"/>
  <c r="E364" i="11" a="1"/>
  <c r="E364" i="11" s="1"/>
  <c r="E365" i="11" a="1"/>
  <c r="E365" i="11" s="1"/>
  <c r="E366" i="11" a="1"/>
  <c r="E366" i="11" s="1"/>
  <c r="E367" i="11" a="1"/>
  <c r="E367" i="11" s="1"/>
  <c r="E368" i="11" a="1"/>
  <c r="E368" i="11" s="1"/>
  <c r="E369" i="11" a="1"/>
  <c r="E369" i="11" s="1"/>
  <c r="E370" i="11" a="1"/>
  <c r="E370" i="11" s="1"/>
  <c r="H370" i="11" s="1"/>
  <c r="E371" i="11" a="1"/>
  <c r="E371" i="11" s="1"/>
  <c r="E372" i="11" a="1"/>
  <c r="E372" i="11" s="1"/>
  <c r="E373" i="11" a="1"/>
  <c r="E373" i="11" s="1"/>
  <c r="E374" i="11" a="1"/>
  <c r="E374" i="11" s="1"/>
  <c r="E375" i="11" a="1"/>
  <c r="E375" i="11" s="1"/>
  <c r="E376" i="11" a="1"/>
  <c r="E376" i="11" s="1"/>
  <c r="H376" i="11" s="1"/>
  <c r="E377" i="11" a="1"/>
  <c r="E377" i="11" s="1"/>
  <c r="E378" i="11" a="1"/>
  <c r="E378" i="11" s="1"/>
  <c r="E379" i="11" a="1"/>
  <c r="E379" i="11" s="1"/>
  <c r="E380" i="11" a="1"/>
  <c r="E380" i="11" s="1"/>
  <c r="E381" i="11" a="1"/>
  <c r="E381" i="11" s="1"/>
  <c r="E382" i="11" a="1"/>
  <c r="E382" i="11" s="1"/>
  <c r="E383" i="11" a="1"/>
  <c r="E383" i="11" s="1"/>
  <c r="E384" i="11" a="1"/>
  <c r="E384" i="11" s="1"/>
  <c r="H384" i="11" s="1"/>
  <c r="E385" i="11" a="1"/>
  <c r="E385" i="11" s="1"/>
  <c r="E386" i="11" a="1"/>
  <c r="E386" i="11" s="1"/>
  <c r="E387" i="11" a="1"/>
  <c r="E387" i="11" s="1"/>
  <c r="E388" i="11" a="1"/>
  <c r="E388" i="11"/>
  <c r="E389" i="11" a="1"/>
  <c r="E389" i="11" s="1"/>
  <c r="H389" i="11" s="1"/>
  <c r="E390" i="11" a="1"/>
  <c r="E390" i="11" s="1"/>
  <c r="H390" i="11" s="1"/>
  <c r="E391" i="11" a="1"/>
  <c r="E391" i="11" s="1"/>
  <c r="E392" i="11" a="1"/>
  <c r="E392" i="11" s="1"/>
  <c r="E393" i="11" a="1"/>
  <c r="E393" i="11" s="1"/>
  <c r="H393" i="11" s="1"/>
  <c r="E394" i="11" a="1"/>
  <c r="E394" i="11" s="1"/>
  <c r="H394" i="11" s="1"/>
  <c r="E395" i="11" a="1"/>
  <c r="E395" i="11"/>
  <c r="E396" i="11" a="1"/>
  <c r="E396" i="11" s="1"/>
  <c r="E397" i="11" a="1"/>
  <c r="E397" i="11" s="1"/>
  <c r="E398" i="11" a="1"/>
  <c r="E398" i="11" s="1"/>
  <c r="E399" i="11" a="1"/>
  <c r="E399" i="11" s="1"/>
  <c r="E400" i="11" a="1"/>
  <c r="E400" i="11" s="1"/>
  <c r="E401" i="11" a="1"/>
  <c r="E401" i="11" s="1"/>
  <c r="E402" i="11" a="1"/>
  <c r="E402" i="11" s="1"/>
  <c r="E403" i="11" a="1"/>
  <c r="E403" i="11" s="1"/>
  <c r="E404" i="11" a="1"/>
  <c r="E404" i="11" s="1"/>
  <c r="E405" i="11" a="1"/>
  <c r="E405" i="11" s="1"/>
  <c r="E406" i="11" a="1"/>
  <c r="E406" i="11"/>
  <c r="E407" i="11" a="1"/>
  <c r="E407" i="11" s="1"/>
  <c r="H407" i="11" s="1"/>
  <c r="E408" i="11" a="1"/>
  <c r="E408" i="11" s="1"/>
  <c r="E409" i="11" a="1"/>
  <c r="E409" i="11" s="1"/>
  <c r="E410" i="11" a="1"/>
  <c r="E410" i="11"/>
  <c r="E411" i="11" a="1"/>
  <c r="E411" i="11" s="1"/>
  <c r="E412" i="11" a="1"/>
  <c r="E412" i="11" s="1"/>
  <c r="E413" i="11" a="1"/>
  <c r="E413" i="11" s="1"/>
  <c r="E414" i="11" a="1"/>
  <c r="E414" i="11" s="1"/>
  <c r="E415" i="11" a="1"/>
  <c r="E415" i="11" s="1"/>
  <c r="E416" i="11" a="1"/>
  <c r="E416" i="11" s="1"/>
  <c r="E417" i="11" a="1"/>
  <c r="E417" i="11" s="1"/>
  <c r="E418" i="11" a="1"/>
  <c r="E418" i="11" s="1"/>
  <c r="E419" i="11" a="1"/>
  <c r="E419" i="11" s="1"/>
  <c r="H419" i="11" s="1"/>
  <c r="E420" i="11" a="1"/>
  <c r="E420" i="11"/>
  <c r="E421" i="11" a="1"/>
  <c r="E421" i="11" s="1"/>
  <c r="E422" i="11" a="1"/>
  <c r="E422" i="11" s="1"/>
  <c r="H422" i="11" s="1"/>
  <c r="E423" i="11" a="1"/>
  <c r="E423" i="11" s="1"/>
  <c r="E424" i="11" a="1"/>
  <c r="E424" i="11" s="1"/>
  <c r="E425" i="11" a="1"/>
  <c r="E425" i="11" s="1"/>
  <c r="H425" i="11" s="1"/>
  <c r="E426" i="11" a="1"/>
  <c r="E426" i="11" s="1"/>
  <c r="E427" i="11" a="1"/>
  <c r="E427" i="11" s="1"/>
  <c r="E428" i="11" a="1"/>
  <c r="E428" i="11" s="1"/>
  <c r="H428" i="11" s="1"/>
  <c r="E429" i="11" a="1"/>
  <c r="E429" i="11" s="1"/>
  <c r="E430" i="11" a="1"/>
  <c r="E430" i="11" s="1"/>
  <c r="E431" i="11" a="1"/>
  <c r="E431" i="11" s="1"/>
  <c r="E432" i="11" a="1"/>
  <c r="E432" i="11" s="1"/>
  <c r="H432" i="11" s="1"/>
  <c r="E433" i="11" a="1"/>
  <c r="E433" i="11" s="1"/>
  <c r="E434" i="11" a="1"/>
  <c r="E434" i="11" s="1"/>
  <c r="H434" i="11" s="1"/>
  <c r="E435" i="11" a="1"/>
  <c r="E435" i="11" s="1"/>
  <c r="E436" i="11" a="1"/>
  <c r="E436" i="11" s="1"/>
  <c r="E437" i="11" a="1"/>
  <c r="E437" i="11" s="1"/>
  <c r="E438" i="11" a="1"/>
  <c r="E438" i="11" s="1"/>
  <c r="H438" i="11" s="1"/>
  <c r="E439" i="11" a="1"/>
  <c r="E439" i="11" s="1"/>
  <c r="E440" i="11" a="1"/>
  <c r="E440" i="11" s="1"/>
  <c r="E441" i="11" a="1"/>
  <c r="E441" i="11" s="1"/>
  <c r="E442" i="11" a="1"/>
  <c r="E442" i="11" s="1"/>
  <c r="H442" i="11" s="1"/>
  <c r="E443" i="11" a="1"/>
  <c r="E443" i="11" s="1"/>
  <c r="E444" i="11" a="1"/>
  <c r="E444" i="11" s="1"/>
  <c r="E445" i="11" a="1"/>
  <c r="E445" i="11" s="1"/>
  <c r="E446" i="11" a="1"/>
  <c r="E446" i="11" s="1"/>
  <c r="E447" i="11" a="1"/>
  <c r="E447" i="11"/>
  <c r="E448" i="11" a="1"/>
  <c r="E448" i="11" s="1"/>
  <c r="E449" i="11" a="1"/>
  <c r="E449" i="11" s="1"/>
  <c r="E450" i="11" a="1"/>
  <c r="E450" i="11" s="1"/>
  <c r="E451" i="11" a="1"/>
  <c r="E451" i="11" s="1"/>
  <c r="E452" i="11" a="1"/>
  <c r="E452" i="11" s="1"/>
  <c r="E453" i="11" a="1"/>
  <c r="E453" i="11" s="1"/>
  <c r="H453" i="11" s="1"/>
  <c r="E454" i="11" a="1"/>
  <c r="E454" i="11" s="1"/>
  <c r="E455" i="11" a="1"/>
  <c r="E455" i="11" s="1"/>
  <c r="H455" i="11" s="1"/>
  <c r="E456" i="11" a="1"/>
  <c r="E456" i="11" s="1"/>
  <c r="E457" i="11" a="1"/>
  <c r="E457" i="11" s="1"/>
  <c r="E458" i="11" a="1"/>
  <c r="E458" i="11" s="1"/>
  <c r="E459" i="11" a="1"/>
  <c r="E459" i="11" s="1"/>
  <c r="E460" i="11" a="1"/>
  <c r="E460" i="11" s="1"/>
  <c r="H460" i="11" s="1"/>
  <c r="E461" i="11" a="1"/>
  <c r="E461" i="11" s="1"/>
  <c r="E462" i="11" a="1"/>
  <c r="E462" i="11" s="1"/>
  <c r="H462" i="11" s="1"/>
  <c r="E463" i="11" a="1"/>
  <c r="E463" i="11" s="1"/>
  <c r="E464" i="11" a="1"/>
  <c r="E464" i="11" s="1"/>
  <c r="E465" i="11" a="1"/>
  <c r="E465" i="11" s="1"/>
  <c r="H465" i="11" s="1"/>
  <c r="E466" i="11" a="1"/>
  <c r="E466" i="11" s="1"/>
  <c r="H466" i="11" s="1"/>
  <c r="E467" i="11" a="1"/>
  <c r="E467" i="11" s="1"/>
  <c r="E468" i="11" a="1"/>
  <c r="E468" i="11" s="1"/>
  <c r="E469" i="11" a="1"/>
  <c r="E469" i="11" s="1"/>
  <c r="E470" i="11" a="1"/>
  <c r="E470" i="11" s="1"/>
  <c r="E471" i="11" a="1"/>
  <c r="E471" i="11"/>
  <c r="H471" i="11" s="1"/>
  <c r="E472" i="11" a="1"/>
  <c r="E472" i="11" s="1"/>
  <c r="E473" i="11" a="1"/>
  <c r="E473" i="11" s="1"/>
  <c r="E474" i="11" a="1"/>
  <c r="E474" i="11" s="1"/>
  <c r="E475" i="11" a="1"/>
  <c r="E475" i="11" s="1"/>
  <c r="E476" i="11" a="1"/>
  <c r="E476" i="11" s="1"/>
  <c r="E477" i="11" a="1"/>
  <c r="E477" i="11" s="1"/>
  <c r="E478" i="11" a="1"/>
  <c r="E478" i="11"/>
  <c r="E479" i="11" a="1"/>
  <c r="E479" i="11" s="1"/>
  <c r="H479" i="11" s="1"/>
  <c r="E480" i="11" a="1"/>
  <c r="E480" i="11" s="1"/>
  <c r="E481" i="11" a="1"/>
  <c r="E481" i="11" s="1"/>
  <c r="E482" i="11" a="1"/>
  <c r="E482" i="11" s="1"/>
  <c r="H482" i="11" s="1"/>
  <c r="E483" i="11" a="1"/>
  <c r="E483" i="11" s="1"/>
  <c r="E484" i="11" a="1"/>
  <c r="E484" i="11" s="1"/>
  <c r="E485" i="11" a="1"/>
  <c r="E485" i="11" s="1"/>
  <c r="E486" i="11" a="1"/>
  <c r="E486" i="11" s="1"/>
  <c r="E487" i="11" a="1"/>
  <c r="E487" i="11" s="1"/>
  <c r="E488" i="11" a="1"/>
  <c r="E488" i="11" s="1"/>
  <c r="E489" i="11" a="1"/>
  <c r="E489" i="11" s="1"/>
  <c r="E490" i="11" a="1"/>
  <c r="E490" i="11" s="1"/>
  <c r="E491" i="11" a="1"/>
  <c r="E491" i="11" s="1"/>
  <c r="H491" i="11" s="1"/>
  <c r="E492" i="11" a="1"/>
  <c r="E492" i="11"/>
  <c r="H492" i="11" s="1"/>
  <c r="E493" i="11" a="1"/>
  <c r="E493" i="11" s="1"/>
  <c r="E494" i="11" a="1"/>
  <c r="E494" i="11" s="1"/>
  <c r="E495" i="11" a="1"/>
  <c r="E495" i="11" s="1"/>
  <c r="E496" i="11" a="1"/>
  <c r="E496" i="11" s="1"/>
  <c r="E497" i="11" a="1"/>
  <c r="E497" i="11"/>
  <c r="E498" i="11" a="1"/>
  <c r="E498" i="11" s="1"/>
  <c r="E499" i="11" a="1"/>
  <c r="E499" i="11" s="1"/>
  <c r="E500" i="11" a="1"/>
  <c r="E500" i="11" s="1"/>
  <c r="E501" i="11" a="1"/>
  <c r="E501" i="11" s="1"/>
  <c r="E502" i="11" a="1"/>
  <c r="E502" i="11" s="1"/>
  <c r="E503" i="11" a="1"/>
  <c r="E503" i="11" s="1"/>
  <c r="H503" i="11" s="1"/>
  <c r="E504" i="11" a="1"/>
  <c r="E504" i="11"/>
  <c r="E505" i="11" a="1"/>
  <c r="E505" i="11" s="1"/>
  <c r="E506" i="11" a="1"/>
  <c r="E506" i="11" s="1"/>
  <c r="H506" i="11" s="1"/>
  <c r="E507" i="11" a="1"/>
  <c r="E507" i="11" s="1"/>
  <c r="H507" i="11" s="1"/>
  <c r="E508" i="11" a="1"/>
  <c r="E508" i="11" s="1"/>
  <c r="E509" i="11" a="1"/>
  <c r="E509" i="11" s="1"/>
  <c r="E510" i="11" a="1"/>
  <c r="E510" i="11" s="1"/>
  <c r="H510" i="11" s="1"/>
  <c r="E511" i="11" a="1"/>
  <c r="E511" i="11" s="1"/>
  <c r="E512" i="11" a="1"/>
  <c r="E512" i="11" s="1"/>
  <c r="E513" i="11" a="1"/>
  <c r="E513" i="11" s="1"/>
  <c r="E514" i="11" a="1"/>
  <c r="E514" i="11" s="1"/>
  <c r="E515" i="11" a="1"/>
  <c r="E515" i="11" s="1"/>
  <c r="E516" i="11" a="1"/>
  <c r="E516" i="11" s="1"/>
  <c r="E517" i="11" a="1"/>
  <c r="E517" i="11" s="1"/>
  <c r="E518" i="11" a="1"/>
  <c r="E518" i="11" s="1"/>
  <c r="E519" i="11" a="1"/>
  <c r="E519" i="11" s="1"/>
  <c r="E520" i="11" a="1"/>
  <c r="E520" i="11" s="1"/>
  <c r="E521" i="11" a="1"/>
  <c r="E521" i="11" s="1"/>
  <c r="E522" i="11" a="1"/>
  <c r="E522" i="11" s="1"/>
  <c r="E523" i="11" a="1"/>
  <c r="E523" i="11" s="1"/>
  <c r="E524" i="11" a="1"/>
  <c r="E524" i="11" s="1"/>
  <c r="E525" i="11" a="1"/>
  <c r="E525" i="11" s="1"/>
  <c r="E526" i="11" a="1"/>
  <c r="E526" i="11"/>
  <c r="E527" i="11" a="1"/>
  <c r="E527" i="11" s="1"/>
  <c r="E528" i="11" a="1"/>
  <c r="E528" i="11" s="1"/>
  <c r="E529" i="11" a="1"/>
  <c r="E529" i="11" s="1"/>
  <c r="E530" i="11" a="1"/>
  <c r="E530" i="11" s="1"/>
  <c r="E531" i="11" a="1"/>
  <c r="E531" i="11" s="1"/>
  <c r="E532" i="11" a="1"/>
  <c r="E532" i="11" s="1"/>
  <c r="E533" i="11" a="1"/>
  <c r="E533" i="11" s="1"/>
  <c r="E534" i="11" a="1"/>
  <c r="E534" i="11" s="1"/>
  <c r="E535" i="11" a="1"/>
  <c r="E535" i="11" s="1"/>
  <c r="E536" i="11" a="1"/>
  <c r="E536" i="11" s="1"/>
  <c r="E537" i="11" a="1"/>
  <c r="E537" i="11" s="1"/>
  <c r="E538" i="11" a="1"/>
  <c r="E538" i="11" s="1"/>
  <c r="E539" i="11" a="1"/>
  <c r="E539" i="11" s="1"/>
  <c r="H539" i="11" s="1"/>
  <c r="E540" i="11" a="1"/>
  <c r="E540" i="11" s="1"/>
  <c r="E541" i="11" a="1"/>
  <c r="E541" i="11" s="1"/>
  <c r="E542" i="11" a="1"/>
  <c r="E542" i="11" s="1"/>
  <c r="E543" i="11" a="1"/>
  <c r="E543" i="11" s="1"/>
  <c r="H543" i="11" s="1"/>
  <c r="E544" i="11" a="1"/>
  <c r="E544" i="11" s="1"/>
  <c r="H544" i="11" s="1"/>
  <c r="E545" i="11" a="1"/>
  <c r="E545" i="11" s="1"/>
  <c r="E546" i="11" a="1"/>
  <c r="E546" i="11" s="1"/>
  <c r="H546" i="11" s="1"/>
  <c r="E547" i="11" a="1"/>
  <c r="E547" i="11" s="1"/>
  <c r="E548" i="11" a="1"/>
  <c r="E548" i="11" s="1"/>
  <c r="E549" i="11" a="1"/>
  <c r="E549" i="11" s="1"/>
  <c r="E550" i="11" a="1"/>
  <c r="E550" i="11" s="1"/>
  <c r="E551" i="11" a="1"/>
  <c r="E551" i="11" s="1"/>
  <c r="E552" i="11" a="1"/>
  <c r="E552" i="11" s="1"/>
  <c r="E553" i="11" a="1"/>
  <c r="E553" i="11" s="1"/>
  <c r="E554" i="11" a="1"/>
  <c r="E554" i="11" s="1"/>
  <c r="H554" i="11" s="1"/>
  <c r="E555" i="11" a="1"/>
  <c r="E555" i="11" s="1"/>
  <c r="E556" i="11" a="1"/>
  <c r="E556" i="11" s="1"/>
  <c r="E557" i="11" a="1"/>
  <c r="E557" i="11" s="1"/>
  <c r="E558" i="11" a="1"/>
  <c r="E558" i="11" s="1"/>
  <c r="E559" i="11" a="1"/>
  <c r="E559" i="11" s="1"/>
  <c r="E560" i="11" a="1"/>
  <c r="E560" i="11" s="1"/>
  <c r="E561" i="11" a="1"/>
  <c r="E561" i="11" s="1"/>
  <c r="E562" i="11" a="1"/>
  <c r="E562" i="11" s="1"/>
  <c r="E563" i="11" a="1"/>
  <c r="E563" i="11" s="1"/>
  <c r="E564" i="11" a="1"/>
  <c r="E564" i="11" s="1"/>
  <c r="H564" i="11" s="1"/>
  <c r="E565" i="11" a="1"/>
  <c r="E565" i="11" s="1"/>
  <c r="E566" i="11" a="1"/>
  <c r="E566" i="11" s="1"/>
  <c r="E567" i="11" a="1"/>
  <c r="E567" i="11"/>
  <c r="E568" i="11" a="1"/>
  <c r="E568" i="11" s="1"/>
  <c r="H568" i="11" s="1"/>
  <c r="E569" i="11" a="1"/>
  <c r="E569" i="11" s="1"/>
  <c r="E570" i="11" a="1"/>
  <c r="E570" i="11" s="1"/>
  <c r="E571" i="11" a="1"/>
  <c r="E571" i="11" s="1"/>
  <c r="E572" i="11" a="1"/>
  <c r="E572" i="11" s="1"/>
  <c r="E573" i="11" a="1"/>
  <c r="E573" i="11" s="1"/>
  <c r="E574" i="11" a="1"/>
  <c r="E574" i="11" s="1"/>
  <c r="H574" i="11" s="1"/>
  <c r="E575" i="11" a="1"/>
  <c r="E575" i="11" s="1"/>
  <c r="E576" i="11" a="1"/>
  <c r="E576" i="11" s="1"/>
  <c r="E577" i="11" a="1"/>
  <c r="E577" i="11" s="1"/>
  <c r="E578" i="11" a="1"/>
  <c r="E578" i="11" s="1"/>
  <c r="E579" i="11" a="1"/>
  <c r="E579" i="11" s="1"/>
  <c r="E580" i="11" a="1"/>
  <c r="E580" i="11" s="1"/>
  <c r="E581" i="11" a="1"/>
  <c r="E581" i="11" s="1"/>
  <c r="E582" i="11" a="1"/>
  <c r="E582" i="11" s="1"/>
  <c r="E583" i="11" a="1"/>
  <c r="E583" i="11" s="1"/>
  <c r="E584" i="11" a="1"/>
  <c r="E584" i="11" s="1"/>
  <c r="E585" i="11" a="1"/>
  <c r="E585" i="11" s="1"/>
  <c r="E586" i="11" a="1"/>
  <c r="E586" i="11" s="1"/>
  <c r="H586" i="11" s="1"/>
  <c r="E587" i="11" a="1"/>
  <c r="E587" i="11" s="1"/>
  <c r="E588" i="11" a="1"/>
  <c r="E588" i="11" s="1"/>
  <c r="E589" i="11" a="1"/>
  <c r="E589" i="11" s="1"/>
  <c r="E590" i="11" a="1"/>
  <c r="E590" i="11" s="1"/>
  <c r="E591" i="11" a="1"/>
  <c r="E591" i="11" s="1"/>
  <c r="E592" i="11" a="1"/>
  <c r="E592" i="11" s="1"/>
  <c r="E593" i="11" a="1"/>
  <c r="E593" i="11" s="1"/>
  <c r="E594" i="11" a="1"/>
  <c r="E594" i="11"/>
  <c r="H594" i="11" s="1"/>
  <c r="E595" i="11" a="1"/>
  <c r="E595" i="11" s="1"/>
  <c r="E596" i="11" a="1"/>
  <c r="E596" i="11" s="1"/>
  <c r="E597" i="11" a="1"/>
  <c r="E597" i="11" s="1"/>
  <c r="H597" i="11" s="1"/>
  <c r="E598" i="11" a="1"/>
  <c r="E598" i="11"/>
  <c r="E599" i="11" a="1"/>
  <c r="E599" i="11" s="1"/>
  <c r="E600" i="11" a="1"/>
  <c r="E600" i="11" s="1"/>
  <c r="E601" i="11" a="1"/>
  <c r="E601" i="11" s="1"/>
  <c r="H601" i="11" s="1"/>
  <c r="E602" i="11" a="1"/>
  <c r="E602" i="11"/>
  <c r="E603" i="11" a="1"/>
  <c r="E603" i="11" s="1"/>
  <c r="H603" i="11" s="1"/>
  <c r="E604" i="11" a="1"/>
  <c r="E604" i="11" s="1"/>
  <c r="E605" i="11" a="1"/>
  <c r="E605" i="11" s="1"/>
  <c r="E606" i="11" a="1"/>
  <c r="E606" i="11" s="1"/>
  <c r="H606" i="11" s="1"/>
  <c r="E607" i="11" a="1"/>
  <c r="E607" i="11" s="1"/>
  <c r="E608" i="11" a="1"/>
  <c r="E608" i="11" s="1"/>
  <c r="E609" i="11" a="1"/>
  <c r="E609" i="11" s="1"/>
  <c r="E610" i="11" a="1"/>
  <c r="E610" i="11" s="1"/>
  <c r="H610" i="11" s="1"/>
  <c r="E611" i="11" a="1"/>
  <c r="E611" i="11"/>
  <c r="E612" i="11" a="1"/>
  <c r="E612" i="11" s="1"/>
  <c r="E613" i="11" a="1"/>
  <c r="E613" i="11" s="1"/>
  <c r="E614" i="11" a="1"/>
  <c r="E614" i="11" s="1"/>
  <c r="E615" i="11" a="1"/>
  <c r="E615" i="11" s="1"/>
  <c r="H615" i="11" s="1"/>
  <c r="E616" i="11" a="1"/>
  <c r="E616" i="11" s="1"/>
  <c r="E617" i="11" a="1"/>
  <c r="E617" i="11" s="1"/>
  <c r="E618" i="11" a="1"/>
  <c r="E618" i="11" s="1"/>
  <c r="E619" i="11" a="1"/>
  <c r="E619" i="11" s="1"/>
  <c r="E620" i="11" a="1"/>
  <c r="E620" i="11" s="1"/>
  <c r="E621" i="11" a="1"/>
  <c r="E621" i="11" s="1"/>
  <c r="E622" i="11" a="1"/>
  <c r="E622" i="11" s="1"/>
  <c r="E623" i="11" a="1"/>
  <c r="E623" i="11"/>
  <c r="E624" i="11" a="1"/>
  <c r="E624" i="11" s="1"/>
  <c r="E625" i="11" a="1"/>
  <c r="E625" i="11" s="1"/>
  <c r="E626" i="11" a="1"/>
  <c r="E626" i="11" s="1"/>
  <c r="E627" i="11" a="1"/>
  <c r="E627" i="11" s="1"/>
  <c r="H627" i="11" s="1"/>
  <c r="E628" i="11" a="1"/>
  <c r="E628" i="11" s="1"/>
  <c r="H628" i="11" s="1"/>
  <c r="E629" i="11" a="1"/>
  <c r="E629" i="11" s="1"/>
  <c r="E630" i="11" a="1"/>
  <c r="E630" i="11" s="1"/>
  <c r="E631" i="11" a="1"/>
  <c r="E631" i="11" s="1"/>
  <c r="H631" i="11" s="1"/>
  <c r="E632" i="11" a="1"/>
  <c r="E632" i="11" s="1"/>
  <c r="E633" i="11" a="1"/>
  <c r="E633" i="11" s="1"/>
  <c r="E634" i="11" a="1"/>
  <c r="E634" i="11" s="1"/>
  <c r="E635" i="11" a="1"/>
  <c r="E635" i="11" s="1"/>
  <c r="E636" i="11" a="1"/>
  <c r="E636" i="11" s="1"/>
  <c r="H636" i="11" s="1"/>
  <c r="E637" i="11" a="1"/>
  <c r="E637" i="11" s="1"/>
  <c r="E638" i="11" a="1"/>
  <c r="E638" i="11" s="1"/>
  <c r="E639" i="11" a="1"/>
  <c r="E639" i="11"/>
  <c r="E640" i="11" a="1"/>
  <c r="E640" i="11" s="1"/>
  <c r="H640" i="11" s="1"/>
  <c r="E641" i="11" a="1"/>
  <c r="E641" i="11" s="1"/>
  <c r="E642" i="11" a="1"/>
  <c r="E642" i="11" s="1"/>
  <c r="E643" i="11" a="1"/>
  <c r="E643" i="11" s="1"/>
  <c r="E644" i="11" a="1"/>
  <c r="E644" i="11" s="1"/>
  <c r="H644" i="11" s="1"/>
  <c r="E645" i="11" a="1"/>
  <c r="E645" i="11" s="1"/>
  <c r="H645" i="11" s="1"/>
  <c r="E646" i="11" a="1"/>
  <c r="E646" i="11" s="1"/>
  <c r="H646" i="11" s="1"/>
  <c r="E647" i="11" a="1"/>
  <c r="E647" i="11" s="1"/>
  <c r="E648" i="11" a="1"/>
  <c r="E648" i="11" s="1"/>
  <c r="E649" i="11" a="1"/>
  <c r="E649" i="11" s="1"/>
  <c r="E650" i="11" a="1"/>
  <c r="E650" i="11" s="1"/>
  <c r="E651" i="11" a="1"/>
  <c r="E651" i="11" s="1"/>
  <c r="E652" i="11" a="1"/>
  <c r="E652" i="11" s="1"/>
  <c r="H652" i="11" s="1"/>
  <c r="E653" i="11" a="1"/>
  <c r="E653" i="11" s="1"/>
  <c r="H653" i="11" s="1"/>
  <c r="E654" i="11" a="1"/>
  <c r="E654" i="11" s="1"/>
  <c r="E655" i="11" a="1"/>
  <c r="E655" i="11" s="1"/>
  <c r="E656" i="11" a="1"/>
  <c r="E656" i="11" s="1"/>
  <c r="H656" i="11" s="1"/>
  <c r="E657" i="11" a="1"/>
  <c r="E657" i="11"/>
  <c r="E658" i="11" a="1"/>
  <c r="E658" i="11" s="1"/>
  <c r="H658" i="11" s="1"/>
  <c r="E659" i="11" a="1"/>
  <c r="E659" i="11" s="1"/>
  <c r="E660" i="11" a="1"/>
  <c r="E660" i="11" s="1"/>
  <c r="E661" i="11" a="1"/>
  <c r="E661" i="11" s="1"/>
  <c r="E662" i="11" a="1"/>
  <c r="E662" i="11" s="1"/>
  <c r="E663" i="11" a="1"/>
  <c r="E663" i="11" s="1"/>
  <c r="E664" i="11" a="1"/>
  <c r="E664" i="11" s="1"/>
  <c r="E665" i="11" a="1"/>
  <c r="E665" i="11" s="1"/>
  <c r="E666" i="11" a="1"/>
  <c r="E666" i="11" s="1"/>
  <c r="E667" i="11" a="1"/>
  <c r="E667" i="11" s="1"/>
  <c r="E668" i="11" a="1"/>
  <c r="E668" i="11" s="1"/>
  <c r="E669" i="11" a="1"/>
  <c r="E669" i="11" s="1"/>
  <c r="E670" i="11" a="1"/>
  <c r="E670" i="11" s="1"/>
  <c r="H670" i="11" s="1"/>
  <c r="E671" i="11" a="1"/>
  <c r="E671" i="11" s="1"/>
  <c r="E672" i="11" a="1"/>
  <c r="E672" i="11" s="1"/>
  <c r="E673" i="11" a="1"/>
  <c r="E673" i="11" s="1"/>
  <c r="E674" i="11" a="1"/>
  <c r="E674" i="11"/>
  <c r="E675" i="11" a="1"/>
  <c r="E675" i="11" s="1"/>
  <c r="E676" i="11" a="1"/>
  <c r="E676" i="11" s="1"/>
  <c r="E677" i="11" a="1"/>
  <c r="E677" i="11"/>
  <c r="E678" i="11" a="1"/>
  <c r="E678" i="11" s="1"/>
  <c r="H678" i="11" s="1"/>
  <c r="E679" i="11" a="1"/>
  <c r="E679" i="11" s="1"/>
  <c r="H679" i="11" s="1"/>
  <c r="E680" i="11" a="1"/>
  <c r="E680" i="11" s="1"/>
  <c r="E681" i="11" a="1"/>
  <c r="E681" i="11" s="1"/>
  <c r="E682" i="11" a="1"/>
  <c r="E682" i="11" s="1"/>
  <c r="H682" i="11" s="1"/>
  <c r="E683" i="11" a="1"/>
  <c r="E683" i="11"/>
  <c r="E684" i="11" a="1"/>
  <c r="E684" i="11" s="1"/>
  <c r="E685" i="11" a="1"/>
  <c r="E685" i="11" s="1"/>
  <c r="H685" i="11" s="1"/>
  <c r="E686" i="11" a="1"/>
  <c r="E686" i="11" s="1"/>
  <c r="H686" i="11" s="1"/>
  <c r="E687" i="11" a="1"/>
  <c r="E687" i="11"/>
  <c r="E688" i="11" a="1"/>
  <c r="E688" i="11" s="1"/>
  <c r="E689" i="11" a="1"/>
  <c r="E689" i="11" s="1"/>
  <c r="E690" i="11" a="1"/>
  <c r="E690" i="11" s="1"/>
  <c r="H690" i="11" s="1"/>
  <c r="E691" i="11" a="1"/>
  <c r="E691" i="11" s="1"/>
  <c r="E692" i="11" a="1"/>
  <c r="E692" i="11" s="1"/>
  <c r="E693" i="11" a="1"/>
  <c r="E693" i="11" s="1"/>
  <c r="E694" i="11" a="1"/>
  <c r="E694" i="11" s="1"/>
  <c r="H694" i="11" s="1"/>
  <c r="E695" i="11" a="1"/>
  <c r="E695" i="11" s="1"/>
  <c r="H695" i="11" s="1"/>
  <c r="E696" i="11" a="1"/>
  <c r="E696" i="11"/>
  <c r="H696" i="11" s="1"/>
  <c r="E697" i="11" a="1"/>
  <c r="E697" i="11" s="1"/>
  <c r="H697" i="11" s="1"/>
  <c r="E698" i="11" a="1"/>
  <c r="E698" i="11" s="1"/>
  <c r="E699" i="11" a="1"/>
  <c r="E699" i="11" s="1"/>
  <c r="H699" i="11" s="1"/>
  <c r="E700" i="11" a="1"/>
  <c r="E700" i="11"/>
  <c r="E701" i="11" a="1"/>
  <c r="E701" i="11" s="1"/>
  <c r="E702" i="11" a="1"/>
  <c r="E702" i="11" s="1"/>
  <c r="E703" i="11" a="1"/>
  <c r="E703" i="11" s="1"/>
  <c r="E704" i="11" a="1"/>
  <c r="E704" i="11" s="1"/>
  <c r="E705" i="11" a="1"/>
  <c r="E705" i="11" s="1"/>
  <c r="H705" i="11" s="1"/>
  <c r="E706" i="11" a="1"/>
  <c r="E706" i="11" s="1"/>
  <c r="H706" i="11" s="1"/>
  <c r="E707" i="11" a="1"/>
  <c r="E707" i="11" s="1"/>
  <c r="H707" i="11" s="1"/>
  <c r="E708" i="11" a="1"/>
  <c r="E708" i="11" s="1"/>
  <c r="H708" i="11" s="1"/>
  <c r="E709" i="11" a="1"/>
  <c r="E709" i="11" s="1"/>
  <c r="E710" i="11" a="1"/>
  <c r="E710" i="11" s="1"/>
  <c r="E711" i="11" a="1"/>
  <c r="E711" i="11" s="1"/>
  <c r="E712" i="11" a="1"/>
  <c r="E712" i="11"/>
  <c r="E713" i="11" a="1"/>
  <c r="E713" i="11" s="1"/>
  <c r="H713" i="11" s="1"/>
  <c r="E714" i="11" a="1"/>
  <c r="E714" i="11" s="1"/>
  <c r="E715" i="11" a="1"/>
  <c r="E715" i="11" s="1"/>
  <c r="H715" i="11" s="1"/>
  <c r="E716" i="11" a="1"/>
  <c r="E716" i="11" s="1"/>
  <c r="E717" i="11" a="1"/>
  <c r="E717" i="11" s="1"/>
  <c r="H717" i="11" s="1"/>
  <c r="E718" i="11" a="1"/>
  <c r="E718" i="11" s="1"/>
  <c r="E719" i="11" a="1"/>
  <c r="E719" i="11" s="1"/>
  <c r="E720" i="11" a="1"/>
  <c r="E720" i="11" s="1"/>
  <c r="E721" i="11" a="1"/>
  <c r="E721" i="11" s="1"/>
  <c r="H721" i="11" s="1"/>
  <c r="E722" i="11" a="1"/>
  <c r="E722" i="11" s="1"/>
  <c r="H722" i="11" s="1"/>
  <c r="E723" i="11" a="1"/>
  <c r="E723" i="11" s="1"/>
  <c r="E724" i="11" a="1"/>
  <c r="E724" i="11" s="1"/>
  <c r="H724" i="11" s="1"/>
  <c r="E725" i="11" a="1"/>
  <c r="E725" i="11" s="1"/>
  <c r="H725" i="11" s="1"/>
  <c r="E726" i="11" a="1"/>
  <c r="E726" i="11" s="1"/>
  <c r="E727" i="11" a="1"/>
  <c r="E727" i="11" s="1"/>
  <c r="E728" i="11" a="1"/>
  <c r="E728" i="11" s="1"/>
  <c r="H728" i="11" s="1"/>
  <c r="E729" i="11" a="1"/>
  <c r="E729" i="11" s="1"/>
  <c r="E730" i="11" a="1"/>
  <c r="E730" i="11" s="1"/>
  <c r="E731" i="11" a="1"/>
  <c r="E731" i="11" s="1"/>
  <c r="H731" i="11" s="1"/>
  <c r="E732" i="11" a="1"/>
  <c r="E732" i="11" s="1"/>
  <c r="E733" i="11" a="1"/>
  <c r="E733" i="11" s="1"/>
  <c r="E734" i="11" a="1"/>
  <c r="E734" i="11" s="1"/>
  <c r="H734" i="11" s="1"/>
  <c r="E735" i="11" a="1"/>
  <c r="E735" i="11" s="1"/>
  <c r="E736" i="11" a="1"/>
  <c r="E736" i="11" s="1"/>
  <c r="E737" i="11" a="1"/>
  <c r="E737" i="11" s="1"/>
  <c r="E738" i="11" a="1"/>
  <c r="E738" i="11" s="1"/>
  <c r="E739" i="11" a="1"/>
  <c r="E739" i="11" s="1"/>
  <c r="E740" i="11" a="1"/>
  <c r="E740" i="11" s="1"/>
  <c r="E741" i="11" a="1"/>
  <c r="E741" i="11" s="1"/>
  <c r="E742" i="11" a="1"/>
  <c r="E742" i="11" s="1"/>
  <c r="H742" i="11" s="1"/>
  <c r="E743" i="11" a="1"/>
  <c r="E743" i="11" s="1"/>
  <c r="H743" i="11" s="1"/>
  <c r="E744" i="11" a="1"/>
  <c r="E744" i="11" s="1"/>
  <c r="H744" i="11" s="1"/>
  <c r="E745" i="11" a="1"/>
  <c r="E745" i="11" s="1"/>
  <c r="H745" i="11" s="1"/>
  <c r="E746" i="11" a="1"/>
  <c r="E746" i="11" s="1"/>
  <c r="H746" i="11" s="1"/>
  <c r="E747" i="11" a="1"/>
  <c r="E747" i="11" s="1"/>
  <c r="E748" i="11" a="1"/>
  <c r="E748" i="11" s="1"/>
  <c r="E749" i="11" a="1"/>
  <c r="E749" i="11" s="1"/>
  <c r="E750" i="11" a="1"/>
  <c r="E750" i="11" s="1"/>
  <c r="E751" i="11" a="1"/>
  <c r="E751" i="11" s="1"/>
  <c r="E752" i="11" a="1"/>
  <c r="E752" i="11" s="1"/>
  <c r="E753" i="11" a="1"/>
  <c r="E753" i="11" s="1"/>
  <c r="E754" i="11" a="1"/>
  <c r="E754" i="11" s="1"/>
  <c r="H754" i="11" s="1"/>
  <c r="E755" i="11" a="1"/>
  <c r="E755" i="11" s="1"/>
  <c r="H755" i="11" s="1"/>
  <c r="E756" i="11" a="1"/>
  <c r="E756" i="11" s="1"/>
  <c r="E757" i="11" a="1"/>
  <c r="E757" i="11" s="1"/>
  <c r="H757" i="11" s="1"/>
  <c r="E758" i="11" a="1"/>
  <c r="E758" i="11" s="1"/>
  <c r="H758" i="11" s="1"/>
  <c r="E759" i="11" a="1"/>
  <c r="E759" i="11" s="1"/>
  <c r="H759" i="11" s="1"/>
  <c r="E760" i="11" a="1"/>
  <c r="E760" i="11" s="1"/>
  <c r="H760" i="11" s="1"/>
  <c r="E761" i="11" a="1"/>
  <c r="E761" i="11" s="1"/>
  <c r="E762" i="11" a="1"/>
  <c r="E762" i="11" s="1"/>
  <c r="H762" i="11" s="1"/>
  <c r="E763" i="11" a="1"/>
  <c r="E763" i="11" s="1"/>
  <c r="H763" i="11" s="1"/>
  <c r="E764" i="11" a="1"/>
  <c r="E764" i="11" s="1"/>
  <c r="E765" i="11" a="1"/>
  <c r="E765" i="11" s="1"/>
  <c r="E766" i="11" a="1"/>
  <c r="E766" i="11" s="1"/>
  <c r="H766" i="11" s="1"/>
  <c r="E767" i="11" a="1"/>
  <c r="E767" i="11" s="1"/>
  <c r="H767" i="11" s="1"/>
  <c r="E768" i="11" a="1"/>
  <c r="E768" i="11" s="1"/>
  <c r="H768" i="11" s="1"/>
  <c r="E769" i="11" a="1"/>
  <c r="E769" i="11" s="1"/>
  <c r="H769" i="11" s="1"/>
  <c r="E770" i="11" a="1"/>
  <c r="E770" i="11" s="1"/>
  <c r="E771" i="11" a="1"/>
  <c r="E771" i="11" s="1"/>
  <c r="H771" i="11" s="1"/>
  <c r="E772" i="11" a="1"/>
  <c r="E772" i="11" s="1"/>
  <c r="H772" i="11" s="1"/>
  <c r="E773" i="11" a="1"/>
  <c r="E773" i="11" s="1"/>
  <c r="E774" i="11" a="1"/>
  <c r="E774" i="11" s="1"/>
  <c r="E775" i="11" a="1"/>
  <c r="E775" i="11" s="1"/>
  <c r="E776" i="11" a="1"/>
  <c r="E776" i="11" s="1"/>
  <c r="E777" i="11" a="1"/>
  <c r="E777" i="11"/>
  <c r="E778" i="11" a="1"/>
  <c r="E778" i="11" s="1"/>
  <c r="H778" i="11" s="1"/>
  <c r="E779" i="11" a="1"/>
  <c r="E779" i="11" s="1"/>
  <c r="E780" i="11" a="1"/>
  <c r="E780" i="11"/>
  <c r="E781" i="11" a="1"/>
  <c r="E781" i="11" s="1"/>
  <c r="E782" i="11" a="1"/>
  <c r="E782" i="11" s="1"/>
  <c r="H782" i="11" s="1"/>
  <c r="E783" i="11" a="1"/>
  <c r="E783" i="11" s="1"/>
  <c r="E784" i="11" a="1"/>
  <c r="E784" i="11" s="1"/>
  <c r="E785" i="11" a="1"/>
  <c r="E785" i="11" s="1"/>
  <c r="H785" i="11" s="1"/>
  <c r="E786" i="11" a="1"/>
  <c r="E786" i="11" s="1"/>
  <c r="H786" i="11" s="1"/>
  <c r="E787" i="11" a="1"/>
  <c r="E787" i="11" s="1"/>
  <c r="E788" i="11" a="1"/>
  <c r="E788" i="11" s="1"/>
  <c r="H788" i="11" s="1"/>
  <c r="E789" i="11" a="1"/>
  <c r="E789" i="11" s="1"/>
  <c r="H789" i="11" s="1"/>
  <c r="E790" i="11" a="1"/>
  <c r="E790" i="11" s="1"/>
  <c r="H790" i="11" s="1"/>
  <c r="E791" i="11" a="1"/>
  <c r="E791" i="11" s="1"/>
  <c r="H791" i="11" s="1"/>
  <c r="E792" i="11" a="1"/>
  <c r="E792" i="11" s="1"/>
  <c r="E793" i="11" a="1"/>
  <c r="E793" i="11" s="1"/>
  <c r="H793" i="11" s="1"/>
  <c r="E794" i="11" a="1"/>
  <c r="E794" i="11" s="1"/>
  <c r="E795" i="11" a="1"/>
  <c r="E795" i="11" s="1"/>
  <c r="E796" i="11" a="1"/>
  <c r="E796" i="11" s="1"/>
  <c r="E797" i="11" a="1"/>
  <c r="E797" i="11" s="1"/>
  <c r="E798" i="11" a="1"/>
  <c r="E798" i="11"/>
  <c r="H798" i="11" s="1"/>
  <c r="E799" i="11" a="1"/>
  <c r="E799" i="11" s="1"/>
  <c r="E800" i="11" a="1"/>
  <c r="E800" i="11"/>
  <c r="H800" i="11" s="1"/>
  <c r="E801" i="11" a="1"/>
  <c r="E801" i="11" s="1"/>
  <c r="H801" i="11" s="1"/>
  <c r="E802" i="11" a="1"/>
  <c r="E802" i="11" s="1"/>
  <c r="H802" i="11" s="1"/>
  <c r="E803" i="11" a="1"/>
  <c r="E803" i="11" s="1"/>
  <c r="E804" i="11" a="1"/>
  <c r="E804" i="11" s="1"/>
  <c r="E805" i="11" a="1"/>
  <c r="E805" i="11" s="1"/>
  <c r="E806" i="11" a="1"/>
  <c r="E806" i="11" s="1"/>
  <c r="E807" i="11" a="1"/>
  <c r="E807" i="11" s="1"/>
  <c r="E808" i="11" a="1"/>
  <c r="E808" i="11" s="1"/>
  <c r="H808" i="11" s="1"/>
  <c r="E809" i="11" a="1"/>
  <c r="E809" i="11" s="1"/>
  <c r="E810" i="11" a="1"/>
  <c r="E810" i="11" s="1"/>
  <c r="E811" i="11" a="1"/>
  <c r="E811" i="11" s="1"/>
  <c r="H811" i="11" s="1"/>
  <c r="E812" i="11" a="1"/>
  <c r="E812" i="11" s="1"/>
  <c r="H812" i="11" s="1"/>
  <c r="E813" i="11" a="1"/>
  <c r="E813" i="11" s="1"/>
  <c r="E814" i="11" a="1"/>
  <c r="E814" i="11" s="1"/>
  <c r="E815" i="11" a="1"/>
  <c r="E815" i="11" s="1"/>
  <c r="E816" i="11" a="1"/>
  <c r="E816" i="11" s="1"/>
  <c r="H816" i="11" s="1"/>
  <c r="E817" i="11" a="1"/>
  <c r="E817" i="11" s="1"/>
  <c r="E818" i="11" a="1"/>
  <c r="E818" i="11" s="1"/>
  <c r="E819" i="11" a="1"/>
  <c r="E819" i="11" s="1"/>
  <c r="E820" i="11" a="1"/>
  <c r="E820" i="11" s="1"/>
  <c r="E821" i="11" a="1"/>
  <c r="E821" i="11" s="1"/>
  <c r="E822" i="11" a="1"/>
  <c r="E822" i="11" s="1"/>
  <c r="E823" i="11" a="1"/>
  <c r="E823" i="11" s="1"/>
  <c r="E824" i="11" a="1"/>
  <c r="E824" i="11" s="1"/>
  <c r="E825" i="11" a="1"/>
  <c r="E825" i="11" s="1"/>
  <c r="E826" i="11" a="1"/>
  <c r="E826" i="11" s="1"/>
  <c r="H826" i="11" s="1"/>
  <c r="E827" i="11" a="1"/>
  <c r="E827" i="11" s="1"/>
  <c r="H827" i="11" s="1"/>
  <c r="E828" i="11" a="1"/>
  <c r="E828" i="11" s="1"/>
  <c r="E829" i="11" a="1"/>
  <c r="E829" i="11" s="1"/>
  <c r="E830" i="11" a="1"/>
  <c r="E830" i="11" s="1"/>
  <c r="E831" i="11" a="1"/>
  <c r="E831" i="11" s="1"/>
  <c r="H831" i="11" s="1"/>
  <c r="E832" i="11" a="1"/>
  <c r="E832" i="11" s="1"/>
  <c r="E833" i="11" a="1"/>
  <c r="E833" i="11" s="1"/>
  <c r="E834" i="11" a="1"/>
  <c r="E834" i="11" s="1"/>
  <c r="E835" i="11" a="1"/>
  <c r="E835" i="11" s="1"/>
  <c r="E836" i="11" a="1"/>
  <c r="E836" i="11"/>
  <c r="E837" i="11" a="1"/>
  <c r="E837" i="11" s="1"/>
  <c r="E838" i="11" a="1"/>
  <c r="E838" i="11" s="1"/>
  <c r="H838" i="11" s="1"/>
  <c r="E839" i="11" a="1"/>
  <c r="E839" i="11" s="1"/>
  <c r="H839" i="11" s="1"/>
  <c r="E840" i="11" a="1"/>
  <c r="E840" i="11"/>
  <c r="H840" i="11" s="1"/>
  <c r="E841" i="11" a="1"/>
  <c r="E841" i="11" s="1"/>
  <c r="H841" i="11" s="1"/>
  <c r="E842" i="11" a="1"/>
  <c r="E842" i="11" s="1"/>
  <c r="E843" i="11" a="1"/>
  <c r="E843" i="11" s="1"/>
  <c r="H843" i="11" s="1"/>
  <c r="E844" i="11" a="1"/>
  <c r="E844" i="11" s="1"/>
  <c r="E845" i="11" a="1"/>
  <c r="E845" i="11" s="1"/>
  <c r="E846" i="11" a="1"/>
  <c r="E846" i="11" s="1"/>
  <c r="E847" i="11" a="1"/>
  <c r="E847" i="11" s="1"/>
  <c r="E848" i="11" a="1"/>
  <c r="E848" i="11" s="1"/>
  <c r="E849" i="11" a="1"/>
  <c r="E849" i="11" s="1"/>
  <c r="H849" i="11" s="1"/>
  <c r="E850" i="11" a="1"/>
  <c r="E850" i="11" s="1"/>
  <c r="H850" i="11" s="1"/>
  <c r="E851" i="11" a="1"/>
  <c r="E851" i="11" s="1"/>
  <c r="H851" i="11" s="1"/>
  <c r="E852" i="11" a="1"/>
  <c r="E852" i="11" s="1"/>
  <c r="H852" i="11" s="1"/>
  <c r="E853" i="11" a="1"/>
  <c r="E853" i="11" s="1"/>
  <c r="E854" i="11" a="1"/>
  <c r="E854" i="11" s="1"/>
  <c r="E855" i="11" a="1"/>
  <c r="E855" i="11" s="1"/>
  <c r="E856" i="11" a="1"/>
  <c r="E856" i="11" s="1"/>
  <c r="E857" i="11" a="1"/>
  <c r="E857" i="11" s="1"/>
  <c r="E858" i="11" a="1"/>
  <c r="E858" i="11" s="1"/>
  <c r="E859" i="11" a="1"/>
  <c r="E859" i="11" s="1"/>
  <c r="H859" i="11" s="1"/>
  <c r="E860" i="11" a="1"/>
  <c r="E860" i="11" s="1"/>
  <c r="H860" i="11" s="1"/>
  <c r="E861" i="11" a="1"/>
  <c r="E861" i="11" s="1"/>
  <c r="H861" i="11" s="1"/>
  <c r="E862" i="11" a="1"/>
  <c r="E862" i="11" s="1"/>
  <c r="H862" i="11" s="1"/>
  <c r="E863" i="11" a="1"/>
  <c r="E863" i="11"/>
  <c r="H863" i="11" s="1"/>
  <c r="E864" i="11" a="1"/>
  <c r="E864" i="11" s="1"/>
  <c r="E865" i="11" a="1"/>
  <c r="E865" i="11" s="1"/>
  <c r="H865" i="11" s="1"/>
  <c r="E866" i="11" a="1"/>
  <c r="E866" i="11" s="1"/>
  <c r="E867" i="11" a="1"/>
  <c r="E867" i="11" s="1"/>
  <c r="H867" i="11" s="1"/>
  <c r="E868" i="11" a="1"/>
  <c r="E868" i="11" s="1"/>
  <c r="E869" i="11" a="1"/>
  <c r="E869" i="11" s="1"/>
  <c r="E870" i="11" a="1"/>
  <c r="E870" i="11" s="1"/>
  <c r="E871" i="11" a="1"/>
  <c r="E871" i="11" s="1"/>
  <c r="E872" i="11" a="1"/>
  <c r="E872" i="11" s="1"/>
  <c r="H872" i="11" s="1"/>
  <c r="E873" i="11" a="1"/>
  <c r="E873" i="11" s="1"/>
  <c r="H873" i="11" s="1"/>
  <c r="F7" i="11" a="1"/>
  <c r="F7" i="11" s="1"/>
  <c r="I7" i="11" s="1"/>
  <c r="F8" i="11" a="1"/>
  <c r="F8" i="11" s="1"/>
  <c r="F9" i="11" a="1"/>
  <c r="F9" i="11" s="1"/>
  <c r="I9" i="11" s="1"/>
  <c r="F10" i="11" a="1"/>
  <c r="F10" i="11" s="1"/>
  <c r="I10" i="11" s="1"/>
  <c r="F11" i="11" a="1"/>
  <c r="F11" i="11" s="1"/>
  <c r="F12" i="11" a="1"/>
  <c r="F12" i="11" s="1"/>
  <c r="F13" i="11" a="1"/>
  <c r="F13" i="11" s="1"/>
  <c r="F14" i="11" a="1"/>
  <c r="F14" i="11" s="1"/>
  <c r="F15" i="11" a="1"/>
  <c r="F15" i="11" s="1"/>
  <c r="I15" i="11" s="1"/>
  <c r="F16" i="11" a="1"/>
  <c r="F16" i="11" s="1"/>
  <c r="F17" i="11" a="1"/>
  <c r="F17" i="11" s="1"/>
  <c r="I17" i="11" s="1"/>
  <c r="F18" i="11" a="1"/>
  <c r="F18" i="11" s="1"/>
  <c r="I18" i="11" s="1"/>
  <c r="F19" i="11" a="1"/>
  <c r="F19" i="11" s="1"/>
  <c r="I19" i="11" s="1"/>
  <c r="F20" i="11" a="1"/>
  <c r="F20" i="11" s="1"/>
  <c r="F21" i="11" a="1"/>
  <c r="F21" i="11" s="1"/>
  <c r="I21" i="11" s="1"/>
  <c r="F22" i="11" a="1"/>
  <c r="F22" i="11" s="1"/>
  <c r="F23" i="11" a="1"/>
  <c r="F23" i="11"/>
  <c r="F24" i="11" a="1"/>
  <c r="F24" i="11" s="1"/>
  <c r="F25" i="11" a="1"/>
  <c r="F25" i="11" s="1"/>
  <c r="I25" i="11" s="1"/>
  <c r="F26" i="11" a="1"/>
  <c r="F26" i="11" s="1"/>
  <c r="I26" i="11" s="1"/>
  <c r="F27" i="11" a="1"/>
  <c r="F27" i="11" s="1"/>
  <c r="F28" i="11" a="1"/>
  <c r="F28" i="11" s="1"/>
  <c r="I28" i="11" s="1"/>
  <c r="F29" i="11" a="1"/>
  <c r="F29" i="11" s="1"/>
  <c r="F30" i="11" a="1"/>
  <c r="F30" i="11" s="1"/>
  <c r="I30" i="11" s="1"/>
  <c r="F31" i="11" a="1"/>
  <c r="F31" i="11" s="1"/>
  <c r="F32" i="11" a="1"/>
  <c r="F32" i="11" s="1"/>
  <c r="F33" i="11" a="1"/>
  <c r="F33" i="11" s="1"/>
  <c r="F34" i="11" a="1"/>
  <c r="F34" i="11" s="1"/>
  <c r="F35" i="11" a="1"/>
  <c r="F35" i="11" s="1"/>
  <c r="F36" i="11" a="1"/>
  <c r="F36" i="11" s="1"/>
  <c r="F37" i="11" a="1"/>
  <c r="F37" i="11" s="1"/>
  <c r="I37" i="11" s="1"/>
  <c r="F38" i="11" a="1"/>
  <c r="F38" i="11" s="1"/>
  <c r="I38" i="11" s="1"/>
  <c r="F39" i="11" a="1"/>
  <c r="F39" i="11" s="1"/>
  <c r="I39" i="11" s="1"/>
  <c r="F40" i="11" a="1"/>
  <c r="F40" i="11" s="1"/>
  <c r="F41" i="11" a="1"/>
  <c r="F41" i="11" s="1"/>
  <c r="F42" i="11" a="1"/>
  <c r="F42" i="11" s="1"/>
  <c r="F43" i="11" a="1"/>
  <c r="F43" i="11" s="1"/>
  <c r="I43" i="11" s="1"/>
  <c r="F44" i="11" a="1"/>
  <c r="F44" i="11" s="1"/>
  <c r="F45" i="11" a="1"/>
  <c r="F45" i="11" s="1"/>
  <c r="F46" i="11" a="1"/>
  <c r="F46" i="11"/>
  <c r="F47" i="11" a="1"/>
  <c r="F47" i="11" s="1"/>
  <c r="F48" i="11" a="1"/>
  <c r="F48" i="11" s="1"/>
  <c r="F49" i="11" a="1"/>
  <c r="F49" i="11" s="1"/>
  <c r="I49" i="11" s="1"/>
  <c r="F50" i="11" a="1"/>
  <c r="F50" i="11" s="1"/>
  <c r="I50" i="11" s="1"/>
  <c r="F51" i="11" a="1"/>
  <c r="F51" i="11" s="1"/>
  <c r="F52" i="11" a="1"/>
  <c r="F52" i="11" s="1"/>
  <c r="I52" i="11" s="1"/>
  <c r="F53" i="11" a="1"/>
  <c r="F53" i="11" s="1"/>
  <c r="F54" i="11" a="1"/>
  <c r="F54" i="11" s="1"/>
  <c r="I54" i="11" s="1"/>
  <c r="F55" i="11" a="1"/>
  <c r="F55" i="11" s="1"/>
  <c r="I55" i="11" s="1"/>
  <c r="F56" i="11" a="1"/>
  <c r="F56" i="11" s="1"/>
  <c r="I56" i="11" s="1"/>
  <c r="F57" i="11" a="1"/>
  <c r="F57" i="11" s="1"/>
  <c r="I57" i="11" s="1"/>
  <c r="F58" i="11" a="1"/>
  <c r="F58" i="11" s="1"/>
  <c r="I58" i="11" s="1"/>
  <c r="F59" i="11" a="1"/>
  <c r="F59" i="11" s="1"/>
  <c r="I59" i="11" s="1"/>
  <c r="F60" i="11" a="1"/>
  <c r="F60" i="11" s="1"/>
  <c r="I60" i="11" s="1"/>
  <c r="F61" i="11" a="1"/>
  <c r="F61" i="11" s="1"/>
  <c r="F62" i="11" a="1"/>
  <c r="F62" i="11" s="1"/>
  <c r="F63" i="11" a="1"/>
  <c r="F63" i="11"/>
  <c r="F64" i="11" a="1"/>
  <c r="F64" i="11" s="1"/>
  <c r="I64" i="11" s="1"/>
  <c r="F65" i="11" a="1"/>
  <c r="F65" i="11" s="1"/>
  <c r="I65" i="11" s="1"/>
  <c r="F66" i="11" a="1"/>
  <c r="F66" i="11" s="1"/>
  <c r="F67" i="11" a="1"/>
  <c r="F67" i="11" s="1"/>
  <c r="I67" i="11" s="1"/>
  <c r="F68" i="11" a="1"/>
  <c r="F68" i="11" s="1"/>
  <c r="F69" i="11" a="1"/>
  <c r="F69" i="11" s="1"/>
  <c r="I69" i="11" s="1"/>
  <c r="F70" i="11" a="1"/>
  <c r="F70" i="11" s="1"/>
  <c r="I70" i="11" s="1"/>
  <c r="F71" i="11" a="1"/>
  <c r="F71" i="11" s="1"/>
  <c r="I71" i="11" s="1"/>
  <c r="F72" i="11" a="1"/>
  <c r="F72" i="11" s="1"/>
  <c r="F73" i="11" a="1"/>
  <c r="F73" i="11" s="1"/>
  <c r="F74" i="11" a="1"/>
  <c r="F74" i="11" s="1"/>
  <c r="F75" i="11" a="1"/>
  <c r="F75" i="11" s="1"/>
  <c r="F76" i="11" a="1"/>
  <c r="F76" i="11" s="1"/>
  <c r="I76" i="11" s="1"/>
  <c r="F77" i="11" a="1"/>
  <c r="F77" i="11" s="1"/>
  <c r="I77" i="11" s="1"/>
  <c r="F78" i="11" a="1"/>
  <c r="F78" i="11" s="1"/>
  <c r="F79" i="11" a="1"/>
  <c r="F79" i="11" s="1"/>
  <c r="F80" i="11" a="1"/>
  <c r="F80" i="11" s="1"/>
  <c r="F81" i="11" a="1"/>
  <c r="F81" i="11" s="1"/>
  <c r="I81" i="11" s="1"/>
  <c r="F82" i="11" a="1"/>
  <c r="F82" i="11" s="1"/>
  <c r="I82" i="11" s="1"/>
  <c r="F83" i="11" a="1"/>
  <c r="F83" i="11" s="1"/>
  <c r="F84" i="11" a="1"/>
  <c r="F84" i="11" s="1"/>
  <c r="I84" i="11" s="1"/>
  <c r="F85" i="11" a="1"/>
  <c r="F85" i="11" s="1"/>
  <c r="F86" i="11" a="1"/>
  <c r="F86" i="11" s="1"/>
  <c r="I86" i="11" s="1"/>
  <c r="F87" i="11" a="1"/>
  <c r="F87" i="11" s="1"/>
  <c r="F88" i="11" a="1"/>
  <c r="F88" i="11" s="1"/>
  <c r="I88" i="11" s="1"/>
  <c r="F89" i="11" a="1"/>
  <c r="F89" i="11" s="1"/>
  <c r="I89" i="11" s="1"/>
  <c r="F90" i="11" a="1"/>
  <c r="F90" i="11" s="1"/>
  <c r="F91" i="11" a="1"/>
  <c r="F91" i="11"/>
  <c r="I91" i="11" s="1"/>
  <c r="F92" i="11" a="1"/>
  <c r="F92" i="11" s="1"/>
  <c r="F93" i="11" a="1"/>
  <c r="F93" i="11" s="1"/>
  <c r="I93" i="11" s="1"/>
  <c r="F94" i="11" a="1"/>
  <c r="F94" i="11" s="1"/>
  <c r="I94" i="11" s="1"/>
  <c r="F95" i="11" a="1"/>
  <c r="F95" i="11" s="1"/>
  <c r="F96" i="11" a="1"/>
  <c r="F96" i="11" s="1"/>
  <c r="I96" i="11" s="1"/>
  <c r="F97" i="11" a="1"/>
  <c r="F97" i="11" s="1"/>
  <c r="F98" i="11" a="1"/>
  <c r="F98" i="11" s="1"/>
  <c r="F99" i="11" a="1"/>
  <c r="F99" i="11" s="1"/>
  <c r="F100" i="11" a="1"/>
  <c r="F100" i="11" s="1"/>
  <c r="I100" i="11" s="1"/>
  <c r="F101" i="11" a="1"/>
  <c r="F101" i="11" s="1"/>
  <c r="I101" i="11" s="1"/>
  <c r="F102" i="11" a="1"/>
  <c r="F102" i="11" s="1"/>
  <c r="I102" i="11" s="1"/>
  <c r="F103" i="11" a="1"/>
  <c r="F103" i="11" s="1"/>
  <c r="F104" i="11" a="1"/>
  <c r="F104" i="11" s="1"/>
  <c r="F105" i="11" a="1"/>
  <c r="F105" i="11" s="1"/>
  <c r="I105" i="11" s="1"/>
  <c r="F106" i="11" a="1"/>
  <c r="F106" i="11" s="1"/>
  <c r="F107" i="11" a="1"/>
  <c r="F107" i="11" s="1"/>
  <c r="F108" i="11" a="1"/>
  <c r="F108" i="11" s="1"/>
  <c r="I108" i="11" s="1"/>
  <c r="F109" i="11" a="1"/>
  <c r="F109" i="11" s="1"/>
  <c r="F110" i="11" a="1"/>
  <c r="F110" i="11" s="1"/>
  <c r="F111" i="11" a="1"/>
  <c r="F111" i="11" s="1"/>
  <c r="F112" i="11" a="1"/>
  <c r="F112" i="11" s="1"/>
  <c r="I112" i="11" s="1"/>
  <c r="F113" i="11" a="1"/>
  <c r="F113" i="11" s="1"/>
  <c r="F114" i="11" a="1"/>
  <c r="F114" i="11" s="1"/>
  <c r="F115" i="11" a="1"/>
  <c r="F115" i="11" s="1"/>
  <c r="I115" i="11" s="1"/>
  <c r="F116" i="11" a="1"/>
  <c r="F116" i="11" s="1"/>
  <c r="F117" i="11" a="1"/>
  <c r="F117" i="11" s="1"/>
  <c r="F118" i="11" a="1"/>
  <c r="F118" i="11" s="1"/>
  <c r="I118" i="11" s="1"/>
  <c r="F119" i="11" a="1"/>
  <c r="F119" i="11" s="1"/>
  <c r="F120" i="11" a="1"/>
  <c r="F120" i="11" s="1"/>
  <c r="I120" i="11" s="1"/>
  <c r="F121" i="11" a="1"/>
  <c r="F121" i="11" s="1"/>
  <c r="I121" i="11" s="1"/>
  <c r="F122" i="11" a="1"/>
  <c r="F122" i="11" s="1"/>
  <c r="F123" i="11" a="1"/>
  <c r="F123" i="11" s="1"/>
  <c r="I123" i="11" s="1"/>
  <c r="F124" i="11" a="1"/>
  <c r="F124" i="11" s="1"/>
  <c r="I124" i="11" s="1"/>
  <c r="F125" i="11" a="1"/>
  <c r="F125" i="11" s="1"/>
  <c r="I125" i="11" s="1"/>
  <c r="F126" i="11" a="1"/>
  <c r="F126" i="11" s="1"/>
  <c r="I126" i="11" s="1"/>
  <c r="F127" i="11" a="1"/>
  <c r="F127" i="11" s="1"/>
  <c r="I127" i="11" s="1"/>
  <c r="F128" i="11" a="1"/>
  <c r="F128" i="11" s="1"/>
  <c r="F129" i="11" a="1"/>
  <c r="F129" i="11" s="1"/>
  <c r="I129" i="11" s="1"/>
  <c r="F130" i="11" a="1"/>
  <c r="F130" i="11" s="1"/>
  <c r="F131" i="11" a="1"/>
  <c r="F131" i="11" s="1"/>
  <c r="I131" i="11" s="1"/>
  <c r="F132" i="11" a="1"/>
  <c r="F132" i="11" s="1"/>
  <c r="F133" i="11" a="1"/>
  <c r="F133" i="11" s="1"/>
  <c r="I133" i="11" s="1"/>
  <c r="F134" i="11" a="1"/>
  <c r="F134" i="11" s="1"/>
  <c r="I134" i="11" s="1"/>
  <c r="F135" i="11" a="1"/>
  <c r="F135" i="11" s="1"/>
  <c r="I135" i="11" s="1"/>
  <c r="F136" i="11" a="1"/>
  <c r="F136" i="11" s="1"/>
  <c r="I136" i="11" s="1"/>
  <c r="F137" i="11" a="1"/>
  <c r="F137" i="11" s="1"/>
  <c r="F138" i="11" a="1"/>
  <c r="F138" i="11" s="1"/>
  <c r="F139" i="11" a="1"/>
  <c r="F139" i="11" s="1"/>
  <c r="I139" i="11" s="1"/>
  <c r="F140" i="11" a="1"/>
  <c r="F140" i="11" s="1"/>
  <c r="F141" i="11" a="1"/>
  <c r="F141" i="11" s="1"/>
  <c r="I141" i="11" s="1"/>
  <c r="F142" i="11" a="1"/>
  <c r="F142" i="11" s="1"/>
  <c r="F143" i="11" a="1"/>
  <c r="F143" i="11" s="1"/>
  <c r="F144" i="11" a="1"/>
  <c r="F144" i="11" s="1"/>
  <c r="F145" i="11" a="1"/>
  <c r="F145" i="11" s="1"/>
  <c r="I145" i="11" s="1"/>
  <c r="F146" i="11" a="1"/>
  <c r="F146" i="11" s="1"/>
  <c r="F147" i="11" a="1"/>
  <c r="F147" i="11" s="1"/>
  <c r="F148" i="11" a="1"/>
  <c r="F148" i="11" s="1"/>
  <c r="I148" i="11" s="1"/>
  <c r="F149" i="11" a="1"/>
  <c r="F149" i="11" s="1"/>
  <c r="I149" i="11" s="1"/>
  <c r="F150" i="11" a="1"/>
  <c r="F150" i="11" s="1"/>
  <c r="I150" i="11" s="1"/>
  <c r="F151" i="11" a="1"/>
  <c r="F151" i="11" s="1"/>
  <c r="I151" i="11" s="1"/>
  <c r="F152" i="11" a="1"/>
  <c r="F152" i="11" s="1"/>
  <c r="F153" i="11" a="1"/>
  <c r="F153" i="11" s="1"/>
  <c r="I153" i="11" s="1"/>
  <c r="F154" i="11" a="1"/>
  <c r="F154" i="11" s="1"/>
  <c r="I154" i="11" s="1"/>
  <c r="F155" i="11" a="1"/>
  <c r="F155" i="11" s="1"/>
  <c r="F156" i="11" a="1"/>
  <c r="F156" i="11" s="1"/>
  <c r="I156" i="11" s="1"/>
  <c r="F157" i="11" a="1"/>
  <c r="F157" i="11" s="1"/>
  <c r="F158" i="11" a="1"/>
  <c r="F158" i="11" s="1"/>
  <c r="I158" i="11" s="1"/>
  <c r="F159" i="11" a="1"/>
  <c r="F159" i="11" s="1"/>
  <c r="I159" i="11" s="1"/>
  <c r="F160" i="11" a="1"/>
  <c r="F160" i="11" s="1"/>
  <c r="F161" i="11" a="1"/>
  <c r="F161" i="11" s="1"/>
  <c r="F162" i="11" a="1"/>
  <c r="F162" i="11" s="1"/>
  <c r="F163" i="11" a="1"/>
  <c r="F163" i="11" s="1"/>
  <c r="F164" i="11" a="1"/>
  <c r="F164" i="11" s="1"/>
  <c r="I164" i="11" s="1"/>
  <c r="F165" i="11" a="1"/>
  <c r="F165" i="11" s="1"/>
  <c r="I165" i="11" s="1"/>
  <c r="F166" i="11" a="1"/>
  <c r="F166" i="11" s="1"/>
  <c r="F167" i="11" a="1"/>
  <c r="F167" i="11"/>
  <c r="I167" i="11" s="1"/>
  <c r="F168" i="11" a="1"/>
  <c r="F168" i="11" s="1"/>
  <c r="F169" i="11" a="1"/>
  <c r="F169" i="11" s="1"/>
  <c r="I169" i="11" s="1"/>
  <c r="F170" i="11" a="1"/>
  <c r="F170" i="11" s="1"/>
  <c r="F171" i="11" a="1"/>
  <c r="F171" i="11" s="1"/>
  <c r="I171" i="11" s="1"/>
  <c r="F172" i="11" a="1"/>
  <c r="F172" i="11" s="1"/>
  <c r="F173" i="11" a="1"/>
  <c r="F173" i="11" s="1"/>
  <c r="F174" i="11" a="1"/>
  <c r="F174" i="11" s="1"/>
  <c r="I174" i="11" s="1"/>
  <c r="F175" i="11" a="1"/>
  <c r="F175" i="11" s="1"/>
  <c r="I175" i="11" s="1"/>
  <c r="F176" i="11" a="1"/>
  <c r="F176" i="11" s="1"/>
  <c r="F177" i="11" a="1"/>
  <c r="F177" i="11" s="1"/>
  <c r="I177" i="11" s="1"/>
  <c r="F178" i="11" a="1"/>
  <c r="F178" i="11" s="1"/>
  <c r="I178" i="11" s="1"/>
  <c r="F179" i="11" a="1"/>
  <c r="F179" i="11" s="1"/>
  <c r="F180" i="11" a="1"/>
  <c r="F180" i="11" s="1"/>
  <c r="I180" i="11" s="1"/>
  <c r="F181" i="11" a="1"/>
  <c r="F181" i="11" s="1"/>
  <c r="I181" i="11" s="1"/>
  <c r="F182" i="11" a="1"/>
  <c r="F182" i="11" s="1"/>
  <c r="I182" i="11" s="1"/>
  <c r="F183" i="11" a="1"/>
  <c r="F183" i="11" s="1"/>
  <c r="I183" i="11" s="1"/>
  <c r="F184" i="11" a="1"/>
  <c r="F184" i="11" s="1"/>
  <c r="F185" i="11" a="1"/>
  <c r="F185" i="11" s="1"/>
  <c r="I185" i="11" s="1"/>
  <c r="F186" i="11" a="1"/>
  <c r="F186" i="11" s="1"/>
  <c r="F187" i="11" a="1"/>
  <c r="F187" i="11" s="1"/>
  <c r="F188" i="11" a="1"/>
  <c r="F188" i="11" s="1"/>
  <c r="F189" i="11" a="1"/>
  <c r="F189" i="11" s="1"/>
  <c r="F190" i="11" a="1"/>
  <c r="F190" i="11" s="1"/>
  <c r="I190" i="11" s="1"/>
  <c r="F191" i="11" a="1"/>
  <c r="F191" i="11" s="1"/>
  <c r="F192" i="11" a="1"/>
  <c r="F192" i="11" s="1"/>
  <c r="I192" i="11" s="1"/>
  <c r="F193" i="11" a="1"/>
  <c r="F193" i="11" s="1"/>
  <c r="I193" i="11" s="1"/>
  <c r="F194" i="11" a="1"/>
  <c r="F194" i="11" s="1"/>
  <c r="I194" i="11" s="1"/>
  <c r="F195" i="11" a="1"/>
  <c r="F195" i="11" s="1"/>
  <c r="I195" i="11" s="1"/>
  <c r="F196" i="11" a="1"/>
  <c r="F196" i="11" s="1"/>
  <c r="I196" i="11" s="1"/>
  <c r="F197" i="11" a="1"/>
  <c r="F197" i="11" s="1"/>
  <c r="I197" i="11" s="1"/>
  <c r="F198" i="11" a="1"/>
  <c r="F198" i="11" s="1"/>
  <c r="I198" i="11" s="1"/>
  <c r="F199" i="11" a="1"/>
  <c r="F199" i="11" s="1"/>
  <c r="F200" i="11" a="1"/>
  <c r="F200" i="11" s="1"/>
  <c r="F201" i="11" a="1"/>
  <c r="F201" i="11" s="1"/>
  <c r="I201" i="11" s="1"/>
  <c r="F202" i="11" a="1"/>
  <c r="F202" i="11" s="1"/>
  <c r="F203" i="11" a="1"/>
  <c r="F203" i="11" s="1"/>
  <c r="I203" i="11" s="1"/>
  <c r="F204" i="11" a="1"/>
  <c r="F204" i="11" s="1"/>
  <c r="F205" i="11" a="1"/>
  <c r="F205" i="11" s="1"/>
  <c r="F206" i="11" a="1"/>
  <c r="F206" i="11" s="1"/>
  <c r="F207" i="11" a="1"/>
  <c r="F207" i="11" s="1"/>
  <c r="I207" i="11" s="1"/>
  <c r="F208" i="11" a="1"/>
  <c r="F208" i="11" s="1"/>
  <c r="I208" i="11" s="1"/>
  <c r="F209" i="11" a="1"/>
  <c r="F209" i="11" s="1"/>
  <c r="I209" i="11" s="1"/>
  <c r="F210" i="11" a="1"/>
  <c r="F210" i="11" s="1"/>
  <c r="F211" i="11" a="1"/>
  <c r="F211" i="11" s="1"/>
  <c r="I211" i="11" s="1"/>
  <c r="F212" i="11" a="1"/>
  <c r="F212" i="11" s="1"/>
  <c r="F213" i="11" a="1"/>
  <c r="F213" i="11" s="1"/>
  <c r="I213" i="11" s="1"/>
  <c r="F214" i="11" a="1"/>
  <c r="F214" i="11" s="1"/>
  <c r="F215" i="11" a="1"/>
  <c r="F215" i="11" s="1"/>
  <c r="I215" i="11" s="1"/>
  <c r="F216" i="11" a="1"/>
  <c r="F216" i="11" s="1"/>
  <c r="I216" i="11" s="1"/>
  <c r="F217" i="11" a="1"/>
  <c r="F217" i="11" s="1"/>
  <c r="I217" i="11" s="1"/>
  <c r="F218" i="11" a="1"/>
  <c r="F218" i="11" s="1"/>
  <c r="I218" i="11" s="1"/>
  <c r="F219" i="11" a="1"/>
  <c r="F219" i="11" s="1"/>
  <c r="F220" i="11" a="1"/>
  <c r="F220" i="11" s="1"/>
  <c r="I220" i="11" s="1"/>
  <c r="F221" i="11" a="1"/>
  <c r="F221" i="11" s="1"/>
  <c r="I221" i="11" s="1"/>
  <c r="F222" i="11" a="1"/>
  <c r="F222" i="11" s="1"/>
  <c r="I222" i="11" s="1"/>
  <c r="F223" i="11" a="1"/>
  <c r="F223" i="11" s="1"/>
  <c r="F224" i="11" a="1"/>
  <c r="F224" i="11" s="1"/>
  <c r="F225" i="11" a="1"/>
  <c r="F225" i="11" s="1"/>
  <c r="I225" i="11" s="1"/>
  <c r="F226" i="11" a="1"/>
  <c r="F226" i="11"/>
  <c r="I226" i="11" s="1"/>
  <c r="F227" i="11" a="1"/>
  <c r="F227" i="11" s="1"/>
  <c r="I227" i="11" s="1"/>
  <c r="F228" i="11" a="1"/>
  <c r="F228" i="11" s="1"/>
  <c r="I228" i="11" s="1"/>
  <c r="F229" i="11" a="1"/>
  <c r="F229" i="11" s="1"/>
  <c r="I229" i="11" s="1"/>
  <c r="F230" i="11" a="1"/>
  <c r="F230" i="11" s="1"/>
  <c r="F231" i="11" a="1"/>
  <c r="F231" i="11" s="1"/>
  <c r="F232" i="11" a="1"/>
  <c r="F232" i="11" s="1"/>
  <c r="I232" i="11" s="1"/>
  <c r="F233" i="11" a="1"/>
  <c r="F233" i="11" s="1"/>
  <c r="I233" i="11" s="1"/>
  <c r="F234" i="11" a="1"/>
  <c r="F234" i="11" s="1"/>
  <c r="I234" i="11" s="1"/>
  <c r="F235" i="11" a="1"/>
  <c r="F235" i="11" s="1"/>
  <c r="F236" i="11" a="1"/>
  <c r="F236" i="11"/>
  <c r="I236" i="11" s="1"/>
  <c r="F237" i="11" a="1"/>
  <c r="F237" i="11" s="1"/>
  <c r="I237" i="11" s="1"/>
  <c r="F238" i="11" a="1"/>
  <c r="F238" i="11" s="1"/>
  <c r="I238" i="11" s="1"/>
  <c r="F239" i="11" a="1"/>
  <c r="F239" i="11" s="1"/>
  <c r="I239" i="11" s="1"/>
  <c r="F240" i="11" a="1"/>
  <c r="F240" i="11" s="1"/>
  <c r="I240" i="11" s="1"/>
  <c r="F241" i="11" a="1"/>
  <c r="F241" i="11" s="1"/>
  <c r="I241" i="11" s="1"/>
  <c r="F242" i="11" a="1"/>
  <c r="F242" i="11" s="1"/>
  <c r="I242" i="11" s="1"/>
  <c r="F243" i="11" a="1"/>
  <c r="F243" i="11" s="1"/>
  <c r="F244" i="11" a="1"/>
  <c r="F244" i="11" s="1"/>
  <c r="I244" i="11" s="1"/>
  <c r="F245" i="11" a="1"/>
  <c r="F245" i="11" s="1"/>
  <c r="F246" i="11" a="1"/>
  <c r="F246" i="11" s="1"/>
  <c r="I246" i="11" s="1"/>
  <c r="F247" i="11" a="1"/>
  <c r="F247" i="11" s="1"/>
  <c r="F248" i="11" a="1"/>
  <c r="F248" i="11" s="1"/>
  <c r="F249" i="11" a="1"/>
  <c r="F249" i="11" s="1"/>
  <c r="F250" i="11" a="1"/>
  <c r="F250" i="11" s="1"/>
  <c r="I250" i="11" s="1"/>
  <c r="F251" i="11" a="1"/>
  <c r="F251" i="11" s="1"/>
  <c r="F252" i="11" a="1"/>
  <c r="F252" i="11"/>
  <c r="F253" i="11" a="1"/>
  <c r="F253" i="11" s="1"/>
  <c r="F254" i="11" a="1"/>
  <c r="F254" i="11" s="1"/>
  <c r="I254" i="11" s="1"/>
  <c r="F255" i="11" a="1"/>
  <c r="F255" i="11" s="1"/>
  <c r="F256" i="11" a="1"/>
  <c r="F256" i="11" s="1"/>
  <c r="I256" i="11" s="1"/>
  <c r="F257" i="11" a="1"/>
  <c r="F257" i="11" s="1"/>
  <c r="I257" i="11" s="1"/>
  <c r="F258" i="11" a="1"/>
  <c r="F258" i="11" s="1"/>
  <c r="I258" i="11" s="1"/>
  <c r="F259" i="11" a="1"/>
  <c r="F259" i="11" s="1"/>
  <c r="I259" i="11" s="1"/>
  <c r="F260" i="11" a="1"/>
  <c r="F260" i="11" s="1"/>
  <c r="I260" i="11" s="1"/>
  <c r="F261" i="11" a="1"/>
  <c r="F261" i="11" s="1"/>
  <c r="I261" i="11" s="1"/>
  <c r="F262" i="11" a="1"/>
  <c r="F262" i="11" s="1"/>
  <c r="I262" i="11" s="1"/>
  <c r="F263" i="11" a="1"/>
  <c r="F263" i="11" s="1"/>
  <c r="I263" i="11" s="1"/>
  <c r="F264" i="11" a="1"/>
  <c r="F264" i="11" s="1"/>
  <c r="I264" i="11" s="1"/>
  <c r="F265" i="11" a="1"/>
  <c r="F265" i="11" s="1"/>
  <c r="F266" i="11" a="1"/>
  <c r="F266" i="11" s="1"/>
  <c r="F267" i="11" a="1"/>
  <c r="F267" i="11" s="1"/>
  <c r="I267" i="11" s="1"/>
  <c r="F268" i="11" a="1"/>
  <c r="F268" i="11" s="1"/>
  <c r="I268" i="11" s="1"/>
  <c r="F269" i="11" a="1"/>
  <c r="F269" i="11" s="1"/>
  <c r="I269" i="11" s="1"/>
  <c r="F270" i="11" a="1"/>
  <c r="F270" i="11" s="1"/>
  <c r="I270" i="11" s="1"/>
  <c r="F271" i="11" a="1"/>
  <c r="F271" i="11" s="1"/>
  <c r="I271" i="11" s="1"/>
  <c r="F272" i="11" a="1"/>
  <c r="F272" i="11" s="1"/>
  <c r="F273" i="11" a="1"/>
  <c r="F273" i="11" s="1"/>
  <c r="F274" i="11" a="1"/>
  <c r="F274" i="11" s="1"/>
  <c r="I274" i="11" s="1"/>
  <c r="F275" i="11" a="1"/>
  <c r="F275" i="11" s="1"/>
  <c r="I275" i="11" s="1"/>
  <c r="F276" i="11" a="1"/>
  <c r="F276" i="11" s="1"/>
  <c r="I276" i="11" s="1"/>
  <c r="F277" i="11" a="1"/>
  <c r="F277" i="11" s="1"/>
  <c r="F278" i="11" a="1"/>
  <c r="F278" i="11" s="1"/>
  <c r="F279" i="11" a="1"/>
  <c r="F279" i="11" s="1"/>
  <c r="F280" i="11" a="1"/>
  <c r="F280" i="11" s="1"/>
  <c r="F281" i="11" a="1"/>
  <c r="F281" i="11" s="1"/>
  <c r="I281" i="11" s="1"/>
  <c r="F282" i="11" a="1"/>
  <c r="F282" i="11" s="1"/>
  <c r="I282" i="11" s="1"/>
  <c r="F283" i="11" a="1"/>
  <c r="F283" i="11" s="1"/>
  <c r="I283" i="11" s="1"/>
  <c r="F284" i="11" a="1"/>
  <c r="F284" i="11" s="1"/>
  <c r="I284" i="11" s="1"/>
  <c r="F285" i="11" a="1"/>
  <c r="F285" i="11" s="1"/>
  <c r="I285" i="11" s="1"/>
  <c r="F286" i="11" a="1"/>
  <c r="F286" i="11" s="1"/>
  <c r="I286" i="11" s="1"/>
  <c r="F287" i="11" a="1"/>
  <c r="F287" i="11" s="1"/>
  <c r="I287" i="11" s="1"/>
  <c r="F288" i="11" a="1"/>
  <c r="F288" i="11" s="1"/>
  <c r="I288" i="11" s="1"/>
  <c r="F289" i="11" a="1"/>
  <c r="F289" i="11" s="1"/>
  <c r="F290" i="11" a="1"/>
  <c r="F290" i="11" s="1"/>
  <c r="F291" i="11" a="1"/>
  <c r="F291" i="11" s="1"/>
  <c r="F292" i="11" a="1"/>
  <c r="F292" i="11" s="1"/>
  <c r="I292" i="11" s="1"/>
  <c r="F293" i="11" a="1"/>
  <c r="F293" i="11" s="1"/>
  <c r="I293" i="11" s="1"/>
  <c r="F294" i="11" a="1"/>
  <c r="F294" i="11" s="1"/>
  <c r="I294" i="11" s="1"/>
  <c r="F295" i="11" a="1"/>
  <c r="F295" i="11" s="1"/>
  <c r="F296" i="11" a="1"/>
  <c r="F296" i="11" s="1"/>
  <c r="I296" i="11" s="1"/>
  <c r="F297" i="11" a="1"/>
  <c r="F297" i="11" s="1"/>
  <c r="F298" i="11" a="1"/>
  <c r="F298" i="11" s="1"/>
  <c r="I298" i="11" s="1"/>
  <c r="F299" i="11" a="1"/>
  <c r="F299" i="11" s="1"/>
  <c r="I299" i="11" s="1"/>
  <c r="F300" i="11" a="1"/>
  <c r="F300" i="11" s="1"/>
  <c r="I300" i="11" s="1"/>
  <c r="F301" i="11" a="1"/>
  <c r="F301" i="11" s="1"/>
  <c r="I301" i="11" s="1"/>
  <c r="F302" i="11" a="1"/>
  <c r="F302" i="11" s="1"/>
  <c r="F303" i="11" a="1"/>
  <c r="F303" i="11" s="1"/>
  <c r="I303" i="11" s="1"/>
  <c r="F304" i="11" a="1"/>
  <c r="F304" i="11" s="1"/>
  <c r="I304" i="11" s="1"/>
  <c r="F305" i="11" a="1"/>
  <c r="F305" i="11" s="1"/>
  <c r="I305" i="11" s="1"/>
  <c r="F306" i="11" a="1"/>
  <c r="F306" i="11" s="1"/>
  <c r="I306" i="11" s="1"/>
  <c r="F307" i="11" a="1"/>
  <c r="F307" i="11" s="1"/>
  <c r="I307" i="11" s="1"/>
  <c r="F308" i="11" a="1"/>
  <c r="F308" i="11" s="1"/>
  <c r="I308" i="11" s="1"/>
  <c r="F309" i="11" a="1"/>
  <c r="F309" i="11" s="1"/>
  <c r="F310" i="11" a="1"/>
  <c r="F310" i="11" s="1"/>
  <c r="I310" i="11" s="1"/>
  <c r="F311" i="11" a="1"/>
  <c r="F311" i="11" s="1"/>
  <c r="F312" i="11" a="1"/>
  <c r="F312" i="11" s="1"/>
  <c r="I312" i="11" s="1"/>
  <c r="F313" i="11" a="1"/>
  <c r="F313" i="11" s="1"/>
  <c r="F314" i="11" a="1"/>
  <c r="F314" i="11" s="1"/>
  <c r="F315" i="11" a="1"/>
  <c r="F315" i="11" s="1"/>
  <c r="F316" i="11" a="1"/>
  <c r="F316" i="11" s="1"/>
  <c r="I316" i="11" s="1"/>
  <c r="F317" i="11" a="1"/>
  <c r="F317" i="11" s="1"/>
  <c r="I317" i="11" s="1"/>
  <c r="F318" i="11" a="1"/>
  <c r="F318" i="11" s="1"/>
  <c r="I318" i="11" s="1"/>
  <c r="F319" i="11" a="1"/>
  <c r="F319" i="11" s="1"/>
  <c r="I319" i="11" s="1"/>
  <c r="F320" i="11" a="1"/>
  <c r="F320" i="11" s="1"/>
  <c r="F321" i="11" a="1"/>
  <c r="F321" i="11" s="1"/>
  <c r="F322" i="11" a="1"/>
  <c r="F322" i="11" s="1"/>
  <c r="I322" i="11" s="1"/>
  <c r="F323" i="11" a="1"/>
  <c r="F323" i="11" s="1"/>
  <c r="I323" i="11" s="1"/>
  <c r="F324" i="11" a="1"/>
  <c r="F324" i="11" s="1"/>
  <c r="I324" i="11" s="1"/>
  <c r="F325" i="11" a="1"/>
  <c r="F325" i="11" s="1"/>
  <c r="I325" i="11" s="1"/>
  <c r="F326" i="11" a="1"/>
  <c r="F326" i="11" s="1"/>
  <c r="I326" i="11" s="1"/>
  <c r="F327" i="11" a="1"/>
  <c r="F327" i="11" s="1"/>
  <c r="I327" i="11" s="1"/>
  <c r="F328" i="11" a="1"/>
  <c r="F328" i="11" s="1"/>
  <c r="I328" i="11" s="1"/>
  <c r="F329" i="11" a="1"/>
  <c r="F329" i="11" s="1"/>
  <c r="I329" i="11" s="1"/>
  <c r="F330" i="11" a="1"/>
  <c r="F330" i="11" s="1"/>
  <c r="I330" i="11" s="1"/>
  <c r="F331" i="11" a="1"/>
  <c r="F331" i="11" s="1"/>
  <c r="I331" i="11" s="1"/>
  <c r="F332" i="11" a="1"/>
  <c r="F332" i="11" s="1"/>
  <c r="I332" i="11" s="1"/>
  <c r="F333" i="11" a="1"/>
  <c r="F333" i="11" s="1"/>
  <c r="I333" i="11" s="1"/>
  <c r="F334" i="11" a="1"/>
  <c r="F334" i="11" s="1"/>
  <c r="I334" i="11" s="1"/>
  <c r="F335" i="11" a="1"/>
  <c r="F335" i="11" s="1"/>
  <c r="F336" i="11" a="1"/>
  <c r="F336" i="11" s="1"/>
  <c r="F337" i="11" a="1"/>
  <c r="F337" i="11" s="1"/>
  <c r="F338" i="11" a="1"/>
  <c r="F338" i="11" s="1"/>
  <c r="F339" i="11" a="1"/>
  <c r="F339" i="11" s="1"/>
  <c r="F340" i="11" a="1"/>
  <c r="F340" i="11"/>
  <c r="F341" i="11" a="1"/>
  <c r="F341" i="11" s="1"/>
  <c r="I341" i="11" s="1"/>
  <c r="F342" i="11" a="1"/>
  <c r="F342" i="11" s="1"/>
  <c r="I342" i="11" s="1"/>
  <c r="F343" i="11" a="1"/>
  <c r="F343" i="11" s="1"/>
  <c r="F344" i="11" a="1"/>
  <c r="F344" i="11" s="1"/>
  <c r="F345" i="11" a="1"/>
  <c r="F345" i="11" s="1"/>
  <c r="F346" i="11" a="1"/>
  <c r="F346" i="11"/>
  <c r="I346" i="11" s="1"/>
  <c r="F347" i="11" a="1"/>
  <c r="F347" i="11" s="1"/>
  <c r="I347" i="11" s="1"/>
  <c r="F348" i="11" a="1"/>
  <c r="F348" i="11" s="1"/>
  <c r="I348" i="11" s="1"/>
  <c r="F349" i="11" a="1"/>
  <c r="F349" i="11" s="1"/>
  <c r="I349" i="11" s="1"/>
  <c r="F350" i="11" a="1"/>
  <c r="F350" i="11" s="1"/>
  <c r="I350" i="11" s="1"/>
  <c r="F351" i="11" a="1"/>
  <c r="F351" i="11" s="1"/>
  <c r="I351" i="11" s="1"/>
  <c r="F352" i="11" a="1"/>
  <c r="F352" i="11" s="1"/>
  <c r="F353" i="11" a="1"/>
  <c r="F353" i="11" s="1"/>
  <c r="I353" i="11" s="1"/>
  <c r="F354" i="11" a="1"/>
  <c r="F354" i="11" s="1"/>
  <c r="I354" i="11" s="1"/>
  <c r="F355" i="11" a="1"/>
  <c r="F355" i="11" s="1"/>
  <c r="F356" i="11" a="1"/>
  <c r="F356" i="11" s="1"/>
  <c r="F357" i="11" a="1"/>
  <c r="F357" i="11" s="1"/>
  <c r="F358" i="11" a="1"/>
  <c r="F358" i="11" s="1"/>
  <c r="I358" i="11" s="1"/>
  <c r="F359" i="11" a="1"/>
  <c r="F359" i="11" s="1"/>
  <c r="F360" i="11" a="1"/>
  <c r="F360" i="11" s="1"/>
  <c r="I360" i="11" s="1"/>
  <c r="F361" i="11" a="1"/>
  <c r="F361" i="11" s="1"/>
  <c r="I361" i="11" s="1"/>
  <c r="F362" i="11" a="1"/>
  <c r="F362" i="11" s="1"/>
  <c r="I362" i="11" s="1"/>
  <c r="F363" i="11" a="1"/>
  <c r="F363" i="11" s="1"/>
  <c r="I363" i="11" s="1"/>
  <c r="F364" i="11" a="1"/>
  <c r="F364" i="11" s="1"/>
  <c r="I364" i="11" s="1"/>
  <c r="F365" i="11" a="1"/>
  <c r="F365" i="11" s="1"/>
  <c r="I365" i="11" s="1"/>
  <c r="F366" i="11" a="1"/>
  <c r="F366" i="11" s="1"/>
  <c r="I366" i="11" s="1"/>
  <c r="F367" i="11" a="1"/>
  <c r="F367" i="11" s="1"/>
  <c r="F368" i="11" a="1"/>
  <c r="F368" i="11" s="1"/>
  <c r="F369" i="11" a="1"/>
  <c r="F369" i="11" s="1"/>
  <c r="F370" i="11" a="1"/>
  <c r="F370" i="11" s="1"/>
  <c r="I370" i="11" s="1"/>
  <c r="F371" i="11" a="1"/>
  <c r="F371" i="11" s="1"/>
  <c r="I371" i="11" s="1"/>
  <c r="F372" i="11" a="1"/>
  <c r="F372" i="11" s="1"/>
  <c r="I372" i="11" s="1"/>
  <c r="F373" i="11" a="1"/>
  <c r="F373" i="11" s="1"/>
  <c r="I373" i="11" s="1"/>
  <c r="F374" i="11" a="1"/>
  <c r="F374" i="11" s="1"/>
  <c r="I374" i="11" s="1"/>
  <c r="F375" i="11" a="1"/>
  <c r="F375" i="11" s="1"/>
  <c r="F376" i="11" a="1"/>
  <c r="F376" i="11" s="1"/>
  <c r="F377" i="11" a="1"/>
  <c r="F377" i="11" s="1"/>
  <c r="F378" i="11" a="1"/>
  <c r="F378" i="11"/>
  <c r="I378" i="11" s="1"/>
  <c r="F379" i="11" a="1"/>
  <c r="F379" i="11" s="1"/>
  <c r="F380" i="11" a="1"/>
  <c r="F380" i="11" s="1"/>
  <c r="I380" i="11" s="1"/>
  <c r="F381" i="11" a="1"/>
  <c r="F381" i="11" s="1"/>
  <c r="I381" i="11" s="1"/>
  <c r="F382" i="11" a="1"/>
  <c r="F382" i="11" s="1"/>
  <c r="I382" i="11" s="1"/>
  <c r="F383" i="11" a="1"/>
  <c r="F383" i="11" s="1"/>
  <c r="F384" i="11" a="1"/>
  <c r="F384" i="11" s="1"/>
  <c r="I384" i="11" s="1"/>
  <c r="F385" i="11" a="1"/>
  <c r="F385" i="11" s="1"/>
  <c r="I385" i="11" s="1"/>
  <c r="F386" i="11" a="1"/>
  <c r="F386" i="11" s="1"/>
  <c r="F387" i="11" a="1"/>
  <c r="F387" i="11" s="1"/>
  <c r="F388" i="11" a="1"/>
  <c r="F388" i="11"/>
  <c r="F389" i="11" a="1"/>
  <c r="F389" i="11" s="1"/>
  <c r="I389" i="11" s="1"/>
  <c r="F390" i="11" a="1"/>
  <c r="F390" i="11" s="1"/>
  <c r="I390" i="11" s="1"/>
  <c r="F391" i="11" a="1"/>
  <c r="F391" i="11" s="1"/>
  <c r="I391" i="11" s="1"/>
  <c r="F392" i="11" a="1"/>
  <c r="F392" i="11" s="1"/>
  <c r="I392" i="11" s="1"/>
  <c r="F393" i="11" a="1"/>
  <c r="F393" i="11" s="1"/>
  <c r="I393" i="11" s="1"/>
  <c r="F394" i="11" a="1"/>
  <c r="F394" i="11" s="1"/>
  <c r="I394" i="11" s="1"/>
  <c r="F395" i="11" a="1"/>
  <c r="F395" i="11" s="1"/>
  <c r="I395" i="11" s="1"/>
  <c r="F396" i="11" a="1"/>
  <c r="F396" i="11" s="1"/>
  <c r="I396" i="11" s="1"/>
  <c r="F397" i="11" a="1"/>
  <c r="F397" i="11" s="1"/>
  <c r="F398" i="11" a="1"/>
  <c r="F398" i="11" s="1"/>
  <c r="F399" i="11" a="1"/>
  <c r="F399" i="11" s="1"/>
  <c r="F400" i="11" a="1"/>
  <c r="F400" i="11" s="1"/>
  <c r="I400" i="11" s="1"/>
  <c r="F401" i="11" a="1"/>
  <c r="F401" i="11" s="1"/>
  <c r="I401" i="11" s="1"/>
  <c r="F402" i="11" a="1"/>
  <c r="F402" i="11" s="1"/>
  <c r="I402" i="11" s="1"/>
  <c r="F403" i="11" a="1"/>
  <c r="F403" i="11" s="1"/>
  <c r="I403" i="11" s="1"/>
  <c r="F404" i="11" a="1"/>
  <c r="F404" i="11" s="1"/>
  <c r="I404" i="11" s="1"/>
  <c r="F405" i="11" a="1"/>
  <c r="F405" i="11" s="1"/>
  <c r="F406" i="11" a="1"/>
  <c r="F406" i="11" s="1"/>
  <c r="I406" i="11" s="1"/>
  <c r="F407" i="11" a="1"/>
  <c r="F407" i="11" s="1"/>
  <c r="F408" i="11" a="1"/>
  <c r="F408" i="11"/>
  <c r="F409" i="11" a="1"/>
  <c r="F409" i="11" s="1"/>
  <c r="F410" i="11" a="1"/>
  <c r="F410" i="11" s="1"/>
  <c r="I410" i="11" s="1"/>
  <c r="F411" i="11" a="1"/>
  <c r="F411" i="11" s="1"/>
  <c r="I411" i="11" s="1"/>
  <c r="F412" i="11" a="1"/>
  <c r="F412" i="11" s="1"/>
  <c r="I412" i="11" s="1"/>
  <c r="F413" i="11" a="1"/>
  <c r="F413" i="11" s="1"/>
  <c r="I413" i="11" s="1"/>
  <c r="F414" i="11" a="1"/>
  <c r="F414" i="11" s="1"/>
  <c r="I414" i="11" s="1"/>
  <c r="F415" i="11" a="1"/>
  <c r="F415" i="11" s="1"/>
  <c r="I415" i="11" s="1"/>
  <c r="F416" i="11" a="1"/>
  <c r="F416" i="11" s="1"/>
  <c r="F417" i="11" a="1"/>
  <c r="F417" i="11" s="1"/>
  <c r="F418" i="11" a="1"/>
  <c r="F418" i="11" s="1"/>
  <c r="I418" i="11" s="1"/>
  <c r="F419" i="11" a="1"/>
  <c r="F419" i="11" s="1"/>
  <c r="I419" i="11" s="1"/>
  <c r="F420" i="11" a="1"/>
  <c r="F420" i="11" s="1"/>
  <c r="I420" i="11" s="1"/>
  <c r="F421" i="11" a="1"/>
  <c r="F421" i="11" s="1"/>
  <c r="I421" i="11" s="1"/>
  <c r="F422" i="11" a="1"/>
  <c r="F422" i="11" s="1"/>
  <c r="I422" i="11" s="1"/>
  <c r="F423" i="11" a="1"/>
  <c r="F423" i="11" s="1"/>
  <c r="I423" i="11" s="1"/>
  <c r="F424" i="11" a="1"/>
  <c r="F424" i="11" s="1"/>
  <c r="I424" i="11" s="1"/>
  <c r="F425" i="11" a="1"/>
  <c r="F425" i="11" s="1"/>
  <c r="I425" i="11" s="1"/>
  <c r="F426" i="11" a="1"/>
  <c r="F426" i="11" s="1"/>
  <c r="I426" i="11" s="1"/>
  <c r="F427" i="11" a="1"/>
  <c r="F427" i="11" s="1"/>
  <c r="I427" i="11" s="1"/>
  <c r="F428" i="11" a="1"/>
  <c r="F428" i="11" s="1"/>
  <c r="F429" i="11" a="1"/>
  <c r="F429" i="11" s="1"/>
  <c r="F430" i="11" a="1"/>
  <c r="F430" i="11" s="1"/>
  <c r="I430" i="11" s="1"/>
  <c r="F431" i="11" a="1"/>
  <c r="F431" i="11" s="1"/>
  <c r="F432" i="11" a="1"/>
  <c r="F432" i="11" s="1"/>
  <c r="I432" i="11" s="1"/>
  <c r="F433" i="11" a="1"/>
  <c r="F433" i="11" s="1"/>
  <c r="I433" i="11" s="1"/>
  <c r="F434" i="11" a="1"/>
  <c r="F434" i="11" s="1"/>
  <c r="I434" i="11" s="1"/>
  <c r="F435" i="11" a="1"/>
  <c r="F435" i="11" s="1"/>
  <c r="I435" i="11" s="1"/>
  <c r="F436" i="11" a="1"/>
  <c r="F436" i="11" s="1"/>
  <c r="I436" i="11" s="1"/>
  <c r="F437" i="11" a="1"/>
  <c r="F437" i="11" s="1"/>
  <c r="I437" i="11" s="1"/>
  <c r="F438" i="11" a="1"/>
  <c r="F438" i="11" s="1"/>
  <c r="I438" i="11" s="1"/>
  <c r="F439" i="11" a="1"/>
  <c r="F439" i="11" s="1"/>
  <c r="I439" i="11" s="1"/>
  <c r="F440" i="11" a="1"/>
  <c r="F440" i="11" s="1"/>
  <c r="F441" i="11" a="1"/>
  <c r="F441" i="11" s="1"/>
  <c r="F442" i="11" a="1"/>
  <c r="F442" i="11" s="1"/>
  <c r="I442" i="11" s="1"/>
  <c r="F443" i="11" a="1"/>
  <c r="F443" i="11" s="1"/>
  <c r="F444" i="11" a="1"/>
  <c r="F444" i="11" s="1"/>
  <c r="I444" i="11" s="1"/>
  <c r="F445" i="11" a="1"/>
  <c r="F445" i="11" s="1"/>
  <c r="F446" i="11" a="1"/>
  <c r="F446" i="11" s="1"/>
  <c r="F447" i="11" a="1"/>
  <c r="F447" i="11" s="1"/>
  <c r="I447" i="11" s="1"/>
  <c r="F448" i="11" a="1"/>
  <c r="F448" i="11" s="1"/>
  <c r="I448" i="11" s="1"/>
  <c r="F449" i="11" a="1"/>
  <c r="F449" i="11" s="1"/>
  <c r="I449" i="11" s="1"/>
  <c r="F450" i="11" a="1"/>
  <c r="F450" i="11" s="1"/>
  <c r="I450" i="11" s="1"/>
  <c r="F451" i="11" a="1"/>
  <c r="F451" i="11" s="1"/>
  <c r="I451" i="11" s="1"/>
  <c r="F452" i="11" a="1"/>
  <c r="F452" i="11" s="1"/>
  <c r="I452" i="11" s="1"/>
  <c r="F453" i="11" a="1"/>
  <c r="F453" i="11" s="1"/>
  <c r="I453" i="11" s="1"/>
  <c r="F454" i="11" a="1"/>
  <c r="F454" i="11" s="1"/>
  <c r="I454" i="11" s="1"/>
  <c r="F455" i="11" a="1"/>
  <c r="F455" i="11" s="1"/>
  <c r="I455" i="11" s="1"/>
  <c r="F456" i="11" a="1"/>
  <c r="F456" i="11" s="1"/>
  <c r="I456" i="11" s="1"/>
  <c r="F457" i="11" a="1"/>
  <c r="F457" i="11" s="1"/>
  <c r="F458" i="11" a="1"/>
  <c r="F458" i="11" s="1"/>
  <c r="I458" i="11" s="1"/>
  <c r="F459" i="11" a="1"/>
  <c r="F459" i="11" s="1"/>
  <c r="I459" i="11" s="1"/>
  <c r="F460" i="11" a="1"/>
  <c r="F460" i="11" s="1"/>
  <c r="I460" i="11" s="1"/>
  <c r="F461" i="11" a="1"/>
  <c r="F461" i="11" s="1"/>
  <c r="I461" i="11" s="1"/>
  <c r="F462" i="11" a="1"/>
  <c r="F462" i="11" s="1"/>
  <c r="I462" i="11" s="1"/>
  <c r="F463" i="11" a="1"/>
  <c r="F463" i="11" s="1"/>
  <c r="I463" i="11" s="1"/>
  <c r="F464" i="11" a="1"/>
  <c r="F464" i="11" s="1"/>
  <c r="F465" i="11" a="1"/>
  <c r="F465" i="11" s="1"/>
  <c r="F466" i="11" a="1"/>
  <c r="F466" i="11" s="1"/>
  <c r="F467" i="11" a="1"/>
  <c r="F467" i="11" s="1"/>
  <c r="I467" i="11" s="1"/>
  <c r="F468" i="11" a="1"/>
  <c r="F468" i="11" s="1"/>
  <c r="I468" i="11" s="1"/>
  <c r="F469" i="11" a="1"/>
  <c r="F469" i="11" s="1"/>
  <c r="F470" i="11" a="1"/>
  <c r="F470" i="11" s="1"/>
  <c r="F471" i="11" a="1"/>
  <c r="F471" i="11" s="1"/>
  <c r="F472" i="11" a="1"/>
  <c r="F472" i="11" s="1"/>
  <c r="I472" i="11" s="1"/>
  <c r="F473" i="11" a="1"/>
  <c r="F473" i="11" s="1"/>
  <c r="F474" i="11" a="1"/>
  <c r="F474" i="11" s="1"/>
  <c r="I474" i="11" s="1"/>
  <c r="F475" i="11" a="1"/>
  <c r="F475" i="11" s="1"/>
  <c r="F476" i="11" a="1"/>
  <c r="F476" i="11" s="1"/>
  <c r="F477" i="11" a="1"/>
  <c r="F477" i="11" s="1"/>
  <c r="F478" i="11" a="1"/>
  <c r="F478" i="11" s="1"/>
  <c r="I478" i="11" s="1"/>
  <c r="F479" i="11" a="1"/>
  <c r="F479" i="11" s="1"/>
  <c r="I479" i="11" s="1"/>
  <c r="F480" i="11" a="1"/>
  <c r="F480" i="11"/>
  <c r="I480" i="11" s="1"/>
  <c r="F481" i="11" a="1"/>
  <c r="F481" i="11" s="1"/>
  <c r="I481" i="11" s="1"/>
  <c r="F482" i="11" a="1"/>
  <c r="F482" i="11" s="1"/>
  <c r="I482" i="11" s="1"/>
  <c r="F483" i="11" a="1"/>
  <c r="F483" i="11" s="1"/>
  <c r="I483" i="11" s="1"/>
  <c r="F484" i="11" a="1"/>
  <c r="F484" i="11" s="1"/>
  <c r="I484" i="11" s="1"/>
  <c r="F485" i="11" a="1"/>
  <c r="F485" i="11" s="1"/>
  <c r="I485" i="11" s="1"/>
  <c r="F486" i="11" a="1"/>
  <c r="F486" i="11" s="1"/>
  <c r="I486" i="11" s="1"/>
  <c r="F487" i="11" a="1"/>
  <c r="F487" i="11" s="1"/>
  <c r="I487" i="11" s="1"/>
  <c r="F488" i="11" a="1"/>
  <c r="F488" i="11" s="1"/>
  <c r="I488" i="11" s="1"/>
  <c r="F489" i="11" a="1"/>
  <c r="F489" i="11" s="1"/>
  <c r="I489" i="11" s="1"/>
  <c r="F490" i="11" a="1"/>
  <c r="F490" i="11"/>
  <c r="F491" i="11" a="1"/>
  <c r="F491" i="11"/>
  <c r="I491" i="11" s="1"/>
  <c r="F492" i="11" a="1"/>
  <c r="F492" i="11" s="1"/>
  <c r="I492" i="11" s="1"/>
  <c r="F493" i="11" a="1"/>
  <c r="F493" i="11" s="1"/>
  <c r="I493" i="11" s="1"/>
  <c r="F494" i="11" a="1"/>
  <c r="F494" i="11" s="1"/>
  <c r="I494" i="11" s="1"/>
  <c r="F495" i="11" a="1"/>
  <c r="F495" i="11" s="1"/>
  <c r="I495" i="11" s="1"/>
  <c r="F496" i="11" a="1"/>
  <c r="F496" i="11" s="1"/>
  <c r="F497" i="11" a="1"/>
  <c r="F497" i="11" s="1"/>
  <c r="I497" i="11" s="1"/>
  <c r="F498" i="11" a="1"/>
  <c r="F498" i="11" s="1"/>
  <c r="I498" i="11" s="1"/>
  <c r="F499" i="11" a="1"/>
  <c r="F499" i="11"/>
  <c r="I499" i="11" s="1"/>
  <c r="F500" i="11" a="1"/>
  <c r="F500" i="11" s="1"/>
  <c r="I500" i="11" s="1"/>
  <c r="F501" i="11" a="1"/>
  <c r="F501" i="11" s="1"/>
  <c r="F502" i="11" a="1"/>
  <c r="F502" i="11" s="1"/>
  <c r="F503" i="11" a="1"/>
  <c r="F503" i="11" s="1"/>
  <c r="I503" i="11" s="1"/>
  <c r="F504" i="11" a="1"/>
  <c r="F504" i="11" s="1"/>
  <c r="I504" i="11" s="1"/>
  <c r="F505" i="11" a="1"/>
  <c r="F505" i="11" s="1"/>
  <c r="I505" i="11" s="1"/>
  <c r="F506" i="11" a="1"/>
  <c r="F506" i="11" s="1"/>
  <c r="I506" i="11" s="1"/>
  <c r="F507" i="11" a="1"/>
  <c r="F507" i="11" s="1"/>
  <c r="I507" i="11" s="1"/>
  <c r="F508" i="11" a="1"/>
  <c r="F508" i="11" s="1"/>
  <c r="F509" i="11" a="1"/>
  <c r="F509" i="11" s="1"/>
  <c r="I509" i="11" s="1"/>
  <c r="F510" i="11" a="1"/>
  <c r="F510" i="11" s="1"/>
  <c r="I510" i="11" s="1"/>
  <c r="F511" i="11" a="1"/>
  <c r="F511" i="11" s="1"/>
  <c r="I511" i="11" s="1"/>
  <c r="F512" i="11" a="1"/>
  <c r="F512" i="11" s="1"/>
  <c r="I512" i="11" s="1"/>
  <c r="F513" i="11" a="1"/>
  <c r="F513" i="11" s="1"/>
  <c r="I513" i="11" s="1"/>
  <c r="F514" i="11" a="1"/>
  <c r="F514" i="11" s="1"/>
  <c r="I514" i="11" s="1"/>
  <c r="F515" i="11" a="1"/>
  <c r="F515" i="11" s="1"/>
  <c r="I515" i="11" s="1"/>
  <c r="F516" i="11" a="1"/>
  <c r="F516" i="11" s="1"/>
  <c r="I516" i="11" s="1"/>
  <c r="F517" i="11" a="1"/>
  <c r="F517" i="11" s="1"/>
  <c r="I517" i="11" s="1"/>
  <c r="F518" i="11" a="1"/>
  <c r="F518" i="11" s="1"/>
  <c r="I518" i="11" s="1"/>
  <c r="F519" i="11" a="1"/>
  <c r="F519" i="11" s="1"/>
  <c r="F520" i="11" a="1"/>
  <c r="F520" i="11" s="1"/>
  <c r="F521" i="11" a="1"/>
  <c r="F521" i="11" s="1"/>
  <c r="F522" i="11" a="1"/>
  <c r="F522" i="11" s="1"/>
  <c r="F523" i="11" a="1"/>
  <c r="F523" i="11" s="1"/>
  <c r="I523" i="11" s="1"/>
  <c r="F524" i="11" a="1"/>
  <c r="F524" i="11" s="1"/>
  <c r="I524" i="11" s="1"/>
  <c r="F525" i="11" a="1"/>
  <c r="F525" i="11" s="1"/>
  <c r="I525" i="11" s="1"/>
  <c r="F526" i="11" a="1"/>
  <c r="F526" i="11" s="1"/>
  <c r="I526" i="11" s="1"/>
  <c r="F527" i="11" a="1"/>
  <c r="F527" i="11" s="1"/>
  <c r="I527" i="11" s="1"/>
  <c r="F528" i="11" a="1"/>
  <c r="F528" i="11" s="1"/>
  <c r="I528" i="11" s="1"/>
  <c r="F529" i="11" a="1"/>
  <c r="F529" i="11" s="1"/>
  <c r="I529" i="11" s="1"/>
  <c r="F530" i="11" a="1"/>
  <c r="F530" i="11" s="1"/>
  <c r="I530" i="11" s="1"/>
  <c r="F531" i="11" a="1"/>
  <c r="F531" i="11" s="1"/>
  <c r="F532" i="11" a="1"/>
  <c r="F532" i="11" s="1"/>
  <c r="I532" i="11" s="1"/>
  <c r="F533" i="11" a="1"/>
  <c r="F533" i="11" s="1"/>
  <c r="I533" i="11" s="1"/>
  <c r="F534" i="11" a="1"/>
  <c r="F534" i="11" s="1"/>
  <c r="F535" i="11" a="1"/>
  <c r="F535" i="11" s="1"/>
  <c r="I535" i="11" s="1"/>
  <c r="F536" i="11" a="1"/>
  <c r="F536" i="11"/>
  <c r="I536" i="11" s="1"/>
  <c r="F537" i="11" a="1"/>
  <c r="F537" i="11" s="1"/>
  <c r="I537" i="11" s="1"/>
  <c r="F538" i="11" a="1"/>
  <c r="F538" i="11" s="1"/>
  <c r="I538" i="11" s="1"/>
  <c r="F539" i="11" a="1"/>
  <c r="F539" i="11" s="1"/>
  <c r="I539" i="11" s="1"/>
  <c r="F540" i="11" a="1"/>
  <c r="F540" i="11" s="1"/>
  <c r="I540" i="11" s="1"/>
  <c r="F541" i="11" a="1"/>
  <c r="F541" i="11" s="1"/>
  <c r="I541" i="11" s="1"/>
  <c r="F542" i="11" a="1"/>
  <c r="F542" i="11" s="1"/>
  <c r="I542" i="11" s="1"/>
  <c r="F543" i="11" a="1"/>
  <c r="F543" i="11" s="1"/>
  <c r="F544" i="11" a="1"/>
  <c r="F544" i="11" s="1"/>
  <c r="I544" i="11" s="1"/>
  <c r="F545" i="11" a="1"/>
  <c r="F545" i="11" s="1"/>
  <c r="F546" i="11" a="1"/>
  <c r="F546" i="11" s="1"/>
  <c r="I546" i="11" s="1"/>
  <c r="F547" i="11" a="1"/>
  <c r="F547" i="11" s="1"/>
  <c r="F548" i="11" a="1"/>
  <c r="F548" i="11" s="1"/>
  <c r="F549" i="11" a="1"/>
  <c r="F549" i="11" s="1"/>
  <c r="F550" i="11" a="1"/>
  <c r="F550" i="11" s="1"/>
  <c r="I550" i="11" s="1"/>
  <c r="F551" i="11" a="1"/>
  <c r="F551" i="11" s="1"/>
  <c r="I551" i="11" s="1"/>
  <c r="F552" i="11" a="1"/>
  <c r="F552" i="11" s="1"/>
  <c r="I552" i="11" s="1"/>
  <c r="F553" i="11" a="1"/>
  <c r="F553" i="11" s="1"/>
  <c r="F554" i="11" a="1"/>
  <c r="F554" i="11" s="1"/>
  <c r="I554" i="11" s="1"/>
  <c r="F555" i="11" a="1"/>
  <c r="F555" i="11" s="1"/>
  <c r="F556" i="11" a="1"/>
  <c r="F556" i="11" s="1"/>
  <c r="I556" i="11" s="1"/>
  <c r="F557" i="11" a="1"/>
  <c r="F557" i="11"/>
  <c r="I557" i="11" s="1"/>
  <c r="F558" i="11" a="1"/>
  <c r="F558" i="11" s="1"/>
  <c r="I558" i="11" s="1"/>
  <c r="F559" i="11" a="1"/>
  <c r="F559" i="11" s="1"/>
  <c r="I559" i="11" s="1"/>
  <c r="F560" i="11" a="1"/>
  <c r="F560" i="11" s="1"/>
  <c r="I560" i="11" s="1"/>
  <c r="F561" i="11" a="1"/>
  <c r="F561" i="11" s="1"/>
  <c r="I561" i="11" s="1"/>
  <c r="F562" i="11" a="1"/>
  <c r="F562" i="11" s="1"/>
  <c r="I562" i="11" s="1"/>
  <c r="F563" i="11" a="1"/>
  <c r="F563" i="11" s="1"/>
  <c r="F564" i="11" a="1"/>
  <c r="F564" i="11" s="1"/>
  <c r="I564" i="11" s="1"/>
  <c r="F565" i="11" a="1"/>
  <c r="F565" i="11" s="1"/>
  <c r="I565" i="11" s="1"/>
  <c r="F566" i="11" a="1"/>
  <c r="F566" i="11" s="1"/>
  <c r="F567" i="11" a="1"/>
  <c r="F567" i="11" s="1"/>
  <c r="F568" i="11" a="1"/>
  <c r="F568" i="11" s="1"/>
  <c r="F569" i="11" a="1"/>
  <c r="F569" i="11" s="1"/>
  <c r="I569" i="11" s="1"/>
  <c r="F570" i="11" a="1"/>
  <c r="F570" i="11" s="1"/>
  <c r="I570" i="11" s="1"/>
  <c r="F571" i="11" a="1"/>
  <c r="F571" i="11" s="1"/>
  <c r="I571" i="11" s="1"/>
  <c r="F572" i="11" a="1"/>
  <c r="F572" i="11" s="1"/>
  <c r="I572" i="11" s="1"/>
  <c r="F573" i="11" a="1"/>
  <c r="F573" i="11" s="1"/>
  <c r="I573" i="11" s="1"/>
  <c r="F574" i="11" a="1"/>
  <c r="F574" i="11" s="1"/>
  <c r="I574" i="11" s="1"/>
  <c r="F575" i="11" a="1"/>
  <c r="F575" i="11" s="1"/>
  <c r="I575" i="11" s="1"/>
  <c r="F576" i="11" a="1"/>
  <c r="F576" i="11" s="1"/>
  <c r="I576" i="11" s="1"/>
  <c r="F577" i="11" a="1"/>
  <c r="F577" i="11" s="1"/>
  <c r="I577" i="11" s="1"/>
  <c r="F578" i="11" a="1"/>
  <c r="F578" i="11" s="1"/>
  <c r="I578" i="11" s="1"/>
  <c r="F579" i="11" a="1"/>
  <c r="F579" i="11" s="1"/>
  <c r="I579" i="11" s="1"/>
  <c r="F580" i="11" a="1"/>
  <c r="F580" i="11" s="1"/>
  <c r="I580" i="11" s="1"/>
  <c r="F581" i="11" a="1"/>
  <c r="F581" i="11" s="1"/>
  <c r="I581" i="11" s="1"/>
  <c r="F582" i="11" a="1"/>
  <c r="F582" i="11" s="1"/>
  <c r="I582" i="11" s="1"/>
  <c r="F583" i="11" a="1"/>
  <c r="F583" i="11" s="1"/>
  <c r="I583" i="11" s="1"/>
  <c r="F584" i="11" a="1"/>
  <c r="F584" i="11" s="1"/>
  <c r="I584" i="11" s="1"/>
  <c r="F585" i="11" a="1"/>
  <c r="F585" i="11" s="1"/>
  <c r="I585" i="11" s="1"/>
  <c r="F586" i="11" a="1"/>
  <c r="F586" i="11" s="1"/>
  <c r="F587" i="11" a="1"/>
  <c r="F587" i="11" s="1"/>
  <c r="I587" i="11" s="1"/>
  <c r="F588" i="11" a="1"/>
  <c r="F588" i="11" s="1"/>
  <c r="I588" i="11" s="1"/>
  <c r="F589" i="11" a="1"/>
  <c r="F589" i="11" s="1"/>
  <c r="I589" i="11" s="1"/>
  <c r="F590" i="11" a="1"/>
  <c r="F590" i="11" s="1"/>
  <c r="F591" i="11" a="1"/>
  <c r="F591" i="11" s="1"/>
  <c r="I591" i="11" s="1"/>
  <c r="F592" i="11" a="1"/>
  <c r="F592" i="11" s="1"/>
  <c r="I592" i="11" s="1"/>
  <c r="F593" i="11" a="1"/>
  <c r="F593" i="11" s="1"/>
  <c r="F594" i="11" a="1"/>
  <c r="F594" i="11" s="1"/>
  <c r="F595" i="11" a="1"/>
  <c r="F595" i="11" s="1"/>
  <c r="I595" i="11" s="1"/>
  <c r="F596" i="11" a="1"/>
  <c r="F596" i="11" s="1"/>
  <c r="I596" i="11" s="1"/>
  <c r="F597" i="11" a="1"/>
  <c r="F597" i="11" s="1"/>
  <c r="I597" i="11" s="1"/>
  <c r="F598" i="11" a="1"/>
  <c r="F598" i="11" s="1"/>
  <c r="I598" i="11" s="1"/>
  <c r="F599" i="11" a="1"/>
  <c r="F599" i="11" s="1"/>
  <c r="I599" i="11" s="1"/>
  <c r="F600" i="11" a="1"/>
  <c r="F600" i="11" s="1"/>
  <c r="I600" i="11" s="1"/>
  <c r="F601" i="11" a="1"/>
  <c r="F601" i="11" s="1"/>
  <c r="I601" i="11" s="1"/>
  <c r="F602" i="11" a="1"/>
  <c r="F602" i="11" s="1"/>
  <c r="I602" i="11" s="1"/>
  <c r="F603" i="11" a="1"/>
  <c r="F603" i="11" s="1"/>
  <c r="I603" i="11" s="1"/>
  <c r="F604" i="11" a="1"/>
  <c r="F604" i="11" s="1"/>
  <c r="I604" i="11" s="1"/>
  <c r="F605" i="11" a="1"/>
  <c r="F605" i="11" s="1"/>
  <c r="I605" i="11" s="1"/>
  <c r="F606" i="11" a="1"/>
  <c r="F606" i="11" s="1"/>
  <c r="I606" i="11" s="1"/>
  <c r="F607" i="11" a="1"/>
  <c r="F607" i="11" s="1"/>
  <c r="I607" i="11" s="1"/>
  <c r="F608" i="11" a="1"/>
  <c r="F608" i="11" s="1"/>
  <c r="I608" i="11" s="1"/>
  <c r="F609" i="11" a="1"/>
  <c r="F609" i="11" s="1"/>
  <c r="I609" i="11" s="1"/>
  <c r="F610" i="11" a="1"/>
  <c r="F610" i="11" s="1"/>
  <c r="I610" i="11" s="1"/>
  <c r="F611" i="11" a="1"/>
  <c r="F611" i="11" s="1"/>
  <c r="I611" i="11" s="1"/>
  <c r="F612" i="11" a="1"/>
  <c r="F612" i="11" s="1"/>
  <c r="I612" i="11" s="1"/>
  <c r="F613" i="11" a="1"/>
  <c r="F613" i="11" s="1"/>
  <c r="I613" i="11" s="1"/>
  <c r="F614" i="11" a="1"/>
  <c r="F614" i="11" s="1"/>
  <c r="I614" i="11" s="1"/>
  <c r="F615" i="11" a="1"/>
  <c r="F615" i="11" s="1"/>
  <c r="I615" i="11" s="1"/>
  <c r="F616" i="11" a="1"/>
  <c r="F616" i="11" s="1"/>
  <c r="I616" i="11" s="1"/>
  <c r="F617" i="11" a="1"/>
  <c r="F617" i="11" s="1"/>
  <c r="I617" i="11" s="1"/>
  <c r="F618" i="11" a="1"/>
  <c r="F618" i="11" s="1"/>
  <c r="I618" i="11" s="1"/>
  <c r="F619" i="11" a="1"/>
  <c r="F619" i="11" s="1"/>
  <c r="I619" i="11" s="1"/>
  <c r="F620" i="11" a="1"/>
  <c r="F620" i="11" s="1"/>
  <c r="I620" i="11" s="1"/>
  <c r="F621" i="11" a="1"/>
  <c r="F621" i="11" s="1"/>
  <c r="I621" i="11" s="1"/>
  <c r="F622" i="11" a="1"/>
  <c r="F622" i="11" s="1"/>
  <c r="F623" i="11" a="1"/>
  <c r="F623" i="11" s="1"/>
  <c r="I623" i="11" s="1"/>
  <c r="F624" i="11" a="1"/>
  <c r="F624" i="11" s="1"/>
  <c r="I624" i="11" s="1"/>
  <c r="F625" i="11" a="1"/>
  <c r="F625" i="11" s="1"/>
  <c r="I625" i="11" s="1"/>
  <c r="F626" i="11" a="1"/>
  <c r="F626" i="11" s="1"/>
  <c r="I626" i="11" s="1"/>
  <c r="F627" i="11" a="1"/>
  <c r="F627" i="11" s="1"/>
  <c r="I627" i="11" s="1"/>
  <c r="F628" i="11" a="1"/>
  <c r="F628" i="11" s="1"/>
  <c r="F629" i="11" a="1"/>
  <c r="F629" i="11" s="1"/>
  <c r="F630" i="11" a="1"/>
  <c r="F630" i="11" s="1"/>
  <c r="F631" i="11" a="1"/>
  <c r="F631" i="11" s="1"/>
  <c r="I631" i="11" s="1"/>
  <c r="F632" i="11" a="1"/>
  <c r="F632" i="11" s="1"/>
  <c r="I632" i="11" s="1"/>
  <c r="F633" i="11" a="1"/>
  <c r="F633" i="11" s="1"/>
  <c r="I633" i="11" s="1"/>
  <c r="F634" i="11" a="1"/>
  <c r="F634" i="11" s="1"/>
  <c r="I634" i="11" s="1"/>
  <c r="F635" i="11" a="1"/>
  <c r="F635" i="11" s="1"/>
  <c r="I635" i="11" s="1"/>
  <c r="F636" i="11" a="1"/>
  <c r="F636" i="11" s="1"/>
  <c r="I636" i="11" s="1"/>
  <c r="F637" i="11" a="1"/>
  <c r="F637" i="11" s="1"/>
  <c r="I637" i="11" s="1"/>
  <c r="F638" i="11" a="1"/>
  <c r="F638" i="11" s="1"/>
  <c r="I638" i="11" s="1"/>
  <c r="F639" i="11" a="1"/>
  <c r="F639" i="11" s="1"/>
  <c r="I639" i="11" s="1"/>
  <c r="F640" i="11" a="1"/>
  <c r="F640" i="11" s="1"/>
  <c r="F641" i="11" a="1"/>
  <c r="F641" i="11" s="1"/>
  <c r="F642" i="11" a="1"/>
  <c r="F642" i="11" s="1"/>
  <c r="I642" i="11" s="1"/>
  <c r="F643" i="11" a="1"/>
  <c r="F643" i="11" s="1"/>
  <c r="I643" i="11" s="1"/>
  <c r="F644" i="11" a="1"/>
  <c r="F644" i="11" s="1"/>
  <c r="I644" i="11" s="1"/>
  <c r="F645" i="11" a="1"/>
  <c r="F645" i="11" s="1"/>
  <c r="I645" i="11" s="1"/>
  <c r="F646" i="11" a="1"/>
  <c r="F646" i="11" s="1"/>
  <c r="I646" i="11" s="1"/>
  <c r="F647" i="11" a="1"/>
  <c r="F647" i="11" s="1"/>
  <c r="I647" i="11" s="1"/>
  <c r="F648" i="11" a="1"/>
  <c r="F648" i="11" s="1"/>
  <c r="I648" i="11" s="1"/>
  <c r="F649" i="11" a="1"/>
  <c r="F649" i="11" s="1"/>
  <c r="I649" i="11" s="1"/>
  <c r="F650" i="11" a="1"/>
  <c r="F650" i="11" s="1"/>
  <c r="F651" i="11" a="1"/>
  <c r="F651" i="11" s="1"/>
  <c r="I651" i="11" s="1"/>
  <c r="F652" i="11" a="1"/>
  <c r="F652" i="11" s="1"/>
  <c r="I652" i="11" s="1"/>
  <c r="F653" i="11" a="1"/>
  <c r="F653" i="11" s="1"/>
  <c r="I653" i="11" s="1"/>
  <c r="F654" i="11" a="1"/>
  <c r="F654" i="11" s="1"/>
  <c r="I654" i="11" s="1"/>
  <c r="F655" i="11" a="1"/>
  <c r="F655" i="11" s="1"/>
  <c r="I655" i="11" s="1"/>
  <c r="F656" i="11" a="1"/>
  <c r="F656" i="11" s="1"/>
  <c r="I656" i="11" s="1"/>
  <c r="F657" i="11" a="1"/>
  <c r="F657" i="11" s="1"/>
  <c r="I657" i="11" s="1"/>
  <c r="F658" i="11" a="1"/>
  <c r="F658" i="11" s="1"/>
  <c r="I658" i="11" s="1"/>
  <c r="F659" i="11" a="1"/>
  <c r="F659" i="11" s="1"/>
  <c r="I659" i="11" s="1"/>
  <c r="F660" i="11" a="1"/>
  <c r="F660" i="11" s="1"/>
  <c r="F661" i="11" a="1"/>
  <c r="F661" i="11" s="1"/>
  <c r="I661" i="11" s="1"/>
  <c r="F662" i="11" a="1"/>
  <c r="F662" i="11" s="1"/>
  <c r="I662" i="11" s="1"/>
  <c r="F663" i="11" a="1"/>
  <c r="F663" i="11" s="1"/>
  <c r="I663" i="11" s="1"/>
  <c r="F664" i="11" a="1"/>
  <c r="F664" i="11" s="1"/>
  <c r="I664" i="11" s="1"/>
  <c r="F665" i="11" a="1"/>
  <c r="F665" i="11" s="1"/>
  <c r="I665" i="11" s="1"/>
  <c r="F666" i="11" a="1"/>
  <c r="F666" i="11" s="1"/>
  <c r="I666" i="11" s="1"/>
  <c r="F667" i="11" a="1"/>
  <c r="F667" i="11" s="1"/>
  <c r="I667" i="11" s="1"/>
  <c r="F668" i="11" a="1"/>
  <c r="F668" i="11" s="1"/>
  <c r="I668" i="11" s="1"/>
  <c r="F669" i="11" a="1"/>
  <c r="F669" i="11" s="1"/>
  <c r="I669" i="11" s="1"/>
  <c r="F670" i="11" a="1"/>
  <c r="F670" i="11" s="1"/>
  <c r="I670" i="11" s="1"/>
  <c r="F671" i="11" a="1"/>
  <c r="F671" i="11" s="1"/>
  <c r="I671" i="11" s="1"/>
  <c r="F672" i="11" a="1"/>
  <c r="F672" i="11" s="1"/>
  <c r="I672" i="11" s="1"/>
  <c r="F673" i="11" a="1"/>
  <c r="F673" i="11" s="1"/>
  <c r="I673" i="11" s="1"/>
  <c r="F674" i="11" a="1"/>
  <c r="F674" i="11" s="1"/>
  <c r="I674" i="11" s="1"/>
  <c r="F675" i="11" a="1"/>
  <c r="F675" i="11" s="1"/>
  <c r="I675" i="11" s="1"/>
  <c r="F676" i="11" a="1"/>
  <c r="F676" i="11" s="1"/>
  <c r="I676" i="11" s="1"/>
  <c r="F677" i="11" a="1"/>
  <c r="F677" i="11" s="1"/>
  <c r="I677" i="11" s="1"/>
  <c r="F678" i="11" a="1"/>
  <c r="F678" i="11" s="1"/>
  <c r="I678" i="11" s="1"/>
  <c r="F679" i="11" a="1"/>
  <c r="F679" i="11" s="1"/>
  <c r="I679" i="11" s="1"/>
  <c r="F680" i="11" a="1"/>
  <c r="F680" i="11" s="1"/>
  <c r="I680" i="11" s="1"/>
  <c r="F681" i="11" a="1"/>
  <c r="F681" i="11" s="1"/>
  <c r="I681" i="11" s="1"/>
  <c r="F682" i="11" a="1"/>
  <c r="F682" i="11" s="1"/>
  <c r="F683" i="11" a="1"/>
  <c r="F683" i="11" s="1"/>
  <c r="F684" i="11" a="1"/>
  <c r="F684" i="11" s="1"/>
  <c r="F685" i="11" a="1"/>
  <c r="F685" i="11" s="1"/>
  <c r="I685" i="11" s="1"/>
  <c r="F686" i="11" a="1"/>
  <c r="F686" i="11" s="1"/>
  <c r="I686" i="11" s="1"/>
  <c r="F687" i="11" a="1"/>
  <c r="F687" i="11" s="1"/>
  <c r="I687" i="11" s="1"/>
  <c r="F688" i="11" a="1"/>
  <c r="F688" i="11" s="1"/>
  <c r="I688" i="11" s="1"/>
  <c r="F689" i="11" a="1"/>
  <c r="F689" i="11" s="1"/>
  <c r="I689" i="11" s="1"/>
  <c r="F690" i="11" a="1"/>
  <c r="F690" i="11" s="1"/>
  <c r="I690" i="11" s="1"/>
  <c r="F691" i="11" a="1"/>
  <c r="F691" i="11" s="1"/>
  <c r="I691" i="11" s="1"/>
  <c r="F692" i="11" a="1"/>
  <c r="F692" i="11" s="1"/>
  <c r="F693" i="11" a="1"/>
  <c r="F693" i="11" s="1"/>
  <c r="I693" i="11" s="1"/>
  <c r="F694" i="11" a="1"/>
  <c r="F694" i="11" s="1"/>
  <c r="I694" i="11" s="1"/>
  <c r="F695" i="11" a="1"/>
  <c r="F695" i="11" s="1"/>
  <c r="I695" i="11" s="1"/>
  <c r="F696" i="11" a="1"/>
  <c r="F696" i="11" s="1"/>
  <c r="I696" i="11" s="1"/>
  <c r="F697" i="11" a="1"/>
  <c r="F697" i="11" s="1"/>
  <c r="I697" i="11" s="1"/>
  <c r="F698" i="11" a="1"/>
  <c r="F698" i="11"/>
  <c r="I698" i="11" s="1"/>
  <c r="F699" i="11" a="1"/>
  <c r="F699" i="11" s="1"/>
  <c r="I699" i="11" s="1"/>
  <c r="F700" i="11" a="1"/>
  <c r="F700" i="11" s="1"/>
  <c r="I700" i="11" s="1"/>
  <c r="F701" i="11" a="1"/>
  <c r="F701" i="11" s="1"/>
  <c r="I701" i="11" s="1"/>
  <c r="F702" i="11" a="1"/>
  <c r="F702" i="11" s="1"/>
  <c r="I702" i="11" s="1"/>
  <c r="F703" i="11" a="1"/>
  <c r="F703" i="11" s="1"/>
  <c r="I703" i="11" s="1"/>
  <c r="F704" i="11" a="1"/>
  <c r="F704" i="11" s="1"/>
  <c r="I704" i="11" s="1"/>
  <c r="F705" i="11" a="1"/>
  <c r="F705" i="11" s="1"/>
  <c r="I705" i="11" s="1"/>
  <c r="F706" i="11" a="1"/>
  <c r="F706" i="11" s="1"/>
  <c r="I706" i="11" s="1"/>
  <c r="F707" i="11" a="1"/>
  <c r="F707" i="11" s="1"/>
  <c r="F708" i="11" a="1"/>
  <c r="F708" i="11" s="1"/>
  <c r="I708" i="11" s="1"/>
  <c r="F709" i="11" a="1"/>
  <c r="F709" i="11" s="1"/>
  <c r="I709" i="11" s="1"/>
  <c r="F710" i="11" a="1"/>
  <c r="F710" i="11" s="1"/>
  <c r="I710" i="11" s="1"/>
  <c r="F711" i="11" a="1"/>
  <c r="F711" i="11" s="1"/>
  <c r="I711" i="11" s="1"/>
  <c r="F712" i="11" a="1"/>
  <c r="F712" i="11" s="1"/>
  <c r="I712" i="11" s="1"/>
  <c r="F713" i="11" a="1"/>
  <c r="F713" i="11" s="1"/>
  <c r="I713" i="11" s="1"/>
  <c r="F714" i="11" a="1"/>
  <c r="F714" i="11" s="1"/>
  <c r="I714" i="11" s="1"/>
  <c r="F715" i="11" a="1"/>
  <c r="F715" i="11" s="1"/>
  <c r="I715" i="11" s="1"/>
  <c r="F716" i="11" a="1"/>
  <c r="F716" i="11"/>
  <c r="I716" i="11" s="1"/>
  <c r="F717" i="11" a="1"/>
  <c r="F717" i="11" s="1"/>
  <c r="I717" i="11" s="1"/>
  <c r="F718" i="11" a="1"/>
  <c r="F718" i="11" s="1"/>
  <c r="I718" i="11" s="1"/>
  <c r="F719" i="11" a="1"/>
  <c r="F719" i="11" s="1"/>
  <c r="I719" i="11" s="1"/>
  <c r="F720" i="11" a="1"/>
  <c r="F720" i="11" s="1"/>
  <c r="I720" i="11" s="1"/>
  <c r="F721" i="11" a="1"/>
  <c r="F721" i="11" s="1"/>
  <c r="I721" i="11" s="1"/>
  <c r="F722" i="11" a="1"/>
  <c r="F722" i="11" s="1"/>
  <c r="F723" i="11" a="1"/>
  <c r="F723" i="11" s="1"/>
  <c r="I723" i="11" s="1"/>
  <c r="F724" i="11" a="1"/>
  <c r="F724" i="11" s="1"/>
  <c r="I724" i="11" s="1"/>
  <c r="F725" i="11" a="1"/>
  <c r="F725" i="11" s="1"/>
  <c r="F726" i="11" a="1"/>
  <c r="F726" i="11" s="1"/>
  <c r="I726" i="11" s="1"/>
  <c r="F727" i="11" a="1"/>
  <c r="F727" i="11"/>
  <c r="I727" i="11" s="1"/>
  <c r="F728" i="11" a="1"/>
  <c r="F728" i="11" s="1"/>
  <c r="I728" i="11" s="1"/>
  <c r="F729" i="11" a="1"/>
  <c r="F729" i="11" s="1"/>
  <c r="I729" i="11" s="1"/>
  <c r="F730" i="11" a="1"/>
  <c r="F730" i="11" s="1"/>
  <c r="F731" i="11" a="1"/>
  <c r="F731" i="11" s="1"/>
  <c r="I731" i="11" s="1"/>
  <c r="F732" i="11" a="1"/>
  <c r="F732" i="11" s="1"/>
  <c r="I732" i="11" s="1"/>
  <c r="F733" i="11" a="1"/>
  <c r="F733" i="11" s="1"/>
  <c r="I733" i="11" s="1"/>
  <c r="F734" i="11" a="1"/>
  <c r="F734" i="11" s="1"/>
  <c r="I734" i="11" s="1"/>
  <c r="F735" i="11" a="1"/>
  <c r="F735" i="11" s="1"/>
  <c r="I735" i="11" s="1"/>
  <c r="F736" i="11" a="1"/>
  <c r="F736" i="11" s="1"/>
  <c r="F737" i="11" a="1"/>
  <c r="F737" i="11" s="1"/>
  <c r="F738" i="11" a="1"/>
  <c r="F738" i="11" s="1"/>
  <c r="I738" i="11" s="1"/>
  <c r="F739" i="11" a="1"/>
  <c r="F739" i="11" s="1"/>
  <c r="I739" i="11" s="1"/>
  <c r="F740" i="11" a="1"/>
  <c r="F740" i="11" s="1"/>
  <c r="I740" i="11" s="1"/>
  <c r="F741" i="11" a="1"/>
  <c r="F741" i="11" s="1"/>
  <c r="I741" i="11" s="1"/>
  <c r="F742" i="11" a="1"/>
  <c r="F742" i="11" s="1"/>
  <c r="I742" i="11" s="1"/>
  <c r="F743" i="11" a="1"/>
  <c r="F743" i="11" s="1"/>
  <c r="I743" i="11" s="1"/>
  <c r="F744" i="11" a="1"/>
  <c r="F744" i="11" s="1"/>
  <c r="I744" i="11" s="1"/>
  <c r="F745" i="11" a="1"/>
  <c r="F745" i="11" s="1"/>
  <c r="I745" i="11" s="1"/>
  <c r="F746" i="11" a="1"/>
  <c r="F746" i="11" s="1"/>
  <c r="I746" i="11" s="1"/>
  <c r="F747" i="11" a="1"/>
  <c r="F747" i="11" s="1"/>
  <c r="I747" i="11" s="1"/>
  <c r="F748" i="11" a="1"/>
  <c r="F748" i="11" s="1"/>
  <c r="I748" i="11" s="1"/>
  <c r="F749" i="11" a="1"/>
  <c r="F749" i="11" s="1"/>
  <c r="I749" i="11" s="1"/>
  <c r="F750" i="11" a="1"/>
  <c r="F750" i="11" s="1"/>
  <c r="F751" i="11" a="1"/>
  <c r="F751" i="11" s="1"/>
  <c r="I751" i="11" s="1"/>
  <c r="F752" i="11" a="1"/>
  <c r="F752" i="11" s="1"/>
  <c r="I752" i="11" s="1"/>
  <c r="F753" i="11" a="1"/>
  <c r="F753" i="11" s="1"/>
  <c r="I753" i="11" s="1"/>
  <c r="F754" i="11" a="1"/>
  <c r="F754" i="11" s="1"/>
  <c r="I754" i="11" s="1"/>
  <c r="F755" i="11" a="1"/>
  <c r="F755" i="11" s="1"/>
  <c r="I755" i="11" s="1"/>
  <c r="F756" i="11" a="1"/>
  <c r="F756" i="11" s="1"/>
  <c r="I756" i="11" s="1"/>
  <c r="F757" i="11" a="1"/>
  <c r="F757" i="11" s="1"/>
  <c r="I757" i="11" s="1"/>
  <c r="F758" i="11" a="1"/>
  <c r="F758" i="11" s="1"/>
  <c r="I758" i="11" s="1"/>
  <c r="F759" i="11" a="1"/>
  <c r="F759" i="11" s="1"/>
  <c r="I759" i="11" s="1"/>
  <c r="F760" i="11" a="1"/>
  <c r="F760" i="11" s="1"/>
  <c r="I760" i="11" s="1"/>
  <c r="F761" i="11" a="1"/>
  <c r="F761" i="11" s="1"/>
  <c r="F762" i="11" a="1"/>
  <c r="F762" i="11" s="1"/>
  <c r="I762" i="11" s="1"/>
  <c r="F763" i="11" a="1"/>
  <c r="F763" i="11" s="1"/>
  <c r="I763" i="11" s="1"/>
  <c r="F764" i="11" a="1"/>
  <c r="F764" i="11"/>
  <c r="I764" i="11" s="1"/>
  <c r="F765" i="11" a="1"/>
  <c r="F765" i="11" s="1"/>
  <c r="I765" i="11" s="1"/>
  <c r="F766" i="11" a="1"/>
  <c r="F766" i="11" s="1"/>
  <c r="I766" i="11" s="1"/>
  <c r="F767" i="11" a="1"/>
  <c r="F767" i="11" s="1"/>
  <c r="I767" i="11" s="1"/>
  <c r="F768" i="11" a="1"/>
  <c r="F768" i="11" s="1"/>
  <c r="I768" i="11" s="1"/>
  <c r="F769" i="11" a="1"/>
  <c r="F769" i="11" s="1"/>
  <c r="I769" i="11" s="1"/>
  <c r="F770" i="11" a="1"/>
  <c r="F770" i="11" s="1"/>
  <c r="I770" i="11" s="1"/>
  <c r="F771" i="11" a="1"/>
  <c r="F771" i="11" s="1"/>
  <c r="I771" i="11" s="1"/>
  <c r="F772" i="11" a="1"/>
  <c r="F772" i="11" s="1"/>
  <c r="I772" i="11" s="1"/>
  <c r="F773" i="11" a="1"/>
  <c r="F773" i="11" s="1"/>
  <c r="F774" i="11" a="1"/>
  <c r="F774" i="11" s="1"/>
  <c r="F775" i="11" a="1"/>
  <c r="F775" i="11" s="1"/>
  <c r="F776" i="11" a="1"/>
  <c r="F776" i="11" s="1"/>
  <c r="I776" i="11" s="1"/>
  <c r="F777" i="11" a="1"/>
  <c r="F777" i="11" s="1"/>
  <c r="I777" i="11" s="1"/>
  <c r="F778" i="11" a="1"/>
  <c r="F778" i="11" s="1"/>
  <c r="I778" i="11" s="1"/>
  <c r="F779" i="11" a="1"/>
  <c r="F779" i="11" s="1"/>
  <c r="F780" i="11" a="1"/>
  <c r="F780" i="11" s="1"/>
  <c r="F781" i="11" a="1"/>
  <c r="F781" i="11" s="1"/>
  <c r="I781" i="11" s="1"/>
  <c r="F782" i="11" a="1"/>
  <c r="F782" i="11" s="1"/>
  <c r="I782" i="11" s="1"/>
  <c r="F783" i="11" a="1"/>
  <c r="F783" i="11" s="1"/>
  <c r="I783" i="11" s="1"/>
  <c r="F784" i="11" a="1"/>
  <c r="F784" i="11" s="1"/>
  <c r="I784" i="11" s="1"/>
  <c r="F785" i="11" a="1"/>
  <c r="F785" i="11" s="1"/>
  <c r="I785" i="11" s="1"/>
  <c r="F786" i="11" a="1"/>
  <c r="F786" i="11" s="1"/>
  <c r="I786" i="11" s="1"/>
  <c r="F787" i="11" a="1"/>
  <c r="F787" i="11" s="1"/>
  <c r="I787" i="11" s="1"/>
  <c r="F788" i="11" a="1"/>
  <c r="F788" i="11" s="1"/>
  <c r="I788" i="11" s="1"/>
  <c r="F789" i="11" a="1"/>
  <c r="F789" i="11" s="1"/>
  <c r="I789" i="11" s="1"/>
  <c r="F790" i="11" a="1"/>
  <c r="F790" i="11" s="1"/>
  <c r="I790" i="11" s="1"/>
  <c r="F791" i="11" a="1"/>
  <c r="F791" i="11" s="1"/>
  <c r="I791" i="11" s="1"/>
  <c r="F792" i="11" a="1"/>
  <c r="F792" i="11" s="1"/>
  <c r="I792" i="11" s="1"/>
  <c r="F793" i="11" a="1"/>
  <c r="F793" i="11" s="1"/>
  <c r="I793" i="11" s="1"/>
  <c r="F794" i="11" a="1"/>
  <c r="F794" i="11" s="1"/>
  <c r="I794" i="11" s="1"/>
  <c r="F795" i="11" a="1"/>
  <c r="F795" i="11" s="1"/>
  <c r="I795" i="11" s="1"/>
  <c r="F796" i="11" a="1"/>
  <c r="F796" i="11" s="1"/>
  <c r="I796" i="11" s="1"/>
  <c r="F797" i="11" a="1"/>
  <c r="F797" i="11" s="1"/>
  <c r="I797" i="11" s="1"/>
  <c r="F798" i="11" a="1"/>
  <c r="F798" i="11" s="1"/>
  <c r="I798" i="11" s="1"/>
  <c r="F799" i="11" a="1"/>
  <c r="F799" i="11" s="1"/>
  <c r="I799" i="11" s="1"/>
  <c r="F800" i="11" a="1"/>
  <c r="F800" i="11" s="1"/>
  <c r="I800" i="11" s="1"/>
  <c r="F801" i="11" a="1"/>
  <c r="F801" i="11" s="1"/>
  <c r="I801" i="11" s="1"/>
  <c r="F802" i="11" a="1"/>
  <c r="F802" i="11" s="1"/>
  <c r="F803" i="11" a="1"/>
  <c r="F803" i="11" s="1"/>
  <c r="I803" i="11" s="1"/>
  <c r="F804" i="11" a="1"/>
  <c r="F804" i="11" s="1"/>
  <c r="F805" i="11" a="1"/>
  <c r="F805" i="11" s="1"/>
  <c r="I805" i="11" s="1"/>
  <c r="F806" i="11" a="1"/>
  <c r="F806" i="11" s="1"/>
  <c r="I806" i="11" s="1"/>
  <c r="F807" i="11" a="1"/>
  <c r="F807" i="11" s="1"/>
  <c r="I807" i="11" s="1"/>
  <c r="F808" i="11" a="1"/>
  <c r="F808" i="11" s="1"/>
  <c r="I808" i="11" s="1"/>
  <c r="F809" i="11" a="1"/>
  <c r="F809" i="11" s="1"/>
  <c r="I809" i="11" s="1"/>
  <c r="F810" i="11" a="1"/>
  <c r="F810" i="11" s="1"/>
  <c r="I810" i="11" s="1"/>
  <c r="F811" i="11" a="1"/>
  <c r="F811" i="11"/>
  <c r="I811" i="11" s="1"/>
  <c r="F812" i="11" a="1"/>
  <c r="F812" i="11" s="1"/>
  <c r="I812" i="11" s="1"/>
  <c r="F813" i="11" a="1"/>
  <c r="F813" i="11" s="1"/>
  <c r="I813" i="11" s="1"/>
  <c r="F814" i="11" a="1"/>
  <c r="F814" i="11" s="1"/>
  <c r="I814" i="11" s="1"/>
  <c r="F815" i="11" a="1"/>
  <c r="F815" i="11" s="1"/>
  <c r="I815" i="11" s="1"/>
  <c r="F816" i="11" a="1"/>
  <c r="F816" i="11" s="1"/>
  <c r="I816" i="11" s="1"/>
  <c r="F817" i="11" a="1"/>
  <c r="F817" i="11" s="1"/>
  <c r="I817" i="11" s="1"/>
  <c r="F818" i="11" a="1"/>
  <c r="F818" i="11" s="1"/>
  <c r="I818" i="11" s="1"/>
  <c r="F819" i="11" a="1"/>
  <c r="F819" i="11" s="1"/>
  <c r="I819" i="11" s="1"/>
  <c r="F820" i="11" a="1"/>
  <c r="F820" i="11" s="1"/>
  <c r="F821" i="11" a="1"/>
  <c r="F821" i="11" s="1"/>
  <c r="I821" i="11" s="1"/>
  <c r="F822" i="11" a="1"/>
  <c r="F822" i="11" s="1"/>
  <c r="I822" i="11" s="1"/>
  <c r="F823" i="11" a="1"/>
  <c r="F823" i="11" s="1"/>
  <c r="I823" i="11" s="1"/>
  <c r="F824" i="11" a="1"/>
  <c r="F824" i="11" s="1"/>
  <c r="I824" i="11" s="1"/>
  <c r="F825" i="11" a="1"/>
  <c r="F825" i="11" s="1"/>
  <c r="I825" i="11" s="1"/>
  <c r="F826" i="11" a="1"/>
  <c r="F826" i="11" s="1"/>
  <c r="I826" i="11" s="1"/>
  <c r="F827" i="11" a="1"/>
  <c r="F827" i="11" s="1"/>
  <c r="I827" i="11" s="1"/>
  <c r="F828" i="11" a="1"/>
  <c r="F828" i="11" s="1"/>
  <c r="I828" i="11" s="1"/>
  <c r="F829" i="11" a="1"/>
  <c r="F829" i="11" s="1"/>
  <c r="I829" i="11" s="1"/>
  <c r="F830" i="11" a="1"/>
  <c r="F830" i="11" s="1"/>
  <c r="I830" i="11" s="1"/>
  <c r="F831" i="11" a="1"/>
  <c r="F831" i="11" s="1"/>
  <c r="I831" i="11" s="1"/>
  <c r="F832" i="11" a="1"/>
  <c r="F832" i="11" s="1"/>
  <c r="F833" i="11" a="1"/>
  <c r="F833" i="11" s="1"/>
  <c r="F834" i="11" a="1"/>
  <c r="F834" i="11" s="1"/>
  <c r="F835" i="11" a="1"/>
  <c r="F835" i="11"/>
  <c r="F836" i="11" a="1"/>
  <c r="F836" i="11" s="1"/>
  <c r="I836" i="11" s="1"/>
  <c r="F837" i="11" a="1"/>
  <c r="F837" i="11" s="1"/>
  <c r="I837" i="11" s="1"/>
  <c r="F838" i="11" a="1"/>
  <c r="F838" i="11" s="1"/>
  <c r="I838" i="11" s="1"/>
  <c r="F839" i="11" a="1"/>
  <c r="F839" i="11" s="1"/>
  <c r="I839" i="11" s="1"/>
  <c r="F840" i="11" a="1"/>
  <c r="F840" i="11" s="1"/>
  <c r="I840" i="11" s="1"/>
  <c r="F841" i="11" a="1"/>
  <c r="F841" i="11" s="1"/>
  <c r="I841" i="11" s="1"/>
  <c r="F842" i="11" a="1"/>
  <c r="F842" i="11" s="1"/>
  <c r="I842" i="11" s="1"/>
  <c r="F843" i="11" a="1"/>
  <c r="F843" i="11" s="1"/>
  <c r="F844" i="11" a="1"/>
  <c r="F844" i="11" s="1"/>
  <c r="F845" i="11" a="1"/>
  <c r="F845" i="11" s="1"/>
  <c r="I845" i="11" s="1"/>
  <c r="F846" i="11" a="1"/>
  <c r="F846" i="11"/>
  <c r="I846" i="11" s="1"/>
  <c r="F847" i="11" a="1"/>
  <c r="F847" i="11" s="1"/>
  <c r="I847" i="11" s="1"/>
  <c r="F848" i="11" a="1"/>
  <c r="F848" i="11" s="1"/>
  <c r="I848" i="11" s="1"/>
  <c r="F849" i="11" a="1"/>
  <c r="F849" i="11" s="1"/>
  <c r="I849" i="11" s="1"/>
  <c r="F850" i="11" a="1"/>
  <c r="F850" i="11" s="1"/>
  <c r="I850" i="11" s="1"/>
  <c r="F851" i="11" a="1"/>
  <c r="F851" i="11" s="1"/>
  <c r="I851" i="11" s="1"/>
  <c r="F852" i="11" a="1"/>
  <c r="F852" i="11" s="1"/>
  <c r="I852" i="11" s="1"/>
  <c r="F853" i="11" a="1"/>
  <c r="F853" i="11" s="1"/>
  <c r="I853" i="11" s="1"/>
  <c r="F854" i="11" a="1"/>
  <c r="F854" i="11" s="1"/>
  <c r="I854" i="11" s="1"/>
  <c r="F855" i="11" a="1"/>
  <c r="F855" i="11" s="1"/>
  <c r="I855" i="11" s="1"/>
  <c r="F856" i="11" a="1"/>
  <c r="F856" i="11" s="1"/>
  <c r="I856" i="11" s="1"/>
  <c r="F857" i="11" a="1"/>
  <c r="F857" i="11" s="1"/>
  <c r="I857" i="11" s="1"/>
  <c r="F858" i="11" a="1"/>
  <c r="F858" i="11" s="1"/>
  <c r="I858" i="11" s="1"/>
  <c r="F859" i="11" a="1"/>
  <c r="F859" i="11" s="1"/>
  <c r="I859" i="11" s="1"/>
  <c r="F860" i="11" a="1"/>
  <c r="F860" i="11" s="1"/>
  <c r="I860" i="11" s="1"/>
  <c r="F861" i="11" a="1"/>
  <c r="F861" i="11" s="1"/>
  <c r="I861" i="11" s="1"/>
  <c r="F862" i="11" a="1"/>
  <c r="F862" i="11" s="1"/>
  <c r="I862" i="11" s="1"/>
  <c r="F863" i="11" a="1"/>
  <c r="F863" i="11" s="1"/>
  <c r="I863" i="11" s="1"/>
  <c r="F864" i="11" a="1"/>
  <c r="F864" i="11" s="1"/>
  <c r="I864" i="11" s="1"/>
  <c r="F865" i="11" a="1"/>
  <c r="F865" i="11" s="1"/>
  <c r="I865" i="11" s="1"/>
  <c r="F866" i="11" a="1"/>
  <c r="F866" i="11" s="1"/>
  <c r="F867" i="11" a="1"/>
  <c r="F867" i="11" s="1"/>
  <c r="I867" i="11" s="1"/>
  <c r="F868" i="11" a="1"/>
  <c r="F868" i="11" s="1"/>
  <c r="I868" i="11" s="1"/>
  <c r="F869" i="11" a="1"/>
  <c r="F869" i="11"/>
  <c r="I869" i="11" s="1"/>
  <c r="F870" i="11" a="1"/>
  <c r="F870" i="11" s="1"/>
  <c r="I870" i="11" s="1"/>
  <c r="F871" i="11" a="1"/>
  <c r="F871" i="11" s="1"/>
  <c r="I871" i="11" s="1"/>
  <c r="F872" i="11" a="1"/>
  <c r="F872" i="11" s="1"/>
  <c r="I872" i="11" s="1"/>
  <c r="F873" i="11" a="1"/>
  <c r="F873" i="11" s="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4" i="11"/>
  <c r="H25" i="11"/>
  <c r="H27" i="11"/>
  <c r="H28" i="11"/>
  <c r="H29" i="11"/>
  <c r="H30" i="11"/>
  <c r="H31" i="11"/>
  <c r="H32" i="11"/>
  <c r="H33" i="11"/>
  <c r="H35" i="11"/>
  <c r="H36" i="11"/>
  <c r="H37" i="11"/>
  <c r="H38" i="11"/>
  <c r="H39" i="11"/>
  <c r="H40" i="11"/>
  <c r="H42" i="11"/>
  <c r="H43" i="11"/>
  <c r="H44" i="11"/>
  <c r="H45" i="11"/>
  <c r="H47" i="11"/>
  <c r="H48" i="11"/>
  <c r="H49" i="11"/>
  <c r="H50" i="11"/>
  <c r="H51" i="11"/>
  <c r="H52" i="11"/>
  <c r="H53" i="11"/>
  <c r="H54" i="11"/>
  <c r="H55" i="11"/>
  <c r="H57" i="11"/>
  <c r="H58" i="11"/>
  <c r="H61" i="11"/>
  <c r="H62" i="11"/>
  <c r="H64" i="11"/>
  <c r="H65" i="11"/>
  <c r="H66" i="11"/>
  <c r="H67" i="11"/>
  <c r="H68" i="11"/>
  <c r="H70" i="11"/>
  <c r="H71" i="11"/>
  <c r="H73" i="11"/>
  <c r="H74" i="11"/>
  <c r="H75" i="11"/>
  <c r="H76" i="11"/>
  <c r="H77" i="11"/>
  <c r="H79" i="11"/>
  <c r="H80" i="11"/>
  <c r="H81" i="11"/>
  <c r="H82" i="11"/>
  <c r="H83" i="11"/>
  <c r="H84" i="11"/>
  <c r="H85" i="11"/>
  <c r="H86" i="11"/>
  <c r="H88" i="11"/>
  <c r="H89" i="11"/>
  <c r="H90" i="11"/>
  <c r="H91" i="11"/>
  <c r="H92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8" i="11"/>
  <c r="H109" i="11"/>
  <c r="H110" i="11"/>
  <c r="H111" i="11"/>
  <c r="H112" i="11"/>
  <c r="H113" i="11"/>
  <c r="H114" i="11"/>
  <c r="H115" i="11"/>
  <c r="H116" i="11"/>
  <c r="H117" i="11"/>
  <c r="H120" i="11"/>
  <c r="H121" i="11"/>
  <c r="H122" i="11"/>
  <c r="H123" i="11"/>
  <c r="H125" i="11"/>
  <c r="H126" i="11"/>
  <c r="H127" i="11"/>
  <c r="H128" i="11"/>
  <c r="H129" i="11"/>
  <c r="H130" i="11"/>
  <c r="H133" i="11"/>
  <c r="H134" i="11"/>
  <c r="H135" i="11"/>
  <c r="H136" i="11"/>
  <c r="H137" i="11"/>
  <c r="H138" i="11"/>
  <c r="H139" i="11"/>
  <c r="H140" i="11"/>
  <c r="H141" i="11"/>
  <c r="H143" i="11"/>
  <c r="H144" i="11"/>
  <c r="H145" i="11"/>
  <c r="H146" i="11"/>
  <c r="H147" i="11"/>
  <c r="H148" i="11"/>
  <c r="H149" i="11"/>
  <c r="H151" i="11"/>
  <c r="H153" i="11"/>
  <c r="H154" i="11"/>
  <c r="H155" i="11"/>
  <c r="H156" i="11"/>
  <c r="H157" i="11"/>
  <c r="H158" i="11"/>
  <c r="H160" i="11"/>
  <c r="H161" i="11"/>
  <c r="H162" i="11"/>
  <c r="H163" i="11"/>
  <c r="H165" i="11"/>
  <c r="H166" i="11"/>
  <c r="H167" i="11"/>
  <c r="H168" i="11"/>
  <c r="H169" i="11"/>
  <c r="H170" i="11"/>
  <c r="H171" i="11"/>
  <c r="H173" i="11"/>
  <c r="H175" i="11"/>
  <c r="H176" i="11"/>
  <c r="H177" i="11"/>
  <c r="H179" i="11"/>
  <c r="H180" i="11"/>
  <c r="H181" i="11"/>
  <c r="H182" i="11"/>
  <c r="H183" i="11"/>
  <c r="H184" i="11"/>
  <c r="H185" i="11"/>
  <c r="H186" i="11"/>
  <c r="H187" i="11"/>
  <c r="H188" i="11"/>
  <c r="H189" i="11"/>
  <c r="H192" i="11"/>
  <c r="H193" i="11"/>
  <c r="H194" i="11"/>
  <c r="H195" i="11"/>
  <c r="H196" i="11"/>
  <c r="H197" i="11"/>
  <c r="H198" i="11"/>
  <c r="H199" i="11"/>
  <c r="H200" i="11"/>
  <c r="H202" i="11"/>
  <c r="H204" i="11"/>
  <c r="H205" i="11"/>
  <c r="H207" i="11"/>
  <c r="H208" i="11"/>
  <c r="H209" i="11"/>
  <c r="H210" i="11"/>
  <c r="H211" i="11"/>
  <c r="H215" i="11"/>
  <c r="H216" i="11"/>
  <c r="H217" i="11"/>
  <c r="H218" i="11"/>
  <c r="H219" i="11"/>
  <c r="H220" i="11"/>
  <c r="H221" i="11"/>
  <c r="H223" i="11"/>
  <c r="H224" i="11"/>
  <c r="H225" i="11"/>
  <c r="H227" i="11"/>
  <c r="H228" i="11"/>
  <c r="H229" i="11"/>
  <c r="H230" i="11"/>
  <c r="H234" i="11"/>
  <c r="H235" i="11"/>
  <c r="H236" i="11"/>
  <c r="H238" i="11"/>
  <c r="H240" i="11"/>
  <c r="H241" i="11"/>
  <c r="H242" i="11"/>
  <c r="H243" i="11"/>
  <c r="H244" i="11"/>
  <c r="H245" i="11"/>
  <c r="H246" i="11"/>
  <c r="H247" i="11"/>
  <c r="H248" i="11"/>
  <c r="H251" i="11"/>
  <c r="H252" i="11"/>
  <c r="H253" i="11"/>
  <c r="H254" i="11"/>
  <c r="H255" i="11"/>
  <c r="H256" i="11"/>
  <c r="H257" i="11"/>
  <c r="H258" i="11"/>
  <c r="H259" i="11"/>
  <c r="H260" i="11"/>
  <c r="H261" i="11"/>
  <c r="H263" i="11"/>
  <c r="H264" i="11"/>
  <c r="H265" i="11"/>
  <c r="H266" i="11"/>
  <c r="H267" i="11"/>
  <c r="H268" i="11"/>
  <c r="H269" i="11"/>
  <c r="H270" i="11"/>
  <c r="H271" i="11"/>
  <c r="H272" i="11"/>
  <c r="H274" i="11"/>
  <c r="H277" i="11"/>
  <c r="H279" i="11"/>
  <c r="H280" i="11"/>
  <c r="H283" i="11"/>
  <c r="H284" i="11"/>
  <c r="H285" i="11"/>
  <c r="H286" i="11"/>
  <c r="H287" i="11"/>
  <c r="H288" i="11"/>
  <c r="H289" i="11"/>
  <c r="H290" i="11"/>
  <c r="H291" i="11"/>
  <c r="H293" i="11"/>
  <c r="H294" i="11"/>
  <c r="H295" i="11"/>
  <c r="H297" i="11"/>
  <c r="H298" i="11"/>
  <c r="H299" i="11"/>
  <c r="H300" i="11"/>
  <c r="H301" i="11"/>
  <c r="H302" i="11"/>
  <c r="H303" i="11"/>
  <c r="H305" i="11"/>
  <c r="H306" i="11"/>
  <c r="H307" i="11"/>
  <c r="H312" i="11"/>
  <c r="H313" i="11"/>
  <c r="H314" i="11"/>
  <c r="H315" i="11"/>
  <c r="H316" i="11"/>
  <c r="H317" i="11"/>
  <c r="H318" i="11"/>
  <c r="H319" i="11"/>
  <c r="H320" i="11"/>
  <c r="H323" i="11"/>
  <c r="H324" i="11"/>
  <c r="H325" i="11"/>
  <c r="H326" i="11"/>
  <c r="H328" i="11"/>
  <c r="H329" i="11"/>
  <c r="H330" i="11"/>
  <c r="H331" i="11"/>
  <c r="H332" i="11"/>
  <c r="H333" i="11"/>
  <c r="H337" i="11"/>
  <c r="H338" i="11"/>
  <c r="H339" i="11"/>
  <c r="H340" i="11"/>
  <c r="H341" i="11"/>
  <c r="H343" i="11"/>
  <c r="H346" i="11"/>
  <c r="H347" i="11"/>
  <c r="H349" i="11"/>
  <c r="H351" i="11"/>
  <c r="H352" i="11"/>
  <c r="H354" i="11"/>
  <c r="H355" i="11"/>
  <c r="H356" i="11"/>
  <c r="H357" i="11"/>
  <c r="H358" i="11"/>
  <c r="H359" i="11"/>
  <c r="H360" i="11"/>
  <c r="H361" i="11"/>
  <c r="H364" i="11"/>
  <c r="H365" i="11"/>
  <c r="H366" i="11"/>
  <c r="H367" i="11"/>
  <c r="H368" i="11"/>
  <c r="H369" i="11"/>
  <c r="H371" i="11"/>
  <c r="H372" i="11"/>
  <c r="H373" i="11"/>
  <c r="H374" i="11"/>
  <c r="H375" i="11"/>
  <c r="H377" i="11"/>
  <c r="H378" i="11"/>
  <c r="H379" i="11"/>
  <c r="H380" i="11"/>
  <c r="H381" i="11"/>
  <c r="H382" i="11"/>
  <c r="H383" i="11"/>
  <c r="H385" i="11"/>
  <c r="H386" i="11"/>
  <c r="H387" i="11"/>
  <c r="H388" i="11"/>
  <c r="H391" i="11"/>
  <c r="H392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8" i="11"/>
  <c r="H409" i="11"/>
  <c r="H410" i="11"/>
  <c r="H411" i="11"/>
  <c r="H412" i="11"/>
  <c r="H413" i="11"/>
  <c r="H414" i="11"/>
  <c r="H415" i="11"/>
  <c r="H416" i="11"/>
  <c r="H417" i="11"/>
  <c r="H418" i="11"/>
  <c r="H420" i="11"/>
  <c r="H421" i="11"/>
  <c r="H423" i="11"/>
  <c r="H424" i="11"/>
  <c r="H426" i="11"/>
  <c r="H427" i="11"/>
  <c r="H429" i="11"/>
  <c r="H430" i="11"/>
  <c r="H431" i="11"/>
  <c r="H433" i="11"/>
  <c r="H435" i="11"/>
  <c r="H436" i="11"/>
  <c r="H437" i="11"/>
  <c r="H439" i="11"/>
  <c r="H440" i="11"/>
  <c r="H441" i="11"/>
  <c r="H443" i="11"/>
  <c r="H444" i="11"/>
  <c r="H445" i="11"/>
  <c r="H446" i="11"/>
  <c r="H447" i="11"/>
  <c r="H448" i="11"/>
  <c r="H449" i="11"/>
  <c r="H450" i="11"/>
  <c r="H451" i="11"/>
  <c r="H452" i="11"/>
  <c r="H454" i="11"/>
  <c r="H456" i="11"/>
  <c r="H457" i="11"/>
  <c r="H458" i="11"/>
  <c r="H459" i="11"/>
  <c r="H461" i="11"/>
  <c r="H463" i="11"/>
  <c r="H464" i="11"/>
  <c r="H467" i="11"/>
  <c r="H468" i="11"/>
  <c r="H469" i="11"/>
  <c r="H470" i="11"/>
  <c r="H472" i="11"/>
  <c r="H473" i="11"/>
  <c r="H474" i="11"/>
  <c r="H475" i="11"/>
  <c r="H476" i="11"/>
  <c r="H477" i="11"/>
  <c r="H478" i="11"/>
  <c r="H480" i="11"/>
  <c r="H481" i="11"/>
  <c r="H483" i="11"/>
  <c r="H484" i="11"/>
  <c r="H485" i="11"/>
  <c r="H486" i="11"/>
  <c r="H487" i="11"/>
  <c r="H488" i="11"/>
  <c r="H489" i="11"/>
  <c r="H490" i="11"/>
  <c r="H493" i="11"/>
  <c r="H494" i="11"/>
  <c r="H495" i="11"/>
  <c r="H496" i="11"/>
  <c r="H497" i="11"/>
  <c r="H498" i="11"/>
  <c r="H499" i="11"/>
  <c r="H500" i="11"/>
  <c r="H501" i="11"/>
  <c r="H502" i="11"/>
  <c r="H504" i="11"/>
  <c r="H505" i="11"/>
  <c r="H508" i="11"/>
  <c r="H509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40" i="11"/>
  <c r="H541" i="11"/>
  <c r="H542" i="11"/>
  <c r="H545" i="11"/>
  <c r="H547" i="11"/>
  <c r="H548" i="11"/>
  <c r="H549" i="11"/>
  <c r="H550" i="11"/>
  <c r="H551" i="11"/>
  <c r="H552" i="11"/>
  <c r="H553" i="11"/>
  <c r="H555" i="11"/>
  <c r="H556" i="11"/>
  <c r="H557" i="11"/>
  <c r="H558" i="11"/>
  <c r="H559" i="11"/>
  <c r="H560" i="11"/>
  <c r="H561" i="11"/>
  <c r="H562" i="11"/>
  <c r="H563" i="11"/>
  <c r="H565" i="11"/>
  <c r="H566" i="11"/>
  <c r="H567" i="11"/>
  <c r="H569" i="11"/>
  <c r="H570" i="11"/>
  <c r="H571" i="11"/>
  <c r="H572" i="11"/>
  <c r="H573" i="11"/>
  <c r="H575" i="11"/>
  <c r="H576" i="11"/>
  <c r="H577" i="11"/>
  <c r="H578" i="11"/>
  <c r="H579" i="11"/>
  <c r="H580" i="11"/>
  <c r="H581" i="11"/>
  <c r="H582" i="11"/>
  <c r="H583" i="11"/>
  <c r="H584" i="11"/>
  <c r="H585" i="11"/>
  <c r="H587" i="11"/>
  <c r="H588" i="11"/>
  <c r="H589" i="11"/>
  <c r="H590" i="11"/>
  <c r="H591" i="11"/>
  <c r="H592" i="11"/>
  <c r="H593" i="11"/>
  <c r="H595" i="11"/>
  <c r="H596" i="11"/>
  <c r="H598" i="11"/>
  <c r="H599" i="11"/>
  <c r="H600" i="11"/>
  <c r="H602" i="11"/>
  <c r="H604" i="11"/>
  <c r="H605" i="11"/>
  <c r="H607" i="11"/>
  <c r="H608" i="11"/>
  <c r="H609" i="11"/>
  <c r="H611" i="11"/>
  <c r="H612" i="11"/>
  <c r="H613" i="11"/>
  <c r="H614" i="11"/>
  <c r="H616" i="11"/>
  <c r="H617" i="11"/>
  <c r="H618" i="11"/>
  <c r="H619" i="11"/>
  <c r="H620" i="11"/>
  <c r="H621" i="11"/>
  <c r="H622" i="11"/>
  <c r="H623" i="11"/>
  <c r="H624" i="11"/>
  <c r="H625" i="11"/>
  <c r="H626" i="11"/>
  <c r="H629" i="11"/>
  <c r="H630" i="11"/>
  <c r="H632" i="11"/>
  <c r="H633" i="11"/>
  <c r="H634" i="11"/>
  <c r="H635" i="11"/>
  <c r="H637" i="11"/>
  <c r="H638" i="11"/>
  <c r="H639" i="11"/>
  <c r="H641" i="11"/>
  <c r="H642" i="11"/>
  <c r="H643" i="11"/>
  <c r="H647" i="11"/>
  <c r="H648" i="11"/>
  <c r="H649" i="11"/>
  <c r="H650" i="11"/>
  <c r="H651" i="11"/>
  <c r="H654" i="11"/>
  <c r="H655" i="11"/>
  <c r="H657" i="11"/>
  <c r="H659" i="11"/>
  <c r="H660" i="11"/>
  <c r="H661" i="11"/>
  <c r="H662" i="11"/>
  <c r="H663" i="11"/>
  <c r="H664" i="11"/>
  <c r="H665" i="11"/>
  <c r="H666" i="11"/>
  <c r="H667" i="11"/>
  <c r="H668" i="11"/>
  <c r="H669" i="11"/>
  <c r="H671" i="11"/>
  <c r="H672" i="11"/>
  <c r="H673" i="11"/>
  <c r="H674" i="11"/>
  <c r="H675" i="11"/>
  <c r="H676" i="11"/>
  <c r="H677" i="11"/>
  <c r="H680" i="11"/>
  <c r="H681" i="11"/>
  <c r="H683" i="11"/>
  <c r="H684" i="11"/>
  <c r="H687" i="11"/>
  <c r="H688" i="11"/>
  <c r="H689" i="11"/>
  <c r="H691" i="11"/>
  <c r="H692" i="11"/>
  <c r="H693" i="11"/>
  <c r="H698" i="11"/>
  <c r="H700" i="11"/>
  <c r="H701" i="11"/>
  <c r="H702" i="11"/>
  <c r="H703" i="11"/>
  <c r="H704" i="11"/>
  <c r="H709" i="11"/>
  <c r="H710" i="11"/>
  <c r="H711" i="11"/>
  <c r="H712" i="11"/>
  <c r="H714" i="11"/>
  <c r="H716" i="11"/>
  <c r="H718" i="11"/>
  <c r="H719" i="11"/>
  <c r="H720" i="11"/>
  <c r="H723" i="11"/>
  <c r="H726" i="11"/>
  <c r="H727" i="11"/>
  <c r="H729" i="11"/>
  <c r="H730" i="11"/>
  <c r="H732" i="11"/>
  <c r="H733" i="11"/>
  <c r="H735" i="11"/>
  <c r="H736" i="11"/>
  <c r="H737" i="11"/>
  <c r="H738" i="11"/>
  <c r="H739" i="11"/>
  <c r="H740" i="11"/>
  <c r="H741" i="11"/>
  <c r="H747" i="11"/>
  <c r="H748" i="11"/>
  <c r="H749" i="11"/>
  <c r="H750" i="11"/>
  <c r="H751" i="11"/>
  <c r="H752" i="11"/>
  <c r="H753" i="11"/>
  <c r="H756" i="11"/>
  <c r="H761" i="11"/>
  <c r="H764" i="11"/>
  <c r="H765" i="11"/>
  <c r="H770" i="11"/>
  <c r="H773" i="11"/>
  <c r="H774" i="11"/>
  <c r="H775" i="11"/>
  <c r="H776" i="11"/>
  <c r="H777" i="11"/>
  <c r="H779" i="11"/>
  <c r="H780" i="11"/>
  <c r="H781" i="11"/>
  <c r="H783" i="11"/>
  <c r="H784" i="11"/>
  <c r="H787" i="11"/>
  <c r="H792" i="11"/>
  <c r="H794" i="11"/>
  <c r="H795" i="11"/>
  <c r="H796" i="11"/>
  <c r="H797" i="11"/>
  <c r="H799" i="11"/>
  <c r="H803" i="11"/>
  <c r="H804" i="11"/>
  <c r="H805" i="11"/>
  <c r="H806" i="11"/>
  <c r="H807" i="11"/>
  <c r="H809" i="11"/>
  <c r="H810" i="11"/>
  <c r="H813" i="11"/>
  <c r="H814" i="11"/>
  <c r="H815" i="11"/>
  <c r="H817" i="11"/>
  <c r="H818" i="11"/>
  <c r="H819" i="11"/>
  <c r="H820" i="11"/>
  <c r="H821" i="11"/>
  <c r="H822" i="11"/>
  <c r="H823" i="11"/>
  <c r="H824" i="11"/>
  <c r="H825" i="11"/>
  <c r="H828" i="11"/>
  <c r="H829" i="11"/>
  <c r="H830" i="11"/>
  <c r="H832" i="11"/>
  <c r="H833" i="11"/>
  <c r="H834" i="11"/>
  <c r="H835" i="11"/>
  <c r="H836" i="11"/>
  <c r="H837" i="11"/>
  <c r="H842" i="11"/>
  <c r="H844" i="11"/>
  <c r="H845" i="11"/>
  <c r="H846" i="11"/>
  <c r="H847" i="11"/>
  <c r="H848" i="11"/>
  <c r="H853" i="11"/>
  <c r="H854" i="11"/>
  <c r="H855" i="11"/>
  <c r="H856" i="11"/>
  <c r="H857" i="11"/>
  <c r="H858" i="11"/>
  <c r="H864" i="11"/>
  <c r="H866" i="11"/>
  <c r="H868" i="11"/>
  <c r="H869" i="11"/>
  <c r="H870" i="11"/>
  <c r="H871" i="11"/>
  <c r="I8" i="11"/>
  <c r="I11" i="11"/>
  <c r="I12" i="11"/>
  <c r="I13" i="11"/>
  <c r="I14" i="11"/>
  <c r="I16" i="11"/>
  <c r="I20" i="11"/>
  <c r="I22" i="11"/>
  <c r="I23" i="11"/>
  <c r="I24" i="11"/>
  <c r="I27" i="11"/>
  <c r="I29" i="11"/>
  <c r="I31" i="11"/>
  <c r="I32" i="11"/>
  <c r="I33" i="11"/>
  <c r="I34" i="11"/>
  <c r="I35" i="11"/>
  <c r="I36" i="11"/>
  <c r="I40" i="11"/>
  <c r="I41" i="11"/>
  <c r="I42" i="11"/>
  <c r="I44" i="11"/>
  <c r="I45" i="11"/>
  <c r="I46" i="11"/>
  <c r="I47" i="11"/>
  <c r="I48" i="11"/>
  <c r="I51" i="11"/>
  <c r="I53" i="11"/>
  <c r="I61" i="11"/>
  <c r="I62" i="11"/>
  <c r="I63" i="11"/>
  <c r="I66" i="11"/>
  <c r="I68" i="11"/>
  <c r="I72" i="11"/>
  <c r="I73" i="11"/>
  <c r="I74" i="11"/>
  <c r="I75" i="11"/>
  <c r="I78" i="11"/>
  <c r="I79" i="11"/>
  <c r="I80" i="11"/>
  <c r="I83" i="11"/>
  <c r="I85" i="11"/>
  <c r="I87" i="11"/>
  <c r="I90" i="11"/>
  <c r="I92" i="11"/>
  <c r="I95" i="11"/>
  <c r="I97" i="11"/>
  <c r="I98" i="11"/>
  <c r="I99" i="11"/>
  <c r="I103" i="11"/>
  <c r="I104" i="11"/>
  <c r="I106" i="11"/>
  <c r="I107" i="11"/>
  <c r="I109" i="11"/>
  <c r="I110" i="11"/>
  <c r="I111" i="11"/>
  <c r="I113" i="11"/>
  <c r="I114" i="11"/>
  <c r="I116" i="11"/>
  <c r="I117" i="11"/>
  <c r="I119" i="11"/>
  <c r="I122" i="11"/>
  <c r="I128" i="11"/>
  <c r="I130" i="11"/>
  <c r="I132" i="11"/>
  <c r="I137" i="11"/>
  <c r="I138" i="11"/>
  <c r="I140" i="11"/>
  <c r="I142" i="11"/>
  <c r="I143" i="11"/>
  <c r="I144" i="11"/>
  <c r="I146" i="11"/>
  <c r="I147" i="11"/>
  <c r="I152" i="11"/>
  <c r="I155" i="11"/>
  <c r="I157" i="11"/>
  <c r="I160" i="11"/>
  <c r="I161" i="11"/>
  <c r="I162" i="11"/>
  <c r="I163" i="11"/>
  <c r="I166" i="11"/>
  <c r="I168" i="11"/>
  <c r="I170" i="11"/>
  <c r="I172" i="11"/>
  <c r="I173" i="11"/>
  <c r="I176" i="11"/>
  <c r="I179" i="11"/>
  <c r="I184" i="11"/>
  <c r="I186" i="11"/>
  <c r="I187" i="11"/>
  <c r="I188" i="11"/>
  <c r="I189" i="11"/>
  <c r="I191" i="11"/>
  <c r="I199" i="11"/>
  <c r="I200" i="11"/>
  <c r="I202" i="11"/>
  <c r="I204" i="11"/>
  <c r="I205" i="11"/>
  <c r="I206" i="11"/>
  <c r="I210" i="11"/>
  <c r="I212" i="11"/>
  <c r="I214" i="11"/>
  <c r="I219" i="11"/>
  <c r="I223" i="11"/>
  <c r="I224" i="11"/>
  <c r="I230" i="11"/>
  <c r="I231" i="11"/>
  <c r="I235" i="11"/>
  <c r="I243" i="11"/>
  <c r="I245" i="11"/>
  <c r="I247" i="11"/>
  <c r="I248" i="11"/>
  <c r="I249" i="11"/>
  <c r="I251" i="11"/>
  <c r="I252" i="11"/>
  <c r="I253" i="11"/>
  <c r="I255" i="11"/>
  <c r="I265" i="11"/>
  <c r="I266" i="11"/>
  <c r="I272" i="11"/>
  <c r="I273" i="11"/>
  <c r="I277" i="11"/>
  <c r="I278" i="11"/>
  <c r="I279" i="11"/>
  <c r="I280" i="11"/>
  <c r="I289" i="11"/>
  <c r="I290" i="11"/>
  <c r="I291" i="11"/>
  <c r="I295" i="11"/>
  <c r="I297" i="11"/>
  <c r="I302" i="11"/>
  <c r="I309" i="11"/>
  <c r="I311" i="11"/>
  <c r="I313" i="11"/>
  <c r="I314" i="11"/>
  <c r="I315" i="11"/>
  <c r="I320" i="11"/>
  <c r="I321" i="11"/>
  <c r="I335" i="11"/>
  <c r="I336" i="11"/>
  <c r="I337" i="11"/>
  <c r="I338" i="11"/>
  <c r="I339" i="11"/>
  <c r="I340" i="11"/>
  <c r="I343" i="11"/>
  <c r="I344" i="11"/>
  <c r="I345" i="11"/>
  <c r="I352" i="11"/>
  <c r="I355" i="11"/>
  <c r="I356" i="11"/>
  <c r="I357" i="11"/>
  <c r="I359" i="11"/>
  <c r="I367" i="11"/>
  <c r="I368" i="11"/>
  <c r="I369" i="11"/>
  <c r="I375" i="11"/>
  <c r="I376" i="11"/>
  <c r="I377" i="11"/>
  <c r="I379" i="11"/>
  <c r="I383" i="11"/>
  <c r="I386" i="11"/>
  <c r="I387" i="11"/>
  <c r="I388" i="11"/>
  <c r="I397" i="11"/>
  <c r="I398" i="11"/>
  <c r="I399" i="11"/>
  <c r="I405" i="11"/>
  <c r="I407" i="11"/>
  <c r="I408" i="11"/>
  <c r="I409" i="11"/>
  <c r="I416" i="11"/>
  <c r="I417" i="11"/>
  <c r="I428" i="11"/>
  <c r="I429" i="11"/>
  <c r="I431" i="11"/>
  <c r="I440" i="11"/>
  <c r="I441" i="11"/>
  <c r="I443" i="11"/>
  <c r="I445" i="11"/>
  <c r="I446" i="11"/>
  <c r="I457" i="11"/>
  <c r="I464" i="11"/>
  <c r="I465" i="11"/>
  <c r="I466" i="11"/>
  <c r="I469" i="11"/>
  <c r="I470" i="11"/>
  <c r="I471" i="11"/>
  <c r="I473" i="11"/>
  <c r="I475" i="11"/>
  <c r="I476" i="11"/>
  <c r="I477" i="11"/>
  <c r="I490" i="11"/>
  <c r="I496" i="11"/>
  <c r="I501" i="11"/>
  <c r="I502" i="11"/>
  <c r="I508" i="11"/>
  <c r="I519" i="11"/>
  <c r="I520" i="11"/>
  <c r="I521" i="11"/>
  <c r="I522" i="11"/>
  <c r="I531" i="11"/>
  <c r="I534" i="11"/>
  <c r="I543" i="11"/>
  <c r="I545" i="11"/>
  <c r="I547" i="11"/>
  <c r="I548" i="11"/>
  <c r="I549" i="11"/>
  <c r="I553" i="11"/>
  <c r="I555" i="11"/>
  <c r="I563" i="11"/>
  <c r="I566" i="11"/>
  <c r="I567" i="11"/>
  <c r="I568" i="11"/>
  <c r="I586" i="11"/>
  <c r="I590" i="11"/>
  <c r="I593" i="11"/>
  <c r="I594" i="11"/>
  <c r="I622" i="11"/>
  <c r="I628" i="11"/>
  <c r="I629" i="11"/>
  <c r="I630" i="11"/>
  <c r="I640" i="11"/>
  <c r="I641" i="11"/>
  <c r="I650" i="11"/>
  <c r="I660" i="11"/>
  <c r="I682" i="11"/>
  <c r="I683" i="11"/>
  <c r="I684" i="11"/>
  <c r="I692" i="11"/>
  <c r="I707" i="11"/>
  <c r="I722" i="11"/>
  <c r="I725" i="11"/>
  <c r="I730" i="11"/>
  <c r="I736" i="11"/>
  <c r="I737" i="11"/>
  <c r="I750" i="11"/>
  <c r="I761" i="11"/>
  <c r="I773" i="11"/>
  <c r="I774" i="11"/>
  <c r="I775" i="11"/>
  <c r="I779" i="11"/>
  <c r="I780" i="11"/>
  <c r="I802" i="11"/>
  <c r="I804" i="11"/>
  <c r="I820" i="11"/>
  <c r="I832" i="11"/>
  <c r="I833" i="11"/>
  <c r="I834" i="11"/>
  <c r="I835" i="11"/>
  <c r="I843" i="11"/>
  <c r="I844" i="11"/>
  <c r="I866" i="11"/>
  <c r="I873" i="11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E668" i="12"/>
  <c r="E669" i="12"/>
  <c r="E670" i="12"/>
  <c r="E671" i="12"/>
  <c r="E672" i="12"/>
  <c r="E673" i="12"/>
  <c r="E674" i="12"/>
  <c r="E675" i="12"/>
  <c r="E676" i="12"/>
  <c r="E677" i="12"/>
  <c r="E678" i="12"/>
  <c r="E679" i="12"/>
  <c r="E680" i="12"/>
  <c r="E681" i="12"/>
  <c r="E682" i="12"/>
  <c r="E683" i="12"/>
  <c r="E684" i="12"/>
  <c r="E685" i="12"/>
  <c r="E686" i="12"/>
  <c r="E687" i="12"/>
  <c r="E688" i="12"/>
  <c r="E689" i="12"/>
  <c r="E690" i="12"/>
  <c r="E691" i="12"/>
  <c r="E692" i="12"/>
  <c r="E693" i="12"/>
  <c r="E694" i="12"/>
  <c r="E695" i="12"/>
  <c r="E696" i="12"/>
  <c r="E697" i="12"/>
  <c r="E698" i="12"/>
  <c r="E699" i="12"/>
  <c r="E700" i="12"/>
  <c r="E701" i="12"/>
  <c r="E702" i="12"/>
  <c r="E703" i="12"/>
  <c r="E704" i="12"/>
  <c r="E705" i="12"/>
  <c r="E706" i="12"/>
  <c r="E707" i="12"/>
  <c r="E708" i="12"/>
  <c r="E709" i="12"/>
  <c r="E710" i="12"/>
  <c r="E711" i="12"/>
  <c r="E712" i="12"/>
  <c r="E713" i="12"/>
  <c r="E714" i="12"/>
  <c r="E715" i="12"/>
  <c r="E716" i="12"/>
  <c r="E717" i="12"/>
  <c r="E718" i="12"/>
  <c r="E719" i="12"/>
  <c r="E720" i="12"/>
  <c r="E721" i="12"/>
  <c r="E722" i="12"/>
  <c r="E723" i="12"/>
  <c r="E724" i="12"/>
  <c r="E725" i="12"/>
  <c r="E726" i="12"/>
  <c r="E727" i="12"/>
  <c r="E728" i="12"/>
  <c r="E729" i="12"/>
  <c r="E730" i="12"/>
  <c r="E731" i="12"/>
  <c r="E732" i="12"/>
  <c r="E733" i="12"/>
  <c r="E734" i="12"/>
  <c r="E735" i="12"/>
  <c r="E736" i="12"/>
  <c r="E737" i="12"/>
  <c r="E738" i="12"/>
  <c r="E739" i="12"/>
  <c r="E740" i="12"/>
  <c r="E741" i="12"/>
  <c r="E742" i="12"/>
  <c r="E743" i="12"/>
  <c r="E744" i="12"/>
  <c r="E745" i="12"/>
  <c r="E746" i="12"/>
  <c r="E747" i="12"/>
  <c r="E748" i="12"/>
  <c r="E749" i="12"/>
  <c r="E750" i="12"/>
  <c r="E751" i="12"/>
  <c r="E752" i="12"/>
  <c r="E753" i="12"/>
  <c r="E754" i="12"/>
  <c r="E755" i="12"/>
  <c r="E756" i="12"/>
  <c r="E757" i="12"/>
  <c r="E758" i="12"/>
  <c r="E759" i="12"/>
  <c r="E760" i="12"/>
  <c r="E761" i="12"/>
  <c r="E762" i="12"/>
  <c r="E763" i="12"/>
  <c r="E764" i="12"/>
  <c r="E765" i="12"/>
  <c r="E766" i="12"/>
  <c r="E767" i="12"/>
  <c r="E768" i="12"/>
  <c r="E769" i="12"/>
  <c r="E770" i="12"/>
  <c r="E771" i="12"/>
  <c r="E772" i="12"/>
  <c r="E773" i="12"/>
  <c r="E774" i="12"/>
  <c r="E775" i="12"/>
  <c r="E776" i="12"/>
  <c r="E777" i="12"/>
  <c r="E778" i="12"/>
  <c r="E779" i="12"/>
  <c r="E780" i="12"/>
  <c r="E781" i="12"/>
  <c r="E782" i="12"/>
  <c r="E783" i="12"/>
  <c r="E784" i="12"/>
  <c r="E785" i="12"/>
  <c r="E786" i="12"/>
  <c r="E787" i="12"/>
  <c r="E788" i="12"/>
  <c r="E789" i="12"/>
  <c r="E790" i="12"/>
  <c r="E791" i="12"/>
  <c r="E792" i="12"/>
  <c r="E793" i="12"/>
  <c r="E794" i="12"/>
  <c r="E795" i="12"/>
  <c r="E796" i="12"/>
  <c r="E797" i="12"/>
  <c r="E798" i="12"/>
  <c r="E799" i="12"/>
  <c r="E800" i="12"/>
  <c r="E801" i="12"/>
  <c r="E802" i="12"/>
  <c r="E803" i="12"/>
  <c r="E804" i="12"/>
  <c r="E805" i="12"/>
  <c r="E806" i="12"/>
  <c r="E807" i="12"/>
  <c r="E808" i="12"/>
  <c r="E809" i="12"/>
  <c r="E810" i="12"/>
  <c r="E811" i="12"/>
  <c r="E812" i="12"/>
  <c r="E813" i="12"/>
  <c r="E814" i="12"/>
  <c r="E815" i="12"/>
  <c r="E816" i="12"/>
  <c r="E817" i="12"/>
  <c r="E818" i="12"/>
  <c r="E819" i="12"/>
  <c r="E820" i="12"/>
  <c r="E821" i="12"/>
  <c r="E822" i="12"/>
  <c r="E823" i="12"/>
  <c r="E824" i="12"/>
  <c r="E825" i="12"/>
  <c r="E826" i="12"/>
  <c r="E827" i="12"/>
  <c r="E828" i="12"/>
  <c r="E829" i="12"/>
  <c r="E830" i="12"/>
  <c r="E831" i="12"/>
  <c r="E832" i="12"/>
  <c r="E833" i="12"/>
  <c r="E834" i="12"/>
  <c r="E835" i="12"/>
  <c r="E836" i="12"/>
  <c r="E837" i="12"/>
  <c r="E838" i="12"/>
  <c r="E839" i="12"/>
  <c r="E840" i="12"/>
  <c r="E841" i="12"/>
  <c r="E842" i="12"/>
  <c r="E843" i="12"/>
  <c r="E844" i="12"/>
  <c r="E845" i="12"/>
  <c r="E846" i="12"/>
  <c r="E847" i="12"/>
  <c r="E848" i="12"/>
  <c r="E849" i="12"/>
  <c r="E850" i="12"/>
  <c r="E851" i="12"/>
  <c r="E852" i="12"/>
  <c r="E853" i="12"/>
  <c r="E854" i="12"/>
  <c r="E855" i="12"/>
  <c r="E856" i="12"/>
  <c r="E857" i="12"/>
  <c r="E858" i="12"/>
  <c r="E859" i="12"/>
  <c r="E860" i="12"/>
  <c r="E861" i="12"/>
  <c r="E862" i="12"/>
  <c r="E863" i="12"/>
  <c r="E864" i="12"/>
  <c r="E865" i="12"/>
  <c r="E866" i="12"/>
  <c r="E867" i="12"/>
  <c r="E868" i="12"/>
  <c r="E869" i="12"/>
  <c r="E870" i="12"/>
  <c r="E871" i="12"/>
  <c r="E872" i="12"/>
  <c r="E873" i="12"/>
  <c r="E874" i="12"/>
  <c r="E875" i="12"/>
  <c r="E876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0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89" i="12"/>
  <c r="F590" i="12"/>
  <c r="F591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7" i="12"/>
  <c r="F628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664" i="12"/>
  <c r="F665" i="12"/>
  <c r="F666" i="12"/>
  <c r="F667" i="12"/>
  <c r="F668" i="12"/>
  <c r="F669" i="12"/>
  <c r="F670" i="12"/>
  <c r="F671" i="12"/>
  <c r="F672" i="12"/>
  <c r="F673" i="12"/>
  <c r="F674" i="12"/>
  <c r="F675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0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703" i="12"/>
  <c r="F704" i="12"/>
  <c r="F705" i="12"/>
  <c r="F706" i="12"/>
  <c r="F707" i="12"/>
  <c r="F708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22" i="12"/>
  <c r="F723" i="12"/>
  <c r="F724" i="12"/>
  <c r="F725" i="12"/>
  <c r="F726" i="12"/>
  <c r="F727" i="12"/>
  <c r="F728" i="12"/>
  <c r="F729" i="12"/>
  <c r="F730" i="12"/>
  <c r="F731" i="12"/>
  <c r="F732" i="12"/>
  <c r="F733" i="12"/>
  <c r="F734" i="12"/>
  <c r="F735" i="12"/>
  <c r="F736" i="12"/>
  <c r="F737" i="12"/>
  <c r="F738" i="12"/>
  <c r="F739" i="12"/>
  <c r="F740" i="12"/>
  <c r="F741" i="12"/>
  <c r="F742" i="12"/>
  <c r="F743" i="12"/>
  <c r="F744" i="12"/>
  <c r="F745" i="12"/>
  <c r="F746" i="12"/>
  <c r="F747" i="12"/>
  <c r="F748" i="12"/>
  <c r="F749" i="12"/>
  <c r="F750" i="12"/>
  <c r="F751" i="12"/>
  <c r="F752" i="12"/>
  <c r="F753" i="12"/>
  <c r="F754" i="12"/>
  <c r="F755" i="12"/>
  <c r="F756" i="12"/>
  <c r="F757" i="12"/>
  <c r="F758" i="12"/>
  <c r="F759" i="12"/>
  <c r="F760" i="12"/>
  <c r="F761" i="12"/>
  <c r="F762" i="12"/>
  <c r="F763" i="12"/>
  <c r="F764" i="12"/>
  <c r="F765" i="12"/>
  <c r="F766" i="12"/>
  <c r="F767" i="12"/>
  <c r="F768" i="12"/>
  <c r="F769" i="12"/>
  <c r="F770" i="12"/>
  <c r="F771" i="12"/>
  <c r="F772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6" i="12"/>
  <c r="F787" i="12"/>
  <c r="F788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2" i="12"/>
  <c r="F803" i="12"/>
  <c r="F804" i="12"/>
  <c r="F805" i="12"/>
  <c r="F806" i="12"/>
  <c r="F807" i="12"/>
  <c r="F808" i="12"/>
  <c r="F809" i="12"/>
  <c r="F810" i="12"/>
  <c r="F811" i="12"/>
  <c r="F812" i="12"/>
  <c r="F813" i="12"/>
  <c r="F814" i="12"/>
  <c r="F815" i="12"/>
  <c r="F816" i="12"/>
  <c r="F817" i="12"/>
  <c r="F818" i="12"/>
  <c r="F819" i="12"/>
  <c r="F820" i="12"/>
  <c r="F821" i="12"/>
  <c r="F822" i="12"/>
  <c r="F823" i="12"/>
  <c r="F824" i="12"/>
  <c r="F825" i="12"/>
  <c r="F826" i="12"/>
  <c r="F827" i="12"/>
  <c r="F828" i="12"/>
  <c r="F829" i="12"/>
  <c r="F830" i="12"/>
  <c r="F831" i="12"/>
  <c r="F832" i="12"/>
  <c r="F833" i="12"/>
  <c r="F834" i="12"/>
  <c r="F835" i="12"/>
  <c r="F836" i="12"/>
  <c r="F837" i="12"/>
  <c r="F838" i="12"/>
  <c r="F839" i="12"/>
  <c r="F840" i="12"/>
  <c r="F841" i="12"/>
  <c r="F842" i="12"/>
  <c r="F843" i="12"/>
  <c r="F844" i="12"/>
  <c r="F845" i="12"/>
  <c r="F846" i="12"/>
  <c r="F847" i="12"/>
  <c r="F848" i="12"/>
  <c r="F849" i="12"/>
  <c r="F850" i="12"/>
  <c r="F851" i="12"/>
  <c r="F852" i="12"/>
  <c r="F853" i="12"/>
  <c r="F854" i="12"/>
  <c r="F855" i="12"/>
  <c r="F856" i="12"/>
  <c r="F857" i="12"/>
  <c r="F858" i="12"/>
  <c r="F859" i="12"/>
  <c r="F860" i="12"/>
  <c r="F861" i="12"/>
  <c r="F862" i="12"/>
  <c r="F863" i="12"/>
  <c r="F864" i="12"/>
  <c r="F865" i="12"/>
  <c r="F866" i="12"/>
  <c r="F867" i="12"/>
  <c r="F868" i="12"/>
  <c r="F869" i="12"/>
  <c r="F870" i="12"/>
  <c r="F871" i="12"/>
  <c r="F872" i="12"/>
  <c r="F873" i="12"/>
  <c r="F874" i="12"/>
  <c r="F875" i="12"/>
  <c r="F876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E5" i="12" l="1"/>
  <c r="F5" i="12"/>
  <c r="G5" i="12"/>
  <c r="B6" i="1"/>
  <c r="B5" i="1"/>
  <c r="C55" i="4"/>
  <c r="C54" i="4"/>
  <c r="C53" i="4"/>
  <c r="C52" i="4"/>
  <c r="C51" i="4"/>
  <c r="C50" i="4"/>
  <c r="J5" i="1" l="1"/>
  <c r="G5" i="11"/>
  <c r="G6" i="11"/>
  <c r="I5" i="1"/>
  <c r="G7" i="4"/>
  <c r="J6" i="1"/>
  <c r="I6" i="1"/>
  <c r="G5" i="1"/>
  <c r="G6" i="1"/>
  <c r="H5" i="1"/>
  <c r="E7" i="4" s="1"/>
  <c r="H6" i="1"/>
  <c r="A1" i="15" l="1"/>
  <c r="F5" i="11" a="1"/>
  <c r="F5" i="11" s="1"/>
  <c r="I5" i="11" s="1"/>
  <c r="F6" i="11" a="1"/>
  <c r="F6" i="11" s="1"/>
  <c r="I6" i="11" s="1"/>
  <c r="E5" i="11" a="1"/>
  <c r="E5" i="11" s="1"/>
  <c r="H5" i="11" s="1"/>
  <c r="E6" i="11" a="1"/>
  <c r="E6" i="11" s="1"/>
  <c r="H6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<sst xmlns="http://schemas.openxmlformats.org/spreadsheetml/2006/main" count="1046" uniqueCount="1023">
  <si>
    <t>ID</t>
  </si>
  <si>
    <t>SRTM30 Elevation (m)</t>
  </si>
  <si>
    <t>x</t>
  </si>
  <si>
    <t>y</t>
  </si>
  <si>
    <t>Name</t>
  </si>
  <si>
    <t>Name:</t>
  </si>
  <si>
    <t>Country:</t>
  </si>
  <si>
    <t>Location:</t>
  </si>
  <si>
    <t>Coordinates:</t>
  </si>
  <si>
    <t>Purpose:</t>
  </si>
  <si>
    <t>Status:</t>
  </si>
  <si>
    <t>Opening date:</t>
  </si>
  <si>
    <t>Total capacity:</t>
  </si>
  <si>
    <t>Active capacity:</t>
  </si>
  <si>
    <t>Pixels</t>
  </si>
  <si>
    <t>Area (m2)</t>
  </si>
  <si>
    <t>Area (km2)</t>
  </si>
  <si>
    <t>Volume (MCM)</t>
  </si>
  <si>
    <t>Chart Title 01:</t>
  </si>
  <si>
    <t>Chart Title 02:</t>
  </si>
  <si>
    <t>Area (Acre)</t>
  </si>
  <si>
    <t>Volume (Acre-ft)</t>
  </si>
  <si>
    <t>Enter data from QGIS</t>
  </si>
  <si>
    <t>Data calculated automatically</t>
  </si>
  <si>
    <t xml:space="preserve"> </t>
  </si>
  <si>
    <t>Date</t>
  </si>
  <si>
    <t>Monitoring data:</t>
  </si>
  <si>
    <t>No</t>
  </si>
  <si>
    <t>Elevation (SRTM30-m)</t>
  </si>
  <si>
    <t>Chart Title 03:</t>
  </si>
  <si>
    <t>Chart Title 04:</t>
  </si>
  <si>
    <t>Chart Title 05:</t>
  </si>
  <si>
    <t>Chart Title 06:</t>
  </si>
  <si>
    <t>Enter monitoring data</t>
  </si>
  <si>
    <t>Elevation (SRTM30-ft)</t>
  </si>
  <si>
    <t>2006-09-06T06:04:00</t>
  </si>
  <si>
    <t>Surface Water Area (km2)</t>
  </si>
  <si>
    <t>time</t>
  </si>
  <si>
    <t>Index</t>
  </si>
  <si>
    <t>Estimate the top of spillway from monitoring data</t>
  </si>
  <si>
    <t>DO NOT EDIT</t>
  </si>
  <si>
    <t>Enter reservoir area monitoring data from Global Water Monitor</t>
  </si>
  <si>
    <t>1) Fill in all data in the Info sheet.</t>
  </si>
  <si>
    <t>3) Add relevant data to tbl_Data in Data Sheet.</t>
  </si>
  <si>
    <t>4) Download reservoir area data from Global Water Watch.</t>
  </si>
  <si>
    <t>Row Labels</t>
  </si>
  <si>
    <t>Average of Volume (MCM)</t>
  </si>
  <si>
    <t>Min of Volume (MCM)</t>
  </si>
  <si>
    <t>Max of Volume (MCM)</t>
  </si>
  <si>
    <t>2) Calculate the Elevation-Area-Volume data for the reservoir in QGIS.</t>
  </si>
  <si>
    <t>Update key reservoir data. The name will be used in all chart titles</t>
  </si>
  <si>
    <t>ENTER DATA HERE: COPY | PASTE SPECIAL - UNFORMATED DATA</t>
  </si>
  <si>
    <t>5) Add data to tbl_Reservoir in Monitoring Sheet</t>
  </si>
  <si>
    <t>x = range of storage capacity (MCM), y = water level</t>
  </si>
  <si>
    <t>This is for the Reservoir Curves chart to show the top of the spillway</t>
  </si>
  <si>
    <t>Reservoir data</t>
  </si>
  <si>
    <t>Automatic text for the chart titles, generated from the NAME OF RESERVOIR. Ammend if necessary.</t>
  </si>
  <si>
    <t>Formulas used</t>
  </si>
  <si>
    <t>=CONCATENATE(Dam_name, ": Elevation-Capacity Curve")</t>
  </si>
  <si>
    <t>=CONCATENATE(Dam_name, ": Elevation-Area Curve")</t>
  </si>
  <si>
    <t>=CONCATENATE(Dam_name, ": Elevation-Area-Capacity Curves")</t>
  </si>
  <si>
    <t>=CONCATENATE(Dam_name, ": Reservoir Capacity")</t>
  </si>
  <si>
    <t>=CONCATENATE(Dam_name, ": Reservoir Water Area")</t>
  </si>
  <si>
    <t>=CONCATENATE(Dam_name, ": Reservoir Water Level")</t>
  </si>
  <si>
    <t>Reservoir Area (km2)</t>
  </si>
  <si>
    <t>_</t>
  </si>
  <si>
    <t>=ROW()-4</t>
  </si>
  <si>
    <t>=LEFT([@time],10)*1</t>
  </si>
  <si>
    <t>=[@[Surface Water Area (km2)]]</t>
  </si>
  <si>
    <t>Parameter</t>
  </si>
  <si>
    <t>Formula</t>
  </si>
  <si>
    <t>Capacity (m3)</t>
  </si>
  <si>
    <t>=MAX(tbl_Data[Volume (MCM)])</t>
  </si>
  <si>
    <t>=E8*0.5</t>
  </si>
  <si>
    <t>2006-09-22T06:04:00</t>
  </si>
  <si>
    <t>2006</t>
  </si>
  <si>
    <t>Copy - Paste Special - All monitoring data from the Calcs sheet</t>
  </si>
  <si>
    <t>Past Special - Values</t>
  </si>
  <si>
    <t>Average Annual Releases</t>
  </si>
  <si>
    <t>Dam</t>
  </si>
  <si>
    <t xml:space="preserve">Type: </t>
  </si>
  <si>
    <t xml:space="preserve">Height: </t>
  </si>
  <si>
    <t xml:space="preserve">Length at Crest: </t>
  </si>
  <si>
    <t xml:space="preserve">Top Width: </t>
  </si>
  <si>
    <t>Spillway</t>
  </si>
  <si>
    <t xml:space="preserve">Clear Waterway: </t>
  </si>
  <si>
    <t xml:space="preserve">Designed Capacity: </t>
  </si>
  <si>
    <t xml:space="preserve">Maximum Capacity: </t>
  </si>
  <si>
    <t>Construction period:</t>
  </si>
  <si>
    <t>Outlet</t>
  </si>
  <si>
    <t>Tunnel Diameter:</t>
  </si>
  <si>
    <t xml:space="preserve">Capacity: </t>
  </si>
  <si>
    <t>Irrigation System Command Area &amp; Capacity</t>
  </si>
  <si>
    <t xml:space="preserve">Irrigation System: </t>
  </si>
  <si>
    <t xml:space="preserve">Right Bank Canal: </t>
  </si>
  <si>
    <t xml:space="preserve">Left Bank Canal: </t>
  </si>
  <si>
    <t xml:space="preserve">Total: </t>
  </si>
  <si>
    <t>Notable Events</t>
  </si>
  <si>
    <t>Project cost:</t>
  </si>
  <si>
    <t>6) Copy data to tbl_Monitoring in Calcs sheet</t>
  </si>
  <si>
    <t>7) Check the output data &amp; charts</t>
  </si>
  <si>
    <t>8) Delete any data spikes from monitoring data</t>
  </si>
  <si>
    <t>9) Press Data | Refresh All</t>
  </si>
  <si>
    <t>10) Copy calcs table | Paste Special Unformatted to Export table</t>
  </si>
  <si>
    <t>Pakistan</t>
  </si>
  <si>
    <t>Dasht River Basin, Kech District, Balochistan</t>
  </si>
  <si>
    <t>62.6933261375 E, 25.9411168463 N</t>
  </si>
  <si>
    <t>Irrigation &amp; water supply</t>
  </si>
  <si>
    <t>Operational</t>
  </si>
  <si>
    <t>June 2002 to June 2007</t>
  </si>
  <si>
    <t>PKR 5.861 billion in 2002 PKR (Pakistani Rupees) = 98.14 million US dollars in 2002</t>
  </si>
  <si>
    <t>Concrete-faced rock-filled</t>
  </si>
  <si>
    <t>127 ft (39 m)</t>
  </si>
  <si>
    <t>3,350 ft (1,020 m)</t>
  </si>
  <si>
    <t>35 ft (11 m)</t>
  </si>
  <si>
    <t>Overflow</t>
  </si>
  <si>
    <t>344 ft (105 m)</t>
  </si>
  <si>
    <t>205,800 cu ft/s (5,830 m3/s)</t>
  </si>
  <si>
    <t>384,300 cu ft/s (10,880 m3/s)</t>
  </si>
  <si>
    <t>302,000 acre⋅ft (373,000,000 m3)</t>
  </si>
  <si>
    <t>52,000 acre⋅ft (64,000,000 m3)</t>
  </si>
  <si>
    <t>114,000 acre⋅ft (141,000,000 m3).</t>
  </si>
  <si>
    <t>377 cu ft/s (10.7 m3/s)</t>
  </si>
  <si>
    <t>Gravity, Lined Channels</t>
  </si>
  <si>
    <t>20,800 acres (84 km2) &amp; 36 cu ft/s (1.0 m3/s)</t>
  </si>
  <si>
    <t>12,400 acres (50 km2) &amp; 141 cu ft/s (4.0 m3/s)</t>
  </si>
  <si>
    <t>33,200 acres (134 km2) &amp; 377 cu ft/s (10.7 m3/s)  [1][8]</t>
  </si>
  <si>
    <t>2007 Flooding</t>
  </si>
  <si>
    <t>During Cyclone Yemyin in June 2007, backflowing water from Mirani Dam in the Nihing and Kech rivers resulted in a large-scale disaster, affected several thousand households in the upstream areas of Nasirabad, Kallatuk, and Nodiz.</t>
  </si>
  <si>
    <t>2017 Water Supply to Gwadar</t>
  </si>
  <si>
    <t>In May 2017, Akra Dam ran dry. During that time, Gwadar city's sole water supply was brought from Mirani Dam via tanker truck, at a cost of Rs.220 million per month for 1.3-1.8 million gallons a day.</t>
  </si>
  <si>
    <t>Mirani Reservoir, Balochistan</t>
  </si>
  <si>
    <t xml:space="preserve"> 8 ft (2.4 m)</t>
  </si>
  <si>
    <t>https://www.globalwaterwatch.earth/reservoir/88182</t>
  </si>
  <si>
    <t>2006-10-24T06:04:00</t>
  </si>
  <si>
    <t>2007-04-02T06:05:00</t>
  </si>
  <si>
    <t>2007-04-18T06:05:00</t>
  </si>
  <si>
    <t>2007-05-04T06:05:00</t>
  </si>
  <si>
    <t>2007-07-23T06:05:00</t>
  </si>
  <si>
    <t>2007-08-08T06:05:00</t>
  </si>
  <si>
    <t>2007-09-09T06:05:00</t>
  </si>
  <si>
    <t>2007-09-25T06:05:00</t>
  </si>
  <si>
    <t>2007-10-11T06:04:00</t>
  </si>
  <si>
    <t>2008-01-31T06:05:00</t>
  </si>
  <si>
    <t>2008-03-03T06:05:00</t>
  </si>
  <si>
    <t>2008-03-19T06:05:00</t>
  </si>
  <si>
    <t>2008-04-04T06:05:00</t>
  </si>
  <si>
    <t>2008-04-20T06:05:00</t>
  </si>
  <si>
    <t>2008-05-22T06:05:00</t>
  </si>
  <si>
    <t>2008-06-07T06:05:00</t>
  </si>
  <si>
    <t>2008-07-25T06:04:00</t>
  </si>
  <si>
    <t>2008-08-10T06:04:00</t>
  </si>
  <si>
    <t>2008-08-26T06:04:00</t>
  </si>
  <si>
    <t>2008-09-11T06:04:00</t>
  </si>
  <si>
    <t>2008-09-27T06:04:00</t>
  </si>
  <si>
    <t>2008-10-13T06:03:00</t>
  </si>
  <si>
    <t>2008-10-29T06:04:00</t>
  </si>
  <si>
    <t>2008-11-14T06:04:00</t>
  </si>
  <si>
    <t>2008-11-30T06:04:00</t>
  </si>
  <si>
    <t>2009-03-06T06:05:00</t>
  </si>
  <si>
    <t>2009-04-23T06:05:00</t>
  </si>
  <si>
    <t>2009-05-09T06:05:00</t>
  </si>
  <si>
    <t>2009-05-25T06:05:00</t>
  </si>
  <si>
    <t>2009-06-10T06:05:00</t>
  </si>
  <si>
    <t>2009-06-26T06:05:00</t>
  </si>
  <si>
    <t>2009-09-14T06:05:00</t>
  </si>
  <si>
    <t>2009-09-30T06:05:00</t>
  </si>
  <si>
    <t>2009-10-16T06:05:00</t>
  </si>
  <si>
    <t>2009-11-01T06:05:00</t>
  </si>
  <si>
    <t>2009-11-17T06:05:00</t>
  </si>
  <si>
    <t>2010-03-09T06:07:00</t>
  </si>
  <si>
    <t>2010-03-25T06:07:00</t>
  </si>
  <si>
    <t>2010-05-12T06:07:00</t>
  </si>
  <si>
    <t>2010-05-28T06:07:00</t>
  </si>
  <si>
    <t>2010-06-13T06:07:00</t>
  </si>
  <si>
    <t>2010-06-29T06:07:00</t>
  </si>
  <si>
    <t>2010-10-19T06:07:00</t>
  </si>
  <si>
    <t>2010-11-04T06:07:00</t>
  </si>
  <si>
    <t>2011-04-29T06:08:00</t>
  </si>
  <si>
    <t>2011-05-15T06:08:00</t>
  </si>
  <si>
    <t>2011-07-02T06:08:00</t>
  </si>
  <si>
    <t>2011-07-18T06:08:00</t>
  </si>
  <si>
    <t>2011-08-03T06:08:00</t>
  </si>
  <si>
    <t>2011-09-20T06:08:00</t>
  </si>
  <si>
    <t>2011-10-22T06:08:00</t>
  </si>
  <si>
    <t>2011-11-07T06:08:00</t>
  </si>
  <si>
    <t>2012-03-30T06:09:00</t>
  </si>
  <si>
    <t>2012-04-15T06:09:00</t>
  </si>
  <si>
    <t>2012-05-01T06:09:00</t>
  </si>
  <si>
    <t>2012-05-17T06:10:00</t>
  </si>
  <si>
    <t>2012-06-18T06:09:00</t>
  </si>
  <si>
    <t>2012-07-04T06:09:00</t>
  </si>
  <si>
    <t>2012-07-20T06:10:00</t>
  </si>
  <si>
    <t>2012-08-05T06:10:00</t>
  </si>
  <si>
    <t>2012-09-22T06:10:00</t>
  </si>
  <si>
    <t>2012-10-08T06:10:00</t>
  </si>
  <si>
    <t>2012-10-24T06:11:00</t>
  </si>
  <si>
    <t>2013-03-17T06:11:00</t>
  </si>
  <si>
    <t>2013-04-02T06:11:00</t>
  </si>
  <si>
    <t>2013-04-05T06:19:00</t>
  </si>
  <si>
    <t>2013-04-10T06:20:00</t>
  </si>
  <si>
    <t>2013-04-18T06:11:00</t>
  </si>
  <si>
    <t>2013-05-04T06:11:00</t>
  </si>
  <si>
    <t>2013-05-20T06:11:00</t>
  </si>
  <si>
    <t>2013-05-28T06:17:00</t>
  </si>
  <si>
    <t>2013-07-31T06:17:00</t>
  </si>
  <si>
    <t>2013-08-16T06:17:00</t>
  </si>
  <si>
    <t>2013-09-09T06:10:00</t>
  </si>
  <si>
    <t>2013-09-17T06:17:00</t>
  </si>
  <si>
    <t>2013-10-11T06:11:00</t>
  </si>
  <si>
    <t>2013-10-19T06:17:00</t>
  </si>
  <si>
    <t>2013-10-27T06:11:00</t>
  </si>
  <si>
    <t>2013-11-04T06:17:00</t>
  </si>
  <si>
    <t>2013-11-20T06:16:00</t>
  </si>
  <si>
    <t>2013-11-28T06:11:00</t>
  </si>
  <si>
    <t>2013-12-06T06:16:00</t>
  </si>
  <si>
    <t>2013-12-14T06:11:00</t>
  </si>
  <si>
    <t>2013-12-22T06:16:00</t>
  </si>
  <si>
    <t>2013-12-30T06:11:00</t>
  </si>
  <si>
    <t>2014-01-07T06:16:00</t>
  </si>
  <si>
    <t>2014-01-15T06:11:00</t>
  </si>
  <si>
    <t>2014-01-23T06:16:00</t>
  </si>
  <si>
    <t>2014-01-31T06:12:00</t>
  </si>
  <si>
    <t>2014-02-08T06:16:00</t>
  </si>
  <si>
    <t>2014-02-16T06:12:00</t>
  </si>
  <si>
    <t>2014-02-24T06:16:00</t>
  </si>
  <si>
    <t>2014-03-04T06:12:00</t>
  </si>
  <si>
    <t>2014-03-20T06:12:00</t>
  </si>
  <si>
    <t>2014-03-28T06:15:00</t>
  </si>
  <si>
    <t>2014-04-05T06:12:00</t>
  </si>
  <si>
    <t>2014-04-13T06:15:00</t>
  </si>
  <si>
    <t>2014-04-21T06:12:00</t>
  </si>
  <si>
    <t>2014-05-07T06:12:00</t>
  </si>
  <si>
    <t>2014-05-23T06:12:00</t>
  </si>
  <si>
    <t>2014-05-31T06:14:00</t>
  </si>
  <si>
    <t>2014-06-08T06:12:00</t>
  </si>
  <si>
    <t>2014-06-16T06:14:00</t>
  </si>
  <si>
    <t>2014-06-24T06:12:00</t>
  </si>
  <si>
    <t>2014-07-10T06:12:00</t>
  </si>
  <si>
    <t>2014-07-18T06:15:00</t>
  </si>
  <si>
    <t>2014-08-11T06:12:00</t>
  </si>
  <si>
    <t>2014-08-19T06:15:00</t>
  </si>
  <si>
    <t>2014-08-27T06:12:00</t>
  </si>
  <si>
    <t>2014-09-04T06:15:00</t>
  </si>
  <si>
    <t>2014-09-12T06:12:00</t>
  </si>
  <si>
    <t>2014-09-20T06:15:00</t>
  </si>
  <si>
    <t>2014-10-06T06:15:00</t>
  </si>
  <si>
    <t>2014-10-14T06:13:00</t>
  </si>
  <si>
    <t>2014-10-22T06:15:00</t>
  </si>
  <si>
    <t>2014-10-30T06:13:00</t>
  </si>
  <si>
    <t>2014-11-07T06:15:00</t>
  </si>
  <si>
    <t>2014-11-15T06:13:00</t>
  </si>
  <si>
    <t>2014-11-23T06:15:00</t>
  </si>
  <si>
    <t>2014-12-01T06:13:00</t>
  </si>
  <si>
    <t>2014-12-09T06:15:00</t>
  </si>
  <si>
    <t>2014-12-17T06:13:00</t>
  </si>
  <si>
    <t>2014-12-25T06:15:00</t>
  </si>
  <si>
    <t>2015-01-18T06:13:00</t>
  </si>
  <si>
    <t>2015-01-26T06:15:00</t>
  </si>
  <si>
    <t>2015-02-19T06:14:00</t>
  </si>
  <si>
    <t>2015-02-27T06:15:00</t>
  </si>
  <si>
    <t>2015-03-15T06:14:00</t>
  </si>
  <si>
    <t>2015-03-23T06:14:00</t>
  </si>
  <si>
    <t>2015-03-31T06:14:00</t>
  </si>
  <si>
    <t>2015-04-08T06:14:00</t>
  </si>
  <si>
    <t>2015-04-16T06:14:00</t>
  </si>
  <si>
    <t>2015-05-02T06:14:00</t>
  </si>
  <si>
    <t>2015-05-18T06:14:00</t>
  </si>
  <si>
    <t>2015-05-26T06:14:00</t>
  </si>
  <si>
    <t>2015-06-03T06:14:00</t>
  </si>
  <si>
    <t>2015-06-19T06:14:00</t>
  </si>
  <si>
    <t>2015-06-27T06:14:00</t>
  </si>
  <si>
    <t>2015-07-05T06:14:00</t>
  </si>
  <si>
    <t>2015-07-21T06:14:00</t>
  </si>
  <si>
    <t>2015-08-22T06:15:00</t>
  </si>
  <si>
    <t>2015-08-30T06:15:00</t>
  </si>
  <si>
    <t>2015-09-07T06:15:00</t>
  </si>
  <si>
    <t>2015-09-15T06:15:00</t>
  </si>
  <si>
    <t>2015-09-23T06:15:00</t>
  </si>
  <si>
    <t>2015-10-01T06:15:00</t>
  </si>
  <si>
    <t>2015-10-09T06:15:00</t>
  </si>
  <si>
    <t>2015-10-17T06:15:00</t>
  </si>
  <si>
    <t>2015-10-25T06:15:00</t>
  </si>
  <si>
    <t>2015-11-02T06:15:00</t>
  </si>
  <si>
    <t>2015-11-18T06:16:00</t>
  </si>
  <si>
    <t>2015-11-26T06:15:00</t>
  </si>
  <si>
    <t>2015-12-12T06:15:00</t>
  </si>
  <si>
    <t>2015-12-20T06:16:00</t>
  </si>
  <si>
    <t>2016-01-13T06:15:00</t>
  </si>
  <si>
    <t>2016-01-21T06:16:00</t>
  </si>
  <si>
    <t>2016-02-06T06:17:00</t>
  </si>
  <si>
    <t>2016-02-14T06:15:00</t>
  </si>
  <si>
    <t>2016-02-22T06:17:00</t>
  </si>
  <si>
    <t>2016-03-11T06:26:00</t>
  </si>
  <si>
    <t>2016-03-17T06:15:00</t>
  </si>
  <si>
    <t>2016-03-25T06:17:00</t>
  </si>
  <si>
    <t>2016-04-10T06:17:00</t>
  </si>
  <si>
    <t>2016-04-10T06:27:00</t>
  </si>
  <si>
    <t>2016-04-18T06:14:00</t>
  </si>
  <si>
    <t>2016-04-26T06:17:00</t>
  </si>
  <si>
    <t>2016-05-04T06:14:00</t>
  </si>
  <si>
    <t>2016-05-12T06:17:00</t>
  </si>
  <si>
    <t>2016-05-20T06:14:00</t>
  </si>
  <si>
    <t>2016-05-20T06:26:00</t>
  </si>
  <si>
    <t>2016-05-28T06:17:00</t>
  </si>
  <si>
    <t>2016-06-05T06:14:00</t>
  </si>
  <si>
    <t>2016-06-09T06:26:00</t>
  </si>
  <si>
    <t>2016-06-13T06:17:00</t>
  </si>
  <si>
    <t>2016-06-21T06:15:00</t>
  </si>
  <si>
    <t>2016-07-07T06:15:00</t>
  </si>
  <si>
    <t>2016-07-15T06:17:00</t>
  </si>
  <si>
    <t>2016-07-31T06:17:00</t>
  </si>
  <si>
    <t>2016-08-16T06:17:00</t>
  </si>
  <si>
    <t>2016-08-24T06:15:00</t>
  </si>
  <si>
    <t>2016-08-28T06:20:00</t>
  </si>
  <si>
    <t>2016-09-01T06:17:00</t>
  </si>
  <si>
    <t>2016-09-09T06:15:00</t>
  </si>
  <si>
    <t>2016-09-25T06:15:00</t>
  </si>
  <si>
    <t>2016-10-07T06:25:00</t>
  </si>
  <si>
    <t>2016-10-11T06:15:00</t>
  </si>
  <si>
    <t>2016-10-19T06:18:00</t>
  </si>
  <si>
    <t>2016-10-27T06:15:00</t>
  </si>
  <si>
    <t>2016-10-27T06:28:00</t>
  </si>
  <si>
    <t>2016-11-04T06:17:00</t>
  </si>
  <si>
    <t>2016-11-12T06:15:00</t>
  </si>
  <si>
    <t>2016-11-16T06:21:00</t>
  </si>
  <si>
    <t>2016-11-20T06:17:00</t>
  </si>
  <si>
    <t>2016-11-26T06:31:00</t>
  </si>
  <si>
    <t>2016-11-28T06:15:00</t>
  </si>
  <si>
    <t>2016-12-06T06:17:00</t>
  </si>
  <si>
    <t>2016-12-06T06:25:00</t>
  </si>
  <si>
    <t>2016-12-14T06:15:00</t>
  </si>
  <si>
    <t>2016-12-22T06:17:00</t>
  </si>
  <si>
    <t>2016-12-26T06:26:00</t>
  </si>
  <si>
    <t>2016-12-30T06:15:00</t>
  </si>
  <si>
    <t>2017-01-05T06:31:00</t>
  </si>
  <si>
    <t>2017-01-07T06:17:00</t>
  </si>
  <si>
    <t>2017-01-15T06:15:00</t>
  </si>
  <si>
    <t>2017-01-15T06:22:00</t>
  </si>
  <si>
    <t>2017-01-31T06:15:00</t>
  </si>
  <si>
    <t>2017-02-04T06:22:00</t>
  </si>
  <si>
    <t>2017-02-16T06:15:00</t>
  </si>
  <si>
    <t>2017-02-24T06:17:00</t>
  </si>
  <si>
    <t>2017-03-04T06:15:00</t>
  </si>
  <si>
    <t>2017-03-06T06:27:00</t>
  </si>
  <si>
    <t>2017-03-20T06:14:00</t>
  </si>
  <si>
    <t>2017-03-26T06:31:00</t>
  </si>
  <si>
    <t>2017-03-28T06:17:00</t>
  </si>
  <si>
    <t>2017-04-05T06:14:00</t>
  </si>
  <si>
    <t>2017-04-13T06:17:00</t>
  </si>
  <si>
    <t>2017-04-15T06:26:00</t>
  </si>
  <si>
    <t>2017-04-21T06:14:00</t>
  </si>
  <si>
    <t>2017-04-29T06:17:00</t>
  </si>
  <si>
    <t>2017-05-05T06:26:00</t>
  </si>
  <si>
    <t>2017-05-07T06:14:00</t>
  </si>
  <si>
    <t>2017-05-15T06:17:00</t>
  </si>
  <si>
    <t>2017-05-23T06:14:00</t>
  </si>
  <si>
    <t>2017-05-25T06:26:00</t>
  </si>
  <si>
    <t>2017-05-31T06:17:00</t>
  </si>
  <si>
    <t>2017-06-08T06:14:00</t>
  </si>
  <si>
    <t>2017-06-14T06:26:00</t>
  </si>
  <si>
    <t>2017-06-24T06:15:00</t>
  </si>
  <si>
    <t>2017-07-02T06:17:00</t>
  </si>
  <si>
    <t>2017-07-04T06:26:00</t>
  </si>
  <si>
    <t>2017-07-18T06:17:00</t>
  </si>
  <si>
    <t>2017-07-26T06:15:00</t>
  </si>
  <si>
    <t>2017-08-03T06:17:00</t>
  </si>
  <si>
    <t>2017-08-13T06:26:00</t>
  </si>
  <si>
    <t>2017-08-19T06:17:00</t>
  </si>
  <si>
    <t>2017-08-27T06:15:00</t>
  </si>
  <si>
    <t>2017-08-28T06:25:00</t>
  </si>
  <si>
    <t>2017-09-04T06:17:00</t>
  </si>
  <si>
    <t>2017-09-12T06:15:00</t>
  </si>
  <si>
    <t>2017-09-17T06:26:00</t>
  </si>
  <si>
    <t>2017-09-20T06:17:00</t>
  </si>
  <si>
    <t>2017-09-22T06:26:00</t>
  </si>
  <si>
    <t>2017-09-28T06:15:00</t>
  </si>
  <si>
    <t>2017-10-06T06:17:00</t>
  </si>
  <si>
    <t>2017-10-07T06:27:00</t>
  </si>
  <si>
    <t>2017-10-12T06:22:00</t>
  </si>
  <si>
    <t>2017-10-14T06:15:00</t>
  </si>
  <si>
    <t>2017-10-22T06:17:00</t>
  </si>
  <si>
    <t>2017-10-27T06:21:00</t>
  </si>
  <si>
    <t>2017-10-30T06:15:00</t>
  </si>
  <si>
    <t>2017-11-01T06:21:00</t>
  </si>
  <si>
    <t>2017-11-06T06:27:00</t>
  </si>
  <si>
    <t>2017-11-07T06:17:00</t>
  </si>
  <si>
    <t>2017-11-15T06:15:00</t>
  </si>
  <si>
    <t>2017-11-16T06:24:00</t>
  </si>
  <si>
    <t>2017-11-21T06:25:00</t>
  </si>
  <si>
    <t>2017-11-23T06:17:00</t>
  </si>
  <si>
    <t>2017-11-26T06:30:00</t>
  </si>
  <si>
    <t>2017-12-01T06:15:00</t>
  </si>
  <si>
    <t>2017-12-06T06:26:00</t>
  </si>
  <si>
    <t>2017-12-09T06:17:00</t>
  </si>
  <si>
    <t>2017-12-11T06:26:00</t>
  </si>
  <si>
    <t>2017-12-16T06:28:00</t>
  </si>
  <si>
    <t>2017-12-17T06:15:00</t>
  </si>
  <si>
    <t>2017-12-26T06:27:00</t>
  </si>
  <si>
    <t>2018-01-02T06:15:00</t>
  </si>
  <si>
    <t>2018-01-05T06:30:00</t>
  </si>
  <si>
    <t>2018-01-10T06:17:00</t>
  </si>
  <si>
    <t>2018-01-15T06:25:00</t>
  </si>
  <si>
    <t>2018-01-18T06:15:00</t>
  </si>
  <si>
    <t>2018-01-20T06:30:00</t>
  </si>
  <si>
    <t>2018-01-25T06:21:00</t>
  </si>
  <si>
    <t>2018-01-26T06:17:00</t>
  </si>
  <si>
    <t>2018-02-03T06:15:00</t>
  </si>
  <si>
    <t>2018-02-04T06:23:00</t>
  </si>
  <si>
    <t>2018-02-09T06:27:00</t>
  </si>
  <si>
    <t>2018-02-19T06:15:00</t>
  </si>
  <si>
    <t>2018-02-19T06:27:00</t>
  </si>
  <si>
    <t>2018-02-27T06:16:00</t>
  </si>
  <si>
    <t>2018-03-01T06:23:00</t>
  </si>
  <si>
    <t>2018-03-06T06:26:00</t>
  </si>
  <si>
    <t>2018-03-07T06:14:00</t>
  </si>
  <si>
    <t>2018-03-11T06:27:00</t>
  </si>
  <si>
    <t>2018-03-15T06:16:00</t>
  </si>
  <si>
    <t>2018-03-16T06:26:00</t>
  </si>
  <si>
    <t>2018-03-21T06:23:00</t>
  </si>
  <si>
    <t>2018-03-23T06:14:00</t>
  </si>
  <si>
    <t>2018-03-26T06:30:00</t>
  </si>
  <si>
    <t>2018-03-31T06:16:00</t>
  </si>
  <si>
    <t>2018-03-31T06:27:00</t>
  </si>
  <si>
    <t>2018-04-05T06:23:00</t>
  </si>
  <si>
    <t>2018-04-08T06:14:00</t>
  </si>
  <si>
    <t>2018-04-15T06:24:00</t>
  </si>
  <si>
    <t>2018-04-16T06:15:00</t>
  </si>
  <si>
    <t>2018-04-20T06:30:00</t>
  </si>
  <si>
    <t>2018-04-24T06:14:00</t>
  </si>
  <si>
    <t>2018-04-25T06:26:00</t>
  </si>
  <si>
    <t>2018-04-30T06:27:00</t>
  </si>
  <si>
    <t>2018-05-02T06:15:00</t>
  </si>
  <si>
    <t>2018-05-10T06:14:00</t>
  </si>
  <si>
    <t>2018-05-15T06:26:00</t>
  </si>
  <si>
    <t>2018-06-19T06:14:00</t>
  </si>
  <si>
    <t>2018-06-27T06:14:00</t>
  </si>
  <si>
    <t>2018-07-13T06:14:00</t>
  </si>
  <si>
    <t>2018-07-21T06:14:00</t>
  </si>
  <si>
    <t>2018-07-29T06:14:00</t>
  </si>
  <si>
    <t>2018-07-29T06:23:00</t>
  </si>
  <si>
    <t>2018-08-18T06:23:00</t>
  </si>
  <si>
    <t>2018-08-22T06:13:00</t>
  </si>
  <si>
    <t>2018-09-02T06:22:00</t>
  </si>
  <si>
    <t>2018-09-07T06:13:00</t>
  </si>
  <si>
    <t>2018-09-07T06:25:00</t>
  </si>
  <si>
    <t>2018-09-15T06:14:00</t>
  </si>
  <si>
    <t>2018-09-17T06:23:00</t>
  </si>
  <si>
    <t>2018-09-22T06:27:00</t>
  </si>
  <si>
    <t>2018-09-23T06:13:00</t>
  </si>
  <si>
    <t>2018-09-27T06:24:00</t>
  </si>
  <si>
    <t>2018-10-01T06:15:00</t>
  </si>
  <si>
    <t>2018-10-02T06:21:00</t>
  </si>
  <si>
    <t>2018-10-07T06:26:00</t>
  </si>
  <si>
    <t>2018-10-09T06:12:00</t>
  </si>
  <si>
    <t>2018-10-12T06:29:00</t>
  </si>
  <si>
    <t>2018-10-17T06:15:00</t>
  </si>
  <si>
    <t>2018-10-17T06:27:00</t>
  </si>
  <si>
    <t>2018-10-22T06:31:00</t>
  </si>
  <si>
    <t>2018-10-25T06:12:00</t>
  </si>
  <si>
    <t>2018-10-27T06:30:00</t>
  </si>
  <si>
    <t>2018-11-01T06:31:00</t>
  </si>
  <si>
    <t>2018-11-02T06:15:00</t>
  </si>
  <si>
    <t>2018-11-06T06:32:00</t>
  </si>
  <si>
    <t>2018-11-10T06:11:00</t>
  </si>
  <si>
    <t>2018-11-11T06:32:00</t>
  </si>
  <si>
    <t>2018-11-16T06:32:00</t>
  </si>
  <si>
    <t>2018-11-21T06:32:00</t>
  </si>
  <si>
    <t>2018-11-26T06:11:00</t>
  </si>
  <si>
    <t>2018-11-26T06:32:00</t>
  </si>
  <si>
    <t>2018-12-01T06:32:00</t>
  </si>
  <si>
    <t>2018-12-04T06:15:00</t>
  </si>
  <si>
    <t>2018-12-06T06:32:00</t>
  </si>
  <si>
    <t>2018-12-11T06:32:00</t>
  </si>
  <si>
    <t>2018-12-16T06:32:00</t>
  </si>
  <si>
    <t>2018-12-20T06:15:00</t>
  </si>
  <si>
    <t>2018-12-21T06:32:00</t>
  </si>
  <si>
    <t>2018-12-26T06:32:00</t>
  </si>
  <si>
    <t>2018-12-28T06:10:00</t>
  </si>
  <si>
    <t>2018-12-31T06:32:00</t>
  </si>
  <si>
    <t>2019-01-05T06:15:00</t>
  </si>
  <si>
    <t>2019-01-05T06:32:00</t>
  </si>
  <si>
    <t>2019-01-13T06:10:00</t>
  </si>
  <si>
    <t>2019-01-15T06:32:00</t>
  </si>
  <si>
    <t>2019-01-20T06:32:00</t>
  </si>
  <si>
    <t>2019-01-21T06:15:00</t>
  </si>
  <si>
    <t>2019-01-25T06:32:00</t>
  </si>
  <si>
    <t>2019-01-28T06:21:00</t>
  </si>
  <si>
    <t>2019-02-06T06:15:00</t>
  </si>
  <si>
    <t>2019-02-09T06:32:00</t>
  </si>
  <si>
    <t>2019-02-14T06:09:00</t>
  </si>
  <si>
    <t>2019-02-14T06:32:00</t>
  </si>
  <si>
    <t>2019-02-24T06:32:00</t>
  </si>
  <si>
    <t>2019-03-02T06:08:00</t>
  </si>
  <si>
    <t>2019-03-06T06:32:00</t>
  </si>
  <si>
    <t>2019-03-10T06:14:00</t>
  </si>
  <si>
    <t>2019-03-11T06:32:00</t>
  </si>
  <si>
    <t>2019-03-21T06:32:00</t>
  </si>
  <si>
    <t>2019-03-26T06:14:00</t>
  </si>
  <si>
    <t>2019-03-31T06:32:00</t>
  </si>
  <si>
    <t>2019-04-03T06:07:00</t>
  </si>
  <si>
    <t>2019-04-05T06:32:00</t>
  </si>
  <si>
    <t>2019-04-11T06:14:00</t>
  </si>
  <si>
    <t>2019-04-15T06:32:00</t>
  </si>
  <si>
    <t>2019-04-19T06:07:00</t>
  </si>
  <si>
    <t>2019-04-20T06:32:00</t>
  </si>
  <si>
    <t>2019-04-25T06:32:00</t>
  </si>
  <si>
    <t>2019-04-27T06:14:00</t>
  </si>
  <si>
    <t>2019-04-30T06:32:00</t>
  </si>
  <si>
    <t>2019-05-05T06:06:00</t>
  </si>
  <si>
    <t>2019-05-05T06:32:00</t>
  </si>
  <si>
    <t>2019-05-10T06:32:00</t>
  </si>
  <si>
    <t>2019-05-13T06:14:00</t>
  </si>
  <si>
    <t>2019-05-15T06:32:00</t>
  </si>
  <si>
    <t>2019-05-21T06:05:00</t>
  </si>
  <si>
    <t>2019-05-25T06:32:00</t>
  </si>
  <si>
    <t>2019-05-29T06:14:00</t>
  </si>
  <si>
    <t>2019-05-30T06:32:00</t>
  </si>
  <si>
    <t>2019-06-04T06:32:00</t>
  </si>
  <si>
    <t>2019-06-06T06:05:00</t>
  </si>
  <si>
    <t>2019-06-09T06:32:00</t>
  </si>
  <si>
    <t>2019-06-14T06:15:00</t>
  </si>
  <si>
    <t>2019-06-14T06:32:00</t>
  </si>
  <si>
    <t>2019-06-19T06:32:00</t>
  </si>
  <si>
    <t>2019-06-24T06:32:00</t>
  </si>
  <si>
    <t>2019-06-29T06:32:00</t>
  </si>
  <si>
    <t>2019-06-30T06:15:00</t>
  </si>
  <si>
    <t>2019-07-04T06:32:00</t>
  </si>
  <si>
    <t>2019-07-08T06:04:00</t>
  </si>
  <si>
    <t>2019-07-09T06:32:00</t>
  </si>
  <si>
    <t>2019-07-19T06:32:00</t>
  </si>
  <si>
    <t>2019-08-01T06:15:00</t>
  </si>
  <si>
    <t>2019-08-03T06:32:00</t>
  </si>
  <si>
    <t>2019-08-09T06:02:00</t>
  </si>
  <si>
    <t>2019-08-13T06:32:00</t>
  </si>
  <si>
    <t>2019-08-17T06:15:00</t>
  </si>
  <si>
    <t>2019-08-18T06:32:00</t>
  </si>
  <si>
    <t>2019-08-23T06:32:00</t>
  </si>
  <si>
    <t>2019-08-25T06:02:00</t>
  </si>
  <si>
    <t>2019-08-28T06:32:00</t>
  </si>
  <si>
    <t>2019-09-02T06:15:00</t>
  </si>
  <si>
    <t>2019-09-07T06:32:00</t>
  </si>
  <si>
    <t>2019-09-10T06:01:00</t>
  </si>
  <si>
    <t>2019-09-12T06:32:00</t>
  </si>
  <si>
    <t>2019-09-17T06:32:00</t>
  </si>
  <si>
    <t>2019-09-18T06:15:00</t>
  </si>
  <si>
    <t>2019-09-22T06:32:00</t>
  </si>
  <si>
    <t>2019-09-26T06:00:00</t>
  </si>
  <si>
    <t>2019-09-27T06:32:00</t>
  </si>
  <si>
    <t>2019-10-02T06:32:00</t>
  </si>
  <si>
    <t>2019-10-04T06:15:00</t>
  </si>
  <si>
    <t>2019-10-12T06:00:00</t>
  </si>
  <si>
    <t>2019-10-12T06:32:00</t>
  </si>
  <si>
    <t>2019-10-17T06:32:00</t>
  </si>
  <si>
    <t>2019-10-20T06:15:00</t>
  </si>
  <si>
    <t>2019-10-22T06:32:00</t>
  </si>
  <si>
    <t>2019-10-27T06:32:00</t>
  </si>
  <si>
    <t>2019-10-28T05:59:00</t>
  </si>
  <si>
    <t>2019-11-01T06:32:00</t>
  </si>
  <si>
    <t>2019-11-05T06:15:00</t>
  </si>
  <si>
    <t>2019-11-06T06:32:00</t>
  </si>
  <si>
    <t>2019-11-11T06:32:00</t>
  </si>
  <si>
    <t>2019-11-13T05:58:00</t>
  </si>
  <si>
    <t>2019-11-16T06:32:00</t>
  </si>
  <si>
    <t>2019-11-29T05:57:00</t>
  </si>
  <si>
    <t>2019-12-01T06:32:00</t>
  </si>
  <si>
    <t>2019-12-06T06:32:00</t>
  </si>
  <si>
    <t>2019-12-15T05:57:00</t>
  </si>
  <si>
    <t>2019-12-16T06:32:00</t>
  </si>
  <si>
    <t>2019-12-21T06:32:00</t>
  </si>
  <si>
    <t>2019-12-23T06:15:00</t>
  </si>
  <si>
    <t>2019-12-26T06:32:00</t>
  </si>
  <si>
    <t>2019-12-31T05:56:00</t>
  </si>
  <si>
    <t>2019-12-31T06:32:00</t>
  </si>
  <si>
    <t>2020-01-08T06:15:00</t>
  </si>
  <si>
    <t>2020-01-16T05:55:00</t>
  </si>
  <si>
    <t>2020-01-20T06:32:00</t>
  </si>
  <si>
    <t>2020-01-25T06:32:00</t>
  </si>
  <si>
    <t>2020-01-30T06:32:00</t>
  </si>
  <si>
    <t>2020-02-01T05:54:00</t>
  </si>
  <si>
    <t>2020-02-04T06:32:00</t>
  </si>
  <si>
    <t>2020-02-09T06:15:00</t>
  </si>
  <si>
    <t>2020-02-09T06:32:00</t>
  </si>
  <si>
    <t>2020-02-14T06:32:00</t>
  </si>
  <si>
    <t>2020-02-17T05:53:00</t>
  </si>
  <si>
    <t>2020-02-19T06:32:00</t>
  </si>
  <si>
    <t>2020-02-24T06:32:00</t>
  </si>
  <si>
    <t>2020-02-29T06:32:00</t>
  </si>
  <si>
    <t>2020-03-04T05:52:00</t>
  </si>
  <si>
    <t>2020-03-05T06:32:00</t>
  </si>
  <si>
    <t>2020-03-10T06:32:00</t>
  </si>
  <si>
    <t>2020-03-12T06:15:00</t>
  </si>
  <si>
    <t>2020-03-20T05:52:00</t>
  </si>
  <si>
    <t>2020-03-20T06:32:00</t>
  </si>
  <si>
    <t>2020-03-25T06:32:00</t>
  </si>
  <si>
    <t>2020-03-28T06:15:00</t>
  </si>
  <si>
    <t>2020-03-30T06:32:00</t>
  </si>
  <si>
    <t>2020-04-04T06:32:00</t>
  </si>
  <si>
    <t>2020-04-05T05:51:00</t>
  </si>
  <si>
    <t>2020-04-09T06:32:00</t>
  </si>
  <si>
    <t>2020-04-13T06:14:00</t>
  </si>
  <si>
    <t>2020-04-14T06:32:00</t>
  </si>
  <si>
    <t>2020-04-19T06:32:00</t>
  </si>
  <si>
    <t>2020-04-21T05:50:00</t>
  </si>
  <si>
    <t>2020-04-24T06:32:00</t>
  </si>
  <si>
    <t>2020-04-29T06:14:00</t>
  </si>
  <si>
    <t>2020-04-29T06:32:00</t>
  </si>
  <si>
    <t>2020-05-04T06:32:00</t>
  </si>
  <si>
    <t>2020-05-07T05:49:00</t>
  </si>
  <si>
    <t>2020-05-09T06:32:00</t>
  </si>
  <si>
    <t>2020-05-14T06:32:00</t>
  </si>
  <si>
    <t>2020-05-15T06:14:00</t>
  </si>
  <si>
    <t>2020-05-23T05:48:00</t>
  </si>
  <si>
    <t>2020-05-24T06:32:00</t>
  </si>
  <si>
    <t>2020-05-29T06:32:00</t>
  </si>
  <si>
    <t>2020-05-31T06:14:00</t>
  </si>
  <si>
    <t>2020-06-03T06:32:00</t>
  </si>
  <si>
    <t>2020-06-13T06:32:00</t>
  </si>
  <si>
    <t>2020-06-16T06:14:00</t>
  </si>
  <si>
    <t>2020-06-18T06:32:00</t>
  </si>
  <si>
    <t>2020-06-23T06:32:00</t>
  </si>
  <si>
    <t>2020-06-24T05:46:00</t>
  </si>
  <si>
    <t>2020-06-28T06:32:00</t>
  </si>
  <si>
    <t>2020-07-02T06:15:00</t>
  </si>
  <si>
    <t>2020-07-03T06:32:00</t>
  </si>
  <si>
    <t>2020-07-10T05:45:00</t>
  </si>
  <si>
    <t>2020-07-13T06:32:00</t>
  </si>
  <si>
    <t>2020-07-18T06:15:00</t>
  </si>
  <si>
    <t>2020-07-18T06:32:00</t>
  </si>
  <si>
    <t>2020-07-26T05:44:00</t>
  </si>
  <si>
    <t>2020-07-28T06:32:00</t>
  </si>
  <si>
    <t>2020-08-02T06:32:00</t>
  </si>
  <si>
    <t>2020-08-03T06:15:00</t>
  </si>
  <si>
    <t>2020-08-17T06:32:00</t>
  </si>
  <si>
    <t>2020-08-22T06:32:00</t>
  </si>
  <si>
    <t>2020-09-01T06:32:00</t>
  </si>
  <si>
    <t>2020-09-04T06:15:00</t>
  </si>
  <si>
    <t>2020-09-06T06:32:00</t>
  </si>
  <si>
    <t>2020-09-11T06:32:00</t>
  </si>
  <si>
    <t>2020-09-12T05:41:00</t>
  </si>
  <si>
    <t>2020-09-16T06:32:00</t>
  </si>
  <si>
    <t>2020-09-20T06:15:00</t>
  </si>
  <si>
    <t>2020-09-21T06:32:00</t>
  </si>
  <si>
    <t>2020-09-26T06:32:00</t>
  </si>
  <si>
    <t>2020-09-28T05:40:00</t>
  </si>
  <si>
    <t>2020-10-01T06:32:00</t>
  </si>
  <si>
    <t>2020-10-06T06:15:00</t>
  </si>
  <si>
    <t>2020-10-11T06:32:00</t>
  </si>
  <si>
    <t>2020-10-14T05:39:00</t>
  </si>
  <si>
    <t>2020-10-16T06:32:00</t>
  </si>
  <si>
    <t>2020-10-21T06:32:00</t>
  </si>
  <si>
    <t>2020-10-22T06:15:00</t>
  </si>
  <si>
    <t>2020-10-26T06:32:00</t>
  </si>
  <si>
    <t>2020-10-30T05:38:00</t>
  </si>
  <si>
    <t>2020-10-31T06:32:00</t>
  </si>
  <si>
    <t>2020-11-05T06:32:00</t>
  </si>
  <si>
    <t>2020-11-10T06:32:00</t>
  </si>
  <si>
    <t>2020-11-15T05:37:00</t>
  </si>
  <si>
    <t>2020-11-15T06:32:00</t>
  </si>
  <si>
    <t>2020-11-20T06:32:00</t>
  </si>
  <si>
    <t>2020-11-23T06:15:00</t>
  </si>
  <si>
    <t>2020-11-25T06:32:00</t>
  </si>
  <si>
    <t>2020-11-30T06:32:00</t>
  </si>
  <si>
    <t>2020-12-01T05:36:00</t>
  </si>
  <si>
    <t>2020-12-05T06:32:00</t>
  </si>
  <si>
    <t>2020-12-09T06:15:00</t>
  </si>
  <si>
    <t>2020-12-10T06:32:00</t>
  </si>
  <si>
    <t>2020-12-15T06:32:00</t>
  </si>
  <si>
    <t>2020-12-17T05:34:00</t>
  </si>
  <si>
    <t>2020-12-20T06:32:00</t>
  </si>
  <si>
    <t>2020-12-25T06:15:00</t>
  </si>
  <si>
    <t>2021-01-02T05:33:00</t>
  </si>
  <si>
    <t>2021-01-04T06:32:00</t>
  </si>
  <si>
    <t>2021-01-09T06:32:00</t>
  </si>
  <si>
    <t>2021-01-10T06:15:00</t>
  </si>
  <si>
    <t>2021-01-14T06:32:00</t>
  </si>
  <si>
    <t>2021-01-18T05:32:00</t>
  </si>
  <si>
    <t>2021-01-19T06:32:00</t>
  </si>
  <si>
    <t>2021-01-24T06:32:00</t>
  </si>
  <si>
    <t>2021-01-26T06:15:00</t>
  </si>
  <si>
    <t>2021-01-29T06:32:00</t>
  </si>
  <si>
    <t>2021-02-03T05:31:00</t>
  </si>
  <si>
    <t>2021-02-03T06:32:00</t>
  </si>
  <si>
    <t>2021-02-08T06:32:00</t>
  </si>
  <si>
    <t>2021-02-13T06:32:00</t>
  </si>
  <si>
    <t>2021-02-18T06:32:00</t>
  </si>
  <si>
    <t>2021-02-19T05:30:00</t>
  </si>
  <si>
    <t>2021-02-23T06:32:00</t>
  </si>
  <si>
    <t>2021-02-27T06:15:00</t>
  </si>
  <si>
    <t>2021-02-28T06:32:00</t>
  </si>
  <si>
    <t>2021-03-05T06:32:00</t>
  </si>
  <si>
    <t>2021-03-07T05:28:00</t>
  </si>
  <si>
    <t>2021-03-10T06:32:00</t>
  </si>
  <si>
    <t>2021-03-15T06:15:00</t>
  </si>
  <si>
    <t>2021-03-15T06:32:00</t>
  </si>
  <si>
    <t>2021-03-20T06:32:00</t>
  </si>
  <si>
    <t>2021-03-23T05:27:00</t>
  </si>
  <si>
    <t>2021-03-25T06:32:00</t>
  </si>
  <si>
    <t>2021-03-30T06:32:00</t>
  </si>
  <si>
    <t>2021-03-31T06:15:00</t>
  </si>
  <si>
    <t>2021-04-04T06:32:00</t>
  </si>
  <si>
    <t>2021-04-08T05:26:00</t>
  </si>
  <si>
    <t>2021-04-09T06:32:00</t>
  </si>
  <si>
    <t>2021-04-14T06:32:00</t>
  </si>
  <si>
    <t>2021-04-16T06:14:00</t>
  </si>
  <si>
    <t>2021-04-24T05:25:00</t>
  </si>
  <si>
    <t>2021-04-24T06:32:00</t>
  </si>
  <si>
    <t>2021-04-29T06:32:00</t>
  </si>
  <si>
    <t>2021-05-04T06:32:00</t>
  </si>
  <si>
    <t>2021-05-09T06:32:00</t>
  </si>
  <si>
    <t>2021-05-10T05:23:00</t>
  </si>
  <si>
    <t>2021-05-14T06:32:00</t>
  </si>
  <si>
    <t>2021-05-18T06:14:00</t>
  </si>
  <si>
    <t>2021-05-19T06:32:00</t>
  </si>
  <si>
    <t>2021-05-24T06:32:00</t>
  </si>
  <si>
    <t>2021-05-26T05:22:00</t>
  </si>
  <si>
    <t>2021-05-29T06:32:00</t>
  </si>
  <si>
    <t>2021-06-03T06:15:00</t>
  </si>
  <si>
    <t>2021-06-03T06:32:00</t>
  </si>
  <si>
    <t>2021-06-18T06:32:00</t>
  </si>
  <si>
    <t>2021-06-19T06:15:00</t>
  </si>
  <si>
    <t>2021-06-23T06:32:00</t>
  </si>
  <si>
    <t>2021-06-28T06:32:00</t>
  </si>
  <si>
    <t>2021-07-03T06:32:00</t>
  </si>
  <si>
    <t>2021-07-08T06:32:00</t>
  </si>
  <si>
    <t>2021-07-13T05:18:00</t>
  </si>
  <si>
    <t>2021-07-21T06:15:00</t>
  </si>
  <si>
    <t>2021-07-23T06:32:00</t>
  </si>
  <si>
    <t>2021-07-29T05:16:00</t>
  </si>
  <si>
    <t>2021-08-02T06:32:00</t>
  </si>
  <si>
    <t>2021-08-06T06:15:00</t>
  </si>
  <si>
    <t>2021-08-07T06:32:00</t>
  </si>
  <si>
    <t>2021-08-12T06:32:00</t>
  </si>
  <si>
    <t>2021-08-17T06:32:00</t>
  </si>
  <si>
    <t>2021-08-22T06:15:00</t>
  </si>
  <si>
    <t>2021-08-22T06:32:00</t>
  </si>
  <si>
    <t>2021-08-27T06:32:00</t>
  </si>
  <si>
    <t>2021-08-30T05:14:00</t>
  </si>
  <si>
    <t>2021-09-01T06:32:00</t>
  </si>
  <si>
    <t>2021-09-06T06:32:00</t>
  </si>
  <si>
    <t>2021-09-07T06:15:00</t>
  </si>
  <si>
    <t>2021-09-11T06:32:00</t>
  </si>
  <si>
    <t>2021-09-15T05:12:00</t>
  </si>
  <si>
    <t>2021-09-16T06:32:00</t>
  </si>
  <si>
    <t>2021-09-21T06:32:00</t>
  </si>
  <si>
    <t>2021-09-26T06:32:00</t>
  </si>
  <si>
    <t>2021-10-06T06:32:00</t>
  </si>
  <si>
    <t>2021-10-09T06:15:00</t>
  </si>
  <si>
    <t>2021-10-11T06:32:00</t>
  </si>
  <si>
    <t>2021-10-16T06:32:00</t>
  </si>
  <si>
    <t>2021-10-17T05:09:00</t>
  </si>
  <si>
    <t>2021-10-25T06:15:00</t>
  </si>
  <si>
    <t>2021-10-26T06:32:00</t>
  </si>
  <si>
    <t>2021-10-31T06:32:00</t>
  </si>
  <si>
    <t>2021-11-02T05:08:00</t>
  </si>
  <si>
    <t>2021-11-05T06:32:00</t>
  </si>
  <si>
    <t>2021-11-10T06:15:00</t>
  </si>
  <si>
    <t>2021-11-15T06:32:00</t>
  </si>
  <si>
    <t>2021-11-18T05:06:00</t>
  </si>
  <si>
    <t>2021-11-20T06:32:00</t>
  </si>
  <si>
    <t>2021-11-25T06:32:00</t>
  </si>
  <si>
    <t>2021-11-26T06:15:00</t>
  </si>
  <si>
    <t>2021-11-30T06:32:00</t>
  </si>
  <si>
    <t>2021-12-04T05:05:00</t>
  </si>
  <si>
    <t>2021-12-05T06:32:00</t>
  </si>
  <si>
    <t>2021-12-10T06:32:00</t>
  </si>
  <si>
    <t>2021-12-12T06:15:00</t>
  </si>
  <si>
    <t>2021-12-20T06:32:00</t>
  </si>
  <si>
    <t>2021-12-25T06:32:00</t>
  </si>
  <si>
    <t>2021-12-28T06:15:00</t>
  </si>
  <si>
    <t>2022-01-09T06:32:00</t>
  </si>
  <si>
    <t>2022-01-14T06:32:00</t>
  </si>
  <si>
    <t>2022-01-24T06:32:00</t>
  </si>
  <si>
    <t>2022-02-28T06:32:00</t>
  </si>
  <si>
    <t>2022-03-10T06:32:00</t>
  </si>
  <si>
    <t>2022-03-15T06:32:00</t>
  </si>
  <si>
    <t>2022-04-04T06:32:12.683000</t>
  </si>
  <si>
    <t>2022-04-09T06:32:17.166000</t>
  </si>
  <si>
    <t>2022-04-14T06:32:12.276000</t>
  </si>
  <si>
    <t>2022-04-19T06:32:20.059000</t>
  </si>
  <si>
    <t>2022-04-24T06:32:10.082000</t>
  </si>
  <si>
    <t>2022-04-29T06:32:21.099000</t>
  </si>
  <si>
    <t>2022-05-04T06:32:11.090000</t>
  </si>
  <si>
    <t>2022-05-09T06:32:19.978000</t>
  </si>
  <si>
    <t>2022-05-14T06:32:14.528000</t>
  </si>
  <si>
    <t>2022-05-19T06:32:21.804000</t>
  </si>
  <si>
    <t>2022-05-24T06:32:16.085000</t>
  </si>
  <si>
    <t>2022-05-29T06:32:21.192000</t>
  </si>
  <si>
    <t>2022-06-03T06:32:15.672000</t>
  </si>
  <si>
    <t>2022-06-08T06:32:24.455000</t>
  </si>
  <si>
    <t>2022-06-13T06:32:19.002000</t>
  </si>
  <si>
    <t>2022-06-18T06:32:27.382000</t>
  </si>
  <si>
    <t>2022-06-23T06:32:20.705000</t>
  </si>
  <si>
    <t>2022-06-28T06:32:28.753000</t>
  </si>
  <si>
    <t>2022-07-03T06:32:21.055000</t>
  </si>
  <si>
    <t>2022-07-13T06:32:20.249000</t>
  </si>
  <si>
    <t>2022-07-18T06:32:27.931000</t>
  </si>
  <si>
    <t>2022-08-07T06:32:27.348000</t>
  </si>
  <si>
    <t>2022-08-17T06:32:28.508000</t>
  </si>
  <si>
    <t>2022-08-22T06:32:16.882000</t>
  </si>
  <si>
    <t>2022-08-27T06:32:28.503000</t>
  </si>
  <si>
    <t>2022-09-01T06:32:17.011000</t>
  </si>
  <si>
    <t>2022-09-06T06:32:27.520000</t>
  </si>
  <si>
    <t>2022-09-11T06:32:17.929000</t>
  </si>
  <si>
    <t>2022-09-16T06:32:25.160000</t>
  </si>
  <si>
    <t>2022-09-21T06:32:17.258000</t>
  </si>
  <si>
    <t>2022-09-26T06:32:23.137000</t>
  </si>
  <si>
    <t>2022-10-01T06:32:15.108000</t>
  </si>
  <si>
    <t>2022-10-06T06:32:22.714000</t>
  </si>
  <si>
    <t>2022-10-11T06:32:14.403000</t>
  </si>
  <si>
    <t>2022-10-16T06:32:19.602000</t>
  </si>
  <si>
    <t>2022-10-21T06:32:15.362000</t>
  </si>
  <si>
    <t>2022-10-26T06:32:18.946000</t>
  </si>
  <si>
    <t>2022-10-31T06:32:14.337000</t>
  </si>
  <si>
    <t>2022-11-05T06:32:20.056000</t>
  </si>
  <si>
    <t>2022-11-10T06:32:15.104000</t>
  </si>
  <si>
    <t>2022-11-15T06:32:18.443000</t>
  </si>
  <si>
    <t>2022-11-20T06:32:15.631000</t>
  </si>
  <si>
    <t>2022-11-25T06:32:15.149000</t>
  </si>
  <si>
    <t>2022-11-30T06:32:14.434000</t>
  </si>
  <si>
    <t>2022-12-05T06:32:16.441000</t>
  </si>
  <si>
    <t>2022-12-10T06:32:12.567000</t>
  </si>
  <si>
    <t>2022-12-15T06:32:15.645000</t>
  </si>
  <si>
    <t>2022-12-20T06:32:14.895000</t>
  </si>
  <si>
    <t>2022-12-25T06:32:14.072000</t>
  </si>
  <si>
    <t>2022-12-30T06:32:14.943000</t>
  </si>
  <si>
    <t>2023-01-04T06:32:14.979000</t>
  </si>
  <si>
    <t>2023-01-09T06:32:12.627000</t>
  </si>
  <si>
    <t>2023-01-14T06:32:13.101000</t>
  </si>
  <si>
    <t>2023-01-19T06:32:13.395000</t>
  </si>
  <si>
    <t>2023-01-24T06:32:12.515000</t>
  </si>
  <si>
    <t>2023-01-29T06:32:13.481000</t>
  </si>
  <si>
    <t>2023-02-03T06:32:14.691000</t>
  </si>
  <si>
    <t>2023-02-08T06:32:14.186000</t>
  </si>
  <si>
    <t>2023-02-13T06:32:13.777000</t>
  </si>
  <si>
    <t>2023-02-18T06:32:14.442000</t>
  </si>
  <si>
    <t>2023-02-23T06:32:13.439000</t>
  </si>
  <si>
    <t>2023-02-28T06:32:16.744000</t>
  </si>
  <si>
    <t>2023-03-05T06:32:05.938000</t>
  </si>
  <si>
    <t>2023-03-05T06:32:13.105000</t>
  </si>
  <si>
    <t>2023-03-10T06:32:20.031000</t>
  </si>
  <si>
    <t>2023-03-15T06:32:13.096000</t>
  </si>
  <si>
    <t>2023-03-20T06:32:12.667000</t>
  </si>
  <si>
    <t>2023-03-20T06:32:19.791000</t>
  </si>
  <si>
    <t>2023-03-25T06:32:14.424000</t>
  </si>
  <si>
    <t>2023-03-30T06:32:19.333000</t>
  </si>
  <si>
    <t>2023-04-04T06:32:15.440000</t>
  </si>
  <si>
    <t>2023-04-09T06:32:18.043000</t>
  </si>
  <si>
    <t>2023-04-14T06:32:15.878000</t>
  </si>
  <si>
    <t>2023-04-19T06:32:17.739000</t>
  </si>
  <si>
    <t>2023-04-24T06:32:15.442000</t>
  </si>
  <si>
    <t>2023-05-04T06:32:15.431000</t>
  </si>
  <si>
    <t>2023-05-09T06:32:18.596000</t>
  </si>
  <si>
    <t>2023-05-14T06:32:16.190000</t>
  </si>
  <si>
    <t>2023-05-24T06:32:19.214000</t>
  </si>
  <si>
    <t>2023-06-03T06:32:19.199000</t>
  </si>
  <si>
    <t>2023-06-08T06:32:20.783000</t>
  </si>
  <si>
    <t>2023-06-13T06:32:20.095000</t>
  </si>
  <si>
    <t>2023-06-18T06:32:20.567000</t>
  </si>
  <si>
    <t>2023-06-23T06:32:19.389000</t>
  </si>
  <si>
    <t>2023-06-28T06:32:20.838000</t>
  </si>
  <si>
    <t>2023-07-03T06:32:20.806000</t>
  </si>
  <si>
    <t>2023-07-08T06:32:21.205000</t>
  </si>
  <si>
    <t>2023-07-13T06:32:21.049000</t>
  </si>
  <si>
    <t>2023-07-18T06:32:21.515000</t>
  </si>
  <si>
    <t>2023-08-12T06:32:20.845000</t>
  </si>
  <si>
    <t>2023-08-17T06:32:21.356000</t>
  </si>
  <si>
    <t>2023-08-22T06:32:22.102000</t>
  </si>
  <si>
    <t>2023-08-27T06:32:20.303000</t>
  </si>
  <si>
    <t>2023-09-06T06:32:20.443000</t>
  </si>
  <si>
    <t>2023-09-11T06:32:20.830000</t>
  </si>
  <si>
    <t>2023-09-16T06:32:19.028000</t>
  </si>
  <si>
    <t>2023-09-21T06:32:17.611000</t>
  </si>
  <si>
    <t>2023-09-26T06:32:19.132000</t>
  </si>
  <si>
    <t>2023-10-01T06:32:18.016000</t>
  </si>
  <si>
    <t>2023-10-06T06:32:15.897000</t>
  </si>
  <si>
    <t>2023-10-11T06:32:14.357000</t>
  </si>
  <si>
    <t>2023-10-16T06:32:18.249000</t>
  </si>
  <si>
    <t>2023-10-21T06:32:15.854000</t>
  </si>
  <si>
    <t>2023-10-26T06:32:16.747000</t>
  </si>
  <si>
    <t>2023-10-31T06:32:15.192000</t>
  </si>
  <si>
    <t>2023-11-05T06:32:18.709000</t>
  </si>
  <si>
    <t>2023-11-10T06:32:15.306000</t>
  </si>
  <si>
    <t>2023-11-15T06:32:15.654000</t>
  </si>
  <si>
    <t>2023-11-20T06:32:12.872000</t>
  </si>
  <si>
    <t>2023-11-30T06:32:07.322000</t>
  </si>
  <si>
    <t>2023-12-10T06:32:10.743000</t>
  </si>
  <si>
    <t>2023-12-15T06:32:14.722000</t>
  </si>
  <si>
    <t>2023-12-20T06:32:12.048000</t>
  </si>
  <si>
    <t>2023-12-25T06:32:17.294000</t>
  </si>
  <si>
    <t>2023-12-30T06:32:13.002000</t>
  </si>
  <si>
    <t>2024-01-04T06:32:16.145000</t>
  </si>
  <si>
    <t>2024-01-09T06:32:11.352000</t>
  </si>
  <si>
    <t>2024-01-14T06:32:14.421000</t>
  </si>
  <si>
    <t>2024-01-19T06:32:07.040000</t>
  </si>
  <si>
    <t>2024-01-24T06:32:14.989000</t>
  </si>
  <si>
    <t>2024-01-29T06:32:11.016000</t>
  </si>
  <si>
    <t>2024-02-03T06:32:13.488000</t>
  </si>
  <si>
    <t>2024-02-08T06:32:11.728000</t>
  </si>
  <si>
    <t>2024-02-13T06:32:16.922000</t>
  </si>
  <si>
    <t>2024-02-18T06:32:13.906000</t>
  </si>
  <si>
    <t>2024-02-23T06:32:16.106000</t>
  </si>
  <si>
    <t>2024-03-04T06:32:12.057000</t>
  </si>
  <si>
    <t>2024-03-09T06:32:16.414000</t>
  </si>
  <si>
    <t>2024-03-14T06:32:13.538000</t>
  </si>
  <si>
    <t>2024-03-19T06:32:16.723000</t>
  </si>
  <si>
    <t>2024-03-24T06:32:16.420000</t>
  </si>
  <si>
    <t>2024-03-29T06:32:15.832000</t>
  </si>
  <si>
    <t>2024-04-03T06:32:14.209000</t>
  </si>
  <si>
    <t>2024-04-08T06:32:15.126000</t>
  </si>
  <si>
    <t>2024-04-18T06:32:19.150000</t>
  </si>
  <si>
    <t>2024-04-23T06:32:15.553000</t>
  </si>
  <si>
    <t>2024-04-28T06:32:18.485000</t>
  </si>
  <si>
    <t>2024-05-03T06:32:16.337000</t>
  </si>
  <si>
    <t>2024-05-08T06:32:18.313000</t>
  </si>
  <si>
    <t>2024-05-13T06:32:15.596000</t>
  </si>
  <si>
    <t>2024-05-18T06:32:17.821000</t>
  </si>
  <si>
    <t>2024-05-23T06:32:15.624000</t>
  </si>
  <si>
    <t>2024-05-28T06:32:17.508000</t>
  </si>
  <si>
    <t>2024-06-07T00:00:00</t>
  </si>
  <si>
    <t>2024-06-11T00:00:00</t>
  </si>
  <si>
    <t>2024-06-12T00:00:00</t>
  </si>
  <si>
    <t>2024-06-17T00:00:00</t>
  </si>
  <si>
    <t>2024-06-22T00:00:00</t>
  </si>
  <si>
    <t>2024-06-27T00:00:00</t>
  </si>
  <si>
    <t>2024-07-02T00:00:00</t>
  </si>
  <si>
    <t>2024-07-07T00:00:00</t>
  </si>
  <si>
    <t>2024-07-12T00:00:00</t>
  </si>
  <si>
    <t>2024-07-13T00:00:00</t>
  </si>
  <si>
    <t>2024-07-17T00:00:00</t>
  </si>
  <si>
    <t>2024-07-22T00:00:00</t>
  </si>
  <si>
    <t>2024-07-27T00:00:00</t>
  </si>
  <si>
    <t>2024-07-29T00:00:00</t>
  </si>
  <si>
    <t>2024-08-01T00:00:00</t>
  </si>
  <si>
    <t>2024-08-26T00:00:00</t>
  </si>
  <si>
    <t>2024-08-31T00:00:00</t>
  </si>
  <si>
    <t>2024-09-05T00:00:00</t>
  </si>
  <si>
    <t>2024-09-10T00:00:00</t>
  </si>
  <si>
    <t>2024-09-15T00:00:00</t>
  </si>
  <si>
    <t>2024-09-20T00:00:00</t>
  </si>
  <si>
    <t>2024-09-25T00:00:00</t>
  </si>
  <si>
    <t>2024-09-30T00:00:00</t>
  </si>
  <si>
    <t>2024-10-01T00:00:00</t>
  </si>
  <si>
    <t>2024-10-05T00:00:00</t>
  </si>
  <si>
    <t>2024-10-10T00:00:00</t>
  </si>
  <si>
    <t>2024-10-15T00:00:00</t>
  </si>
  <si>
    <t>2024-10-17T00:00:00</t>
  </si>
  <si>
    <t>2024-10-20T00:00:00</t>
  </si>
  <si>
    <t>2024-10-25T00:00:00</t>
  </si>
  <si>
    <t>2024-10-30T00:00:00</t>
  </si>
  <si>
    <t>2024-11-02T00:00:00</t>
  </si>
  <si>
    <t>2024-11-04T00:00:00</t>
  </si>
  <si>
    <t>2024-11-14T00:00:00</t>
  </si>
  <si>
    <t>2024-11-18T00:00:00</t>
  </si>
  <si>
    <t>2024-11-19T00:00:00</t>
  </si>
  <si>
    <t>2024-11-24T00:00:00</t>
  </si>
  <si>
    <t>2024-11-29T00:00:00</t>
  </si>
  <si>
    <t>2024-12-04T00:00:00</t>
  </si>
  <si>
    <t>2024-12-09T00:00:00</t>
  </si>
  <si>
    <t>2024-12-14T00:00:00</t>
  </si>
  <si>
    <t>2024-12-19T00:00:00</t>
  </si>
  <si>
    <t>2024-12-24T00:00:00</t>
  </si>
  <si>
    <t>2024-12-29T00:00:00</t>
  </si>
  <si>
    <t>2025-01-03T00:00:00</t>
  </si>
  <si>
    <t>2025-01-05T00:00:00</t>
  </si>
  <si>
    <t>2025-01-08T00:00:00</t>
  </si>
  <si>
    <t>2025-01-13T00:00:00</t>
  </si>
  <si>
    <t>2025-01-21T00:00:00</t>
  </si>
  <si>
    <t>2025-01-23T00:00:00</t>
  </si>
  <si>
    <t>2025-02-02T00:00:00</t>
  </si>
  <si>
    <t>2025-02-06T00:00:00</t>
  </si>
  <si>
    <t>2025-02-07T00:00:00</t>
  </si>
  <si>
    <t>2025-02-12T00:00:00</t>
  </si>
  <si>
    <t>2025-02-22T00:00:00</t>
  </si>
  <si>
    <t>2025-03-04T00:00:00</t>
  </si>
  <si>
    <t>2025-03-09T00:00:00</t>
  </si>
  <si>
    <t>2025-03-14T00:00:00</t>
  </si>
  <si>
    <t>2025-03-19T00:00:00</t>
  </si>
  <si>
    <t>2025-03-24T00:00:00</t>
  </si>
  <si>
    <t>2025-03-26T00:00:00</t>
  </si>
  <si>
    <t>2025-03-29T00:00:00</t>
  </si>
  <si>
    <t>2025-04-03T00:00:00</t>
  </si>
  <si>
    <t>2025-04-08T00:00:00</t>
  </si>
  <si>
    <t>2025-04-11T00:00:00</t>
  </si>
  <si>
    <t>2025-04-13T00:00:00</t>
  </si>
  <si>
    <t>2025-04-15T00:00:00</t>
  </si>
  <si>
    <t>2025-04-23T00:00:00</t>
  </si>
  <si>
    <t>2025-04-28T00:00:00</t>
  </si>
  <si>
    <t>2025-05-03T00:00:00</t>
  </si>
  <si>
    <t>2025-05-05T00:00:00</t>
  </si>
  <si>
    <t>2025-05-08T00:00:00</t>
  </si>
  <si>
    <t>2025-05-13T00:00:00</t>
  </si>
  <si>
    <t>2025-05-18T00:00:00</t>
  </si>
  <si>
    <t>2025-05-23T00:00:00</t>
  </si>
  <si>
    <t>2025-05-25T00:00:00</t>
  </si>
  <si>
    <t>2025-05-28T00:00:00</t>
  </si>
  <si>
    <t>2025-06-02T00:00:00</t>
  </si>
  <si>
    <t>2025-06-05T00:00:00</t>
  </si>
  <si>
    <t>2025-06-07T00:00:00</t>
  </si>
  <si>
    <t>2025-06-12T00:00:00</t>
  </si>
  <si>
    <t>2025-06-14T00:00:00</t>
  </si>
  <si>
    <t>2025-06-17T00:00:00</t>
  </si>
  <si>
    <t>2025-06-22T00:00:00</t>
  </si>
  <si>
    <t>2025-06-27T00:00:00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</si>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</sst>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\ &quot;m&quot;"/>
    <numFmt numFmtId="166" formatCode="#,##0.000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rgb="FFD9D9D9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theme="1"/>
      </bottom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 style="thin">
        <color theme="5"/>
      </top>
      <bottom style="thin">
        <color theme="5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rgb="FF808080"/>
      </top>
      <bottom style="hair">
        <color rgb="FF808080"/>
      </bottom>
      <diagonal/>
    </border>
  </borders>
  <cellStyleXfs count="6">
    <xf numFmtId="0" fontId="0" fillId="0" borderId="0"/>
    <xf numFmtId="0" fontId="9" fillId="0" borderId="0"/>
    <xf numFmtId="0" fontId="13" fillId="0" borderId="0"/>
    <xf numFmtId="0" fontId="8" fillId="0" borderId="0"/>
    <xf numFmtId="0" fontId="7" fillId="0" borderId="0"/>
    <xf numFmtId="0" fontId="19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0" fillId="0" borderId="0" xfId="1" applyFont="1"/>
    <xf numFmtId="0" fontId="9" fillId="0" borderId="0" xfId="1"/>
    <xf numFmtId="0" fontId="9" fillId="2" borderId="0" xfId="1" applyFill="1"/>
    <xf numFmtId="0" fontId="0" fillId="0" borderId="0" xfId="0" applyAlignment="1">
      <alignment horizontal="right" vertical="center" wrapText="1"/>
    </xf>
    <xf numFmtId="0" fontId="12" fillId="3" borderId="1" xfId="0" applyFont="1" applyFill="1" applyBorder="1" applyAlignment="1">
      <alignment horizontal="centerContinuous"/>
    </xf>
    <xf numFmtId="0" fontId="12" fillId="3" borderId="2" xfId="0" applyFont="1" applyFill="1" applyBorder="1" applyAlignment="1">
      <alignment horizontal="centerContinuous"/>
    </xf>
    <xf numFmtId="164" fontId="12" fillId="2" borderId="2" xfId="0" applyNumberFormat="1" applyFont="1" applyFill="1" applyBorder="1" applyAlignment="1">
      <alignment horizontal="centerContinuous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/>
    <xf numFmtId="0" fontId="7" fillId="0" borderId="0" xfId="4"/>
    <xf numFmtId="0" fontId="7" fillId="0" borderId="0" xfId="1" applyFont="1"/>
    <xf numFmtId="164" fontId="0" fillId="0" borderId="0" xfId="0" applyNumberFormat="1" applyAlignment="1">
      <alignment horizontal="center" vertical="center"/>
    </xf>
    <xf numFmtId="3" fontId="0" fillId="2" borderId="3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166" fontId="0" fillId="2" borderId="3" xfId="0" applyNumberFormat="1" applyFill="1" applyBorder="1" applyAlignment="1">
      <alignment horizontal="right"/>
    </xf>
    <xf numFmtId="4" fontId="0" fillId="2" borderId="3" xfId="0" applyNumberFormat="1" applyFill="1" applyBorder="1" applyAlignment="1">
      <alignment horizontal="right"/>
    </xf>
    <xf numFmtId="166" fontId="0" fillId="2" borderId="4" xfId="0" applyNumberFormat="1" applyFill="1" applyBorder="1" applyAlignment="1">
      <alignment horizontal="right"/>
    </xf>
    <xf numFmtId="4" fontId="0" fillId="2" borderId="4" xfId="0" applyNumberFormat="1" applyFill="1" applyBorder="1" applyAlignment="1">
      <alignment horizontal="right"/>
    </xf>
    <xf numFmtId="0" fontId="0" fillId="0" borderId="0" xfId="0" pivotButton="1"/>
    <xf numFmtId="164" fontId="0" fillId="0" borderId="0" xfId="0" applyNumberFormat="1"/>
    <xf numFmtId="0" fontId="15" fillId="0" borderId="0" xfId="0" applyFont="1"/>
    <xf numFmtId="0" fontId="6" fillId="0" borderId="0" xfId="1" applyFont="1"/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5" xfId="0" applyFont="1" applyBorder="1" applyAlignment="1">
      <alignment horizontal="centerContinuous"/>
    </xf>
    <xf numFmtId="0" fontId="12" fillId="0" borderId="6" xfId="0" applyFont="1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12" fillId="2" borderId="8" xfId="0" applyFont="1" applyFill="1" applyBorder="1" applyAlignment="1">
      <alignment horizontal="centerContinuous"/>
    </xf>
    <xf numFmtId="164" fontId="12" fillId="2" borderId="9" xfId="0" applyNumberFormat="1" applyFont="1" applyFill="1" applyBorder="1" applyAlignment="1">
      <alignment horizontal="centerContinuous" vertical="center"/>
    </xf>
    <xf numFmtId="164" fontId="0" fillId="0" borderId="10" xfId="0" applyNumberFormat="1" applyBorder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64" fontId="0" fillId="0" borderId="11" xfId="0" applyNumberFormat="1" applyBorder="1" applyAlignment="1">
      <alignment horizontal="right" vertical="center" wrapText="1"/>
    </xf>
    <xf numFmtId="164" fontId="0" fillId="2" borderId="13" xfId="0" applyNumberFormat="1" applyFill="1" applyBorder="1" applyAlignment="1">
      <alignment vertical="center"/>
    </xf>
    <xf numFmtId="164" fontId="0" fillId="2" borderId="15" xfId="0" applyNumberFormat="1" applyFill="1" applyBorder="1" applyAlignment="1">
      <alignment vertical="center"/>
    </xf>
    <xf numFmtId="0" fontId="12" fillId="0" borderId="7" xfId="0" applyFont="1" applyBorder="1" applyAlignment="1">
      <alignment horizontal="centerContinuous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" fontId="0" fillId="2" borderId="12" xfId="0" applyNumberFormat="1" applyFill="1" applyBorder="1" applyAlignment="1">
      <alignment horizontal="right"/>
    </xf>
    <xf numFmtId="4" fontId="0" fillId="2" borderId="13" xfId="0" applyNumberFormat="1" applyFill="1" applyBorder="1" applyAlignment="1">
      <alignment horizontal="right"/>
    </xf>
    <xf numFmtId="4" fontId="0" fillId="2" borderId="14" xfId="0" applyNumberFormat="1" applyFill="1" applyBorder="1" applyAlignment="1">
      <alignment horizontal="right"/>
    </xf>
    <xf numFmtId="4" fontId="0" fillId="2" borderId="15" xfId="0" applyNumberFormat="1" applyFill="1" applyBorder="1" applyAlignment="1">
      <alignment horizontal="right"/>
    </xf>
    <xf numFmtId="4" fontId="0" fillId="2" borderId="3" xfId="0" applyNumberFormat="1" applyFill="1" applyBorder="1" applyAlignment="1">
      <alignment vertical="center"/>
    </xf>
    <xf numFmtId="4" fontId="0" fillId="2" borderId="4" xfId="0" applyNumberFormat="1" applyFill="1" applyBorder="1" applyAlignment="1">
      <alignment vertical="center"/>
    </xf>
    <xf numFmtId="166" fontId="0" fillId="2" borderId="12" xfId="0" applyNumberFormat="1" applyFill="1" applyBorder="1" applyAlignment="1">
      <alignment vertical="center"/>
    </xf>
    <xf numFmtId="166" fontId="0" fillId="2" borderId="14" xfId="0" applyNumberFormat="1" applyFill="1" applyBorder="1" applyAlignment="1">
      <alignment vertical="center"/>
    </xf>
    <xf numFmtId="0" fontId="5" fillId="0" borderId="0" xfId="1" applyFont="1"/>
    <xf numFmtId="0" fontId="9" fillId="0" borderId="0" xfId="1" applyAlignment="1">
      <alignment horizontal="left" indent="1"/>
    </xf>
    <xf numFmtId="0" fontId="10" fillId="0" borderId="0" xfId="1" quotePrefix="1" applyFont="1" applyAlignment="1">
      <alignment horizontal="left" indent="1"/>
    </xf>
    <xf numFmtId="0" fontId="10" fillId="3" borderId="0" xfId="1" applyFont="1" applyFill="1" applyAlignment="1">
      <alignment vertical="center"/>
    </xf>
    <xf numFmtId="0" fontId="9" fillId="3" borderId="0" xfId="1" applyFill="1"/>
    <xf numFmtId="0" fontId="9" fillId="0" borderId="18" xfId="1" applyBorder="1"/>
    <xf numFmtId="0" fontId="9" fillId="0" borderId="19" xfId="1" applyBorder="1"/>
    <xf numFmtId="0" fontId="12" fillId="3" borderId="20" xfId="0" applyFont="1" applyFill="1" applyBorder="1" applyAlignment="1">
      <alignment horizontal="left" vertical="center"/>
    </xf>
    <xf numFmtId="0" fontId="12" fillId="3" borderId="21" xfId="0" applyFont="1" applyFill="1" applyBorder="1"/>
    <xf numFmtId="0" fontId="12" fillId="3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vertical="center"/>
    </xf>
    <xf numFmtId="0" fontId="9" fillId="0" borderId="24" xfId="1" applyBorder="1"/>
    <xf numFmtId="0" fontId="9" fillId="3" borderId="25" xfId="1" applyFill="1" applyBorder="1"/>
    <xf numFmtId="0" fontId="9" fillId="3" borderId="26" xfId="1" applyFill="1" applyBorder="1"/>
    <xf numFmtId="0" fontId="9" fillId="3" borderId="18" xfId="1" applyFill="1" applyBorder="1"/>
    <xf numFmtId="0" fontId="10" fillId="3" borderId="27" xfId="1" applyFont="1" applyFill="1" applyBorder="1" applyAlignment="1">
      <alignment vertical="center"/>
    </xf>
    <xf numFmtId="0" fontId="12" fillId="3" borderId="20" xfId="0" applyFont="1" applyFill="1" applyBorder="1" applyAlignment="1">
      <alignment horizontal="centerContinuous" vertical="center"/>
    </xf>
    <xf numFmtId="0" fontId="12" fillId="3" borderId="28" xfId="0" applyFont="1" applyFill="1" applyBorder="1" applyAlignment="1">
      <alignment horizontal="centerContinuous" vertical="center"/>
    </xf>
    <xf numFmtId="0" fontId="0" fillId="3" borderId="22" xfId="0" applyFill="1" applyBorder="1" applyAlignment="1">
      <alignment horizontal="centerContinuous"/>
    </xf>
    <xf numFmtId="0" fontId="0" fillId="3" borderId="23" xfId="0" applyFill="1" applyBorder="1" applyAlignment="1">
      <alignment horizontal="centerContinuous"/>
    </xf>
    <xf numFmtId="0" fontId="7" fillId="0" borderId="0" xfId="4" applyAlignment="1">
      <alignment horizontal="center" vertical="center" wrapText="1"/>
    </xf>
    <xf numFmtId="0" fontId="12" fillId="3" borderId="30" xfId="0" applyFont="1" applyFill="1" applyBorder="1" applyAlignment="1">
      <alignment horizontal="left" vertical="center"/>
    </xf>
    <xf numFmtId="0" fontId="12" fillId="3" borderId="29" xfId="0" applyFont="1" applyFill="1" applyBorder="1"/>
    <xf numFmtId="164" fontId="12" fillId="2" borderId="31" xfId="0" applyNumberFormat="1" applyFont="1" applyFill="1" applyBorder="1" applyAlignment="1">
      <alignment horizontal="centerContinuous" vertical="center"/>
    </xf>
    <xf numFmtId="0" fontId="14" fillId="0" borderId="32" xfId="0" applyFont="1" applyBorder="1" applyAlignment="1">
      <alignment horizontal="centerContinuous"/>
    </xf>
    <xf numFmtId="0" fontId="12" fillId="0" borderId="33" xfId="0" applyFont="1" applyBorder="1" applyAlignment="1">
      <alignment horizontal="centerContinuous"/>
    </xf>
    <xf numFmtId="0" fontId="12" fillId="0" borderId="34" xfId="0" applyFont="1" applyBorder="1" applyAlignment="1">
      <alignment horizontal="centerContinuous"/>
    </xf>
    <xf numFmtId="0" fontId="12" fillId="2" borderId="35" xfId="0" applyFont="1" applyFill="1" applyBorder="1" applyAlignment="1">
      <alignment horizontal="centerContinuous"/>
    </xf>
    <xf numFmtId="164" fontId="12" fillId="2" borderId="36" xfId="0" applyNumberFormat="1" applyFont="1" applyFill="1" applyBorder="1" applyAlignment="1">
      <alignment horizontal="centerContinuous" vertical="center"/>
    </xf>
    <xf numFmtId="0" fontId="7" fillId="4" borderId="0" xfId="4" applyFill="1" applyAlignment="1">
      <alignment horizontal="center" vertical="center" wrapText="1"/>
    </xf>
    <xf numFmtId="0" fontId="4" fillId="4" borderId="38" xfId="4" applyFont="1" applyFill="1" applyBorder="1" applyAlignment="1">
      <alignment horizontal="center" vertical="center" wrapText="1"/>
    </xf>
    <xf numFmtId="0" fontId="7" fillId="4" borderId="39" xfId="4" applyFill="1" applyBorder="1"/>
    <xf numFmtId="0" fontId="16" fillId="4" borderId="37" xfId="4" applyFont="1" applyFill="1" applyBorder="1" applyAlignment="1">
      <alignment horizontal="center" vertical="center" wrapText="1"/>
    </xf>
    <xf numFmtId="0" fontId="4" fillId="0" borderId="0" xfId="4" quotePrefix="1" applyFont="1" applyAlignment="1">
      <alignment horizontal="left" indent="1"/>
    </xf>
    <xf numFmtId="0" fontId="4" fillId="0" borderId="0" xfId="4" applyFont="1" applyAlignment="1">
      <alignment horizontal="left" indent="1"/>
    </xf>
    <xf numFmtId="0" fontId="4" fillId="0" borderId="18" xfId="1" applyFont="1" applyBorder="1"/>
    <xf numFmtId="0" fontId="3" fillId="0" borderId="0" xfId="1" quotePrefix="1" applyFont="1" applyAlignment="1">
      <alignment horizontal="left" indent="1"/>
    </xf>
    <xf numFmtId="0" fontId="2" fillId="0" borderId="0" xfId="4" applyFont="1" applyAlignment="1">
      <alignment horizontal="center" vertical="center" wrapText="1"/>
    </xf>
    <xf numFmtId="3" fontId="7" fillId="0" borderId="0" xfId="4" applyNumberFormat="1" applyAlignment="1">
      <alignment horizontal="center" vertical="center"/>
    </xf>
    <xf numFmtId="14" fontId="7" fillId="0" borderId="0" xfId="4" applyNumberFormat="1" applyAlignment="1">
      <alignment horizontal="center"/>
    </xf>
    <xf numFmtId="0" fontId="7" fillId="0" borderId="38" xfId="4" applyBorder="1" applyAlignment="1">
      <alignment horizontal="center"/>
    </xf>
    <xf numFmtId="0" fontId="2" fillId="4" borderId="0" xfId="4" applyFont="1" applyFill="1" applyAlignment="1">
      <alignment horizontal="center" vertical="center" wrapText="1"/>
    </xf>
    <xf numFmtId="0" fontId="7" fillId="0" borderId="0" xfId="4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14" fillId="0" borderId="0" xfId="0" applyFont="1" applyAlignment="1">
      <alignment horizontal="centerContinuous"/>
    </xf>
    <xf numFmtId="0" fontId="10" fillId="0" borderId="16" xfId="1" applyFont="1" applyBorder="1" applyAlignment="1">
      <alignment vertical="center"/>
    </xf>
    <xf numFmtId="0" fontId="10" fillId="3" borderId="16" xfId="1" applyFont="1" applyFill="1" applyBorder="1" applyAlignment="1">
      <alignment vertical="center"/>
    </xf>
    <xf numFmtId="0" fontId="9" fillId="0" borderId="17" xfId="1" applyBorder="1" applyAlignment="1">
      <alignment vertical="center"/>
    </xf>
    <xf numFmtId="0" fontId="1" fillId="0" borderId="0" xfId="1" quotePrefix="1" applyFont="1" applyAlignment="1">
      <alignment horizontal="left" indent="1"/>
    </xf>
    <xf numFmtId="0" fontId="1" fillId="0" borderId="0" xfId="1" applyFont="1"/>
    <xf numFmtId="0" fontId="12" fillId="5" borderId="42" xfId="0" applyFont="1" applyFill="1" applyBorder="1" applyAlignment="1">
      <alignment horizontal="centerContinuous"/>
    </xf>
    <xf numFmtId="0" fontId="0" fillId="5" borderId="43" xfId="0" applyFill="1" applyBorder="1" applyAlignment="1">
      <alignment horizontal="center"/>
    </xf>
    <xf numFmtId="0" fontId="0" fillId="0" borderId="41" xfId="0" applyBorder="1" applyAlignment="1">
      <alignment horizontal="center" vertical="center" wrapText="1"/>
    </xf>
    <xf numFmtId="0" fontId="0" fillId="5" borderId="40" xfId="0" applyFill="1" applyBorder="1" applyAlignment="1">
      <alignment horizontal="center"/>
    </xf>
    <xf numFmtId="0" fontId="0" fillId="5" borderId="44" xfId="0" applyFill="1" applyBorder="1" applyAlignment="1">
      <alignment horizontal="center"/>
    </xf>
    <xf numFmtId="0" fontId="17" fillId="0" borderId="45" xfId="0" applyFont="1" applyBorder="1" applyAlignment="1">
      <alignment vertical="center"/>
    </xf>
    <xf numFmtId="0" fontId="17" fillId="6" borderId="45" xfId="0" applyFont="1" applyFill="1" applyBorder="1" applyAlignment="1">
      <alignment vertical="center"/>
    </xf>
    <xf numFmtId="0" fontId="17" fillId="6" borderId="45" xfId="0" applyFont="1" applyFill="1" applyBorder="1" applyAlignment="1">
      <alignment horizontal="left" vertical="center"/>
    </xf>
    <xf numFmtId="14" fontId="17" fillId="0" borderId="45" xfId="0" applyNumberFormat="1" applyFont="1" applyBorder="1" applyAlignment="1">
      <alignment horizontal="left" vertical="center"/>
    </xf>
    <xf numFmtId="0" fontId="18" fillId="6" borderId="45" xfId="0" applyFont="1" applyFill="1" applyBorder="1" applyAlignment="1">
      <alignment vertical="center"/>
    </xf>
    <xf numFmtId="165" fontId="17" fillId="0" borderId="45" xfId="0" applyNumberFormat="1" applyFont="1" applyBorder="1" applyAlignment="1">
      <alignment horizontal="left" vertical="center"/>
    </xf>
    <xf numFmtId="165" fontId="18" fillId="6" borderId="45" xfId="0" applyNumberFormat="1" applyFont="1" applyFill="1" applyBorder="1" applyAlignment="1">
      <alignment horizontal="left" vertical="center"/>
    </xf>
    <xf numFmtId="0" fontId="18" fillId="0" borderId="45" xfId="0" applyFont="1" applyBorder="1" applyAlignment="1">
      <alignment vertical="center"/>
    </xf>
    <xf numFmtId="165" fontId="17" fillId="6" borderId="45" xfId="0" applyNumberFormat="1" applyFont="1" applyFill="1" applyBorder="1" applyAlignment="1">
      <alignment horizontal="left" vertical="center"/>
    </xf>
    <xf numFmtId="0" fontId="17" fillId="6" borderId="0" xfId="0" applyFont="1" applyFill="1" applyAlignment="1">
      <alignment vertical="center" wrapText="1"/>
    </xf>
    <xf numFmtId="0" fontId="17" fillId="0" borderId="45" xfId="0" applyFont="1" applyBorder="1" applyAlignment="1">
      <alignment vertical="center" wrapText="1"/>
    </xf>
    <xf numFmtId="0" fontId="19" fillId="0" borderId="45" xfId="5" applyBorder="1" applyAlignment="1">
      <alignment vertical="center"/>
    </xf>
  </cellXfs>
  <cellStyles count="6">
    <cellStyle name="Hyperlink" xfId="5" builtinId="8"/>
    <cellStyle name="Normal" xfId="0" builtinId="0"/>
    <cellStyle name="Normal 2" xfId="1" xr:uid="{39DBF88D-E9DF-48CF-AD56-8BC5751690AA}"/>
    <cellStyle name="Normal 3" xfId="2" xr:uid="{8397CF27-A4E5-4247-BB54-AABFE8D98E63}"/>
    <cellStyle name="Normal 4" xfId="3" xr:uid="{E21E3C71-86E1-834B-B675-DC8BFC190A3C}"/>
    <cellStyle name="Normal 5" xfId="4" xr:uid="{B4F785DD-CCED-6542-9199-F6B6BB62F17C}"/>
  </cellStyles>
  <dxfs count="43"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64" formatCode="#,##0.0"/>
      <fill>
        <patternFill patternType="solid">
          <fgColor indexed="64"/>
          <bgColor theme="7" tint="0.79998168889431442"/>
        </patternFill>
      </fill>
      <alignment vertical="center" textRotation="0" wrapText="0" indent="0" justifyLastLine="0" shrinkToFit="0" readingOrder="0"/>
      <border diagonalUp="0" diagonalDown="0">
        <left/>
        <right style="medium">
          <color indexed="64"/>
        </right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numFmt numFmtId="3" formatCode="#,##0"/>
      <fill>
        <patternFill patternType="solid">
          <fgColor indexed="64"/>
          <bgColor theme="7" tint="0.79998168889431442"/>
        </patternFill>
      </fill>
      <alignment vertical="center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numFmt numFmtId="3" formatCode="#,##0"/>
      <fill>
        <patternFill patternType="solid">
          <fgColor indexed="64"/>
          <bgColor theme="7" tint="0.79998168889431442"/>
        </patternFill>
      </fill>
      <alignment vertical="center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numFmt numFmtId="4" formatCode="#,##0.00"/>
      <fill>
        <patternFill patternType="solid">
          <fgColor indexed="64"/>
          <bgColor theme="7" tint="0.79998168889431442"/>
        </patternFill>
      </fill>
      <alignment vertical="center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numFmt numFmtId="166" formatCode="#,##0.000"/>
      <fill>
        <patternFill patternType="solid">
          <fgColor indexed="64"/>
          <bgColor theme="7" tint="0.79998168889431442"/>
        </patternFill>
      </fill>
      <alignment vertical="center" textRotation="0" wrapText="0" indent="0" justifyLastLine="0" shrinkToFit="0" readingOrder="0"/>
      <border diagonalUp="0" diagonalDown="0">
        <left style="medium">
          <color indexed="64"/>
        </left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ck">
          <color theme="1"/>
        </right>
        <top/>
        <bottom/>
        <vertical/>
        <horizontal/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relativeIndent="1" justifyLastLine="0" shrinkToFit="0" readingOrder="0"/>
    </dxf>
    <dxf>
      <numFmt numFmtId="0" formatCode="General"/>
      <alignment horizontal="center" textRotation="0" indent="0" justifyLastLine="0" shrinkToFit="0" readingOrder="0"/>
      <border diagonalUp="0" diagonalDown="0" outline="0">
        <left/>
        <right style="thick">
          <color theme="1"/>
        </right>
      </border>
    </dxf>
    <dxf>
      <numFmt numFmtId="19" formatCode="dd/mm/yyyy"/>
      <alignment horizontal="center" textRotation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border diagonalUp="0" diagonalDown="0">
        <left style="thick">
          <color theme="1"/>
        </left>
        <right/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alignment horizontal="general" vertical="center" textRotation="0" wrapText="1" indent="0" justifyLastLine="0" shrinkToFit="0" readingOrder="0"/>
    </dxf>
    <dxf>
      <numFmt numFmtId="4" formatCode="#,##0.0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  <protection locked="1" hidden="0"/>
    </dxf>
    <dxf>
      <numFmt numFmtId="4" formatCode="#,##0.0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  <protection locked="1" hidden="0"/>
    </dxf>
    <dxf>
      <numFmt numFmtId="166" formatCode="#,##0.00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  <protection locked="1" hidden="0"/>
    </dxf>
    <dxf>
      <numFmt numFmtId="4" formatCode="#,##0.0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  <protection locked="1" hidden="0"/>
    </dxf>
    <dxf>
      <numFmt numFmtId="3" formatCode="#,##0"/>
      <alignment horizontal="center" textRotation="0" indent="0" justifyLastLine="0" shrinkToFit="0" readingOrder="0"/>
      <protection locked="1" hidden="0"/>
    </dxf>
    <dxf>
      <numFmt numFmtId="3" formatCode="#,##0"/>
      <alignment horizontal="center" textRotation="0" indent="0" justifyLastLine="0" shrinkToFit="0" readingOrder="0"/>
      <protection locked="1" hidden="0"/>
    </dxf>
    <dxf>
      <numFmt numFmtId="3" formatCode="#,##0"/>
      <alignment horizontal="center" textRotation="0" indent="0" justifyLastLine="0" shrinkToFit="0" readingOrder="0"/>
      <protection locked="1" hidden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rgb="FFFFF2CC"/>
        </patternFill>
      </fill>
      <alignment horizont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vertical="center" textRotation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vertical="center" textRotation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top style="hair">
          <color theme="0" tint="-0.499984740745262"/>
        </top>
      </border>
    </dxf>
    <dxf>
      <border diagonalUp="0" diagonalDown="0">
        <left/>
        <right/>
        <top style="thin">
          <color theme="1" tint="0.499984740745262"/>
        </top>
        <bottom/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2CC"/>
      <color rgb="FF4472C4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Info!$C$50</c:f>
          <c:strCache>
            <c:ptCount val="1"/>
            <c:pt idx="0">
              <c:v>Mirani Reservoir, Balochistan: Elevation-Capacity Curve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Data!$H$4</c:f>
              <c:strCache>
                <c:ptCount val="1"/>
                <c:pt idx="0">
                  <c:v>Volume (MCM)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Data!$C$5:$C$53</c:f>
              <c:numCache>
                <c:formatCode>General</c:formatCode>
                <c:ptCount val="49"/>
                <c:pt idx="0">
                  <c:v>47</c:v>
                </c:pt>
                <c:pt idx="1">
                  <c:v>48</c:v>
                </c:pt>
                <c:pt idx="2">
                  <c:v>49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76</c:v>
                </c:pt>
                <c:pt idx="30">
                  <c:v>77</c:v>
                </c:pt>
                <c:pt idx="31">
                  <c:v>78</c:v>
                </c:pt>
                <c:pt idx="32">
                  <c:v>79</c:v>
                </c:pt>
                <c:pt idx="33">
                  <c:v>80</c:v>
                </c:pt>
                <c:pt idx="34">
                  <c:v>81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85</c:v>
                </c:pt>
                <c:pt idx="39">
                  <c:v>86</c:v>
                </c:pt>
                <c:pt idx="40">
                  <c:v>87</c:v>
                </c:pt>
                <c:pt idx="41">
                  <c:v>88</c:v>
                </c:pt>
                <c:pt idx="42">
                  <c:v>89</c:v>
                </c:pt>
                <c:pt idx="43">
                  <c:v>90</c:v>
                </c:pt>
                <c:pt idx="44">
                  <c:v>91</c:v>
                </c:pt>
                <c:pt idx="45">
                  <c:v>92</c:v>
                </c:pt>
                <c:pt idx="46">
                  <c:v>93</c:v>
                </c:pt>
                <c:pt idx="47">
                  <c:v>94</c:v>
                </c:pt>
                <c:pt idx="48">
                  <c:v>95</c:v>
                </c:pt>
              </c:numCache>
            </c:numRef>
          </c:xVal>
          <c:yVal>
            <c:numRef>
              <c:f>Data!$H$5:$H$53</c:f>
              <c:numCache>
                <c:formatCode>#,##0.000</c:formatCode>
                <c:ptCount val="49"/>
                <c:pt idx="0">
                  <c:v>0</c:v>
                </c:pt>
                <c:pt idx="1">
                  <c:v>2.7000000000000001E-3</c:v>
                </c:pt>
                <c:pt idx="2">
                  <c:v>2.4299999999999999E-2</c:v>
                </c:pt>
                <c:pt idx="3">
                  <c:v>8.7300000000000003E-2</c:v>
                </c:pt>
                <c:pt idx="4">
                  <c:v>0.23760000000000001</c:v>
                </c:pt>
                <c:pt idx="5">
                  <c:v>0.53820000000000001</c:v>
                </c:pt>
                <c:pt idx="6">
                  <c:v>1.0772999999999999</c:v>
                </c:pt>
                <c:pt idx="7">
                  <c:v>1.962</c:v>
                </c:pt>
                <c:pt idx="8">
                  <c:v>3.3119999999999998</c:v>
                </c:pt>
                <c:pt idx="9">
                  <c:v>5.1947999999999999</c:v>
                </c:pt>
                <c:pt idx="10">
                  <c:v>7.6967999999999996</c:v>
                </c:pt>
                <c:pt idx="11">
                  <c:v>10.9107</c:v>
                </c:pt>
                <c:pt idx="12">
                  <c:v>15.046200000000001</c:v>
                </c:pt>
                <c:pt idx="13">
                  <c:v>20.3535</c:v>
                </c:pt>
                <c:pt idx="14">
                  <c:v>26.939699999999998</c:v>
                </c:pt>
                <c:pt idx="15">
                  <c:v>34.920900000000003</c:v>
                </c:pt>
                <c:pt idx="16">
                  <c:v>44.345700000000001</c:v>
                </c:pt>
                <c:pt idx="17">
                  <c:v>55.386000000000003</c:v>
                </c:pt>
                <c:pt idx="18">
                  <c:v>68.0625</c:v>
                </c:pt>
                <c:pt idx="19">
                  <c:v>82.579499999999996</c:v>
                </c:pt>
                <c:pt idx="20">
                  <c:v>99.146699999999996</c:v>
                </c:pt>
                <c:pt idx="21">
                  <c:v>118.10339999999999</c:v>
                </c:pt>
                <c:pt idx="22">
                  <c:v>140.03909999999999</c:v>
                </c:pt>
                <c:pt idx="23">
                  <c:v>165.56309999999999</c:v>
                </c:pt>
                <c:pt idx="24">
                  <c:v>195.36930000000001</c:v>
                </c:pt>
                <c:pt idx="25">
                  <c:v>229.9068</c:v>
                </c:pt>
                <c:pt idx="26">
                  <c:v>269.99279999999999</c:v>
                </c:pt>
                <c:pt idx="27">
                  <c:v>316.75319999999999</c:v>
                </c:pt>
                <c:pt idx="28">
                  <c:v>371.29230000000001</c:v>
                </c:pt>
                <c:pt idx="29">
                  <c:v>434.3193</c:v>
                </c:pt>
                <c:pt idx="30">
                  <c:v>506.20409999999998</c:v>
                </c:pt>
                <c:pt idx="31">
                  <c:v>587.24369999999999</c:v>
                </c:pt>
                <c:pt idx="32">
                  <c:v>677.55330000000004</c:v>
                </c:pt>
                <c:pt idx="33">
                  <c:v>777.3057</c:v>
                </c:pt>
                <c:pt idx="34">
                  <c:v>887.19929999999999</c:v>
                </c:pt>
                <c:pt idx="35">
                  <c:v>1007.3439</c:v>
                </c:pt>
                <c:pt idx="36">
                  <c:v>1137.7674</c:v>
                </c:pt>
                <c:pt idx="37">
                  <c:v>1278.0666000000001</c:v>
                </c:pt>
                <c:pt idx="38">
                  <c:v>1427.8373999999999</c:v>
                </c:pt>
                <c:pt idx="39">
                  <c:v>1586.6883</c:v>
                </c:pt>
                <c:pt idx="40">
                  <c:v>1754.3358000000001</c:v>
                </c:pt>
                <c:pt idx="41">
                  <c:v>1930.6197</c:v>
                </c:pt>
                <c:pt idx="42">
                  <c:v>2115.2871</c:v>
                </c:pt>
                <c:pt idx="43">
                  <c:v>2308.3533000000002</c:v>
                </c:pt>
                <c:pt idx="44">
                  <c:v>2509.8353999999999</c:v>
                </c:pt>
                <c:pt idx="45">
                  <c:v>2719.9124999999999</c:v>
                </c:pt>
                <c:pt idx="46">
                  <c:v>2938.2966000000001</c:v>
                </c:pt>
                <c:pt idx="47">
                  <c:v>3164.8589999999999</c:v>
                </c:pt>
                <c:pt idx="48">
                  <c:v>3399.1623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74-44FC-9F48-701457C83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586520"/>
        <c:axId val="623583896"/>
      </c:scatterChart>
      <c:valAx>
        <c:axId val="62358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SRTM Elevation</a:t>
                </a:r>
                <a:r>
                  <a:rPr lang="en-GB" sz="1400" b="1" baseline="0"/>
                  <a:t> (m)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3896"/>
        <c:crosses val="autoZero"/>
        <c:crossBetween val="midCat"/>
      </c:valAx>
      <c:valAx>
        <c:axId val="623583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Volume</a:t>
                </a:r>
                <a:r>
                  <a:rPr lang="en-GB" sz="1400" b="1" baseline="0"/>
                  <a:t> (MCM)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6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Info!$C$51</c:f>
          <c:strCache>
            <c:ptCount val="1"/>
            <c:pt idx="0">
              <c:v>Mirani Reservoir, Balochistan: Elevation-Area Curve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Data!$G$4</c:f>
              <c:strCache>
                <c:ptCount val="1"/>
                <c:pt idx="0">
                  <c:v>Area (km2)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Data!$C$5:$C$53</c:f>
              <c:numCache>
                <c:formatCode>General</c:formatCode>
                <c:ptCount val="49"/>
                <c:pt idx="0">
                  <c:v>47</c:v>
                </c:pt>
                <c:pt idx="1">
                  <c:v>48</c:v>
                </c:pt>
                <c:pt idx="2">
                  <c:v>49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76</c:v>
                </c:pt>
                <c:pt idx="30">
                  <c:v>77</c:v>
                </c:pt>
                <c:pt idx="31">
                  <c:v>78</c:v>
                </c:pt>
                <c:pt idx="32">
                  <c:v>79</c:v>
                </c:pt>
                <c:pt idx="33">
                  <c:v>80</c:v>
                </c:pt>
                <c:pt idx="34">
                  <c:v>81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85</c:v>
                </c:pt>
                <c:pt idx="39">
                  <c:v>86</c:v>
                </c:pt>
                <c:pt idx="40">
                  <c:v>87</c:v>
                </c:pt>
                <c:pt idx="41">
                  <c:v>88</c:v>
                </c:pt>
                <c:pt idx="42">
                  <c:v>89</c:v>
                </c:pt>
                <c:pt idx="43">
                  <c:v>90</c:v>
                </c:pt>
                <c:pt idx="44">
                  <c:v>91</c:v>
                </c:pt>
                <c:pt idx="45">
                  <c:v>92</c:v>
                </c:pt>
                <c:pt idx="46">
                  <c:v>93</c:v>
                </c:pt>
                <c:pt idx="47">
                  <c:v>94</c:v>
                </c:pt>
                <c:pt idx="48">
                  <c:v>95</c:v>
                </c:pt>
              </c:numCache>
            </c:numRef>
          </c:xVal>
          <c:yVal>
            <c:numRef>
              <c:f>Data!$G$5:$G$53</c:f>
              <c:numCache>
                <c:formatCode>#,##0.00</c:formatCode>
                <c:ptCount val="49"/>
                <c:pt idx="0">
                  <c:v>0</c:v>
                </c:pt>
                <c:pt idx="1">
                  <c:v>2.7000000000000001E-3</c:v>
                </c:pt>
                <c:pt idx="2">
                  <c:v>2.1600000000000001E-2</c:v>
                </c:pt>
                <c:pt idx="3">
                  <c:v>6.3E-2</c:v>
                </c:pt>
                <c:pt idx="4">
                  <c:v>0.15029999999999999</c:v>
                </c:pt>
                <c:pt idx="5">
                  <c:v>0.30059999999999998</c:v>
                </c:pt>
                <c:pt idx="6">
                  <c:v>0.53910000000000002</c:v>
                </c:pt>
                <c:pt idx="7">
                  <c:v>0.88470000000000004</c:v>
                </c:pt>
                <c:pt idx="8">
                  <c:v>1.35</c:v>
                </c:pt>
                <c:pt idx="9">
                  <c:v>1.8828</c:v>
                </c:pt>
                <c:pt idx="10">
                  <c:v>2.5019999999999998</c:v>
                </c:pt>
                <c:pt idx="11">
                  <c:v>3.2139000000000002</c:v>
                </c:pt>
                <c:pt idx="12">
                  <c:v>4.1355000000000004</c:v>
                </c:pt>
                <c:pt idx="13">
                  <c:v>5.3072999999999997</c:v>
                </c:pt>
                <c:pt idx="14">
                  <c:v>6.5861999999999998</c:v>
                </c:pt>
                <c:pt idx="15">
                  <c:v>7.9812000000000003</c:v>
                </c:pt>
                <c:pt idx="16">
                  <c:v>9.4247999999999994</c:v>
                </c:pt>
                <c:pt idx="17">
                  <c:v>11.0403</c:v>
                </c:pt>
                <c:pt idx="18">
                  <c:v>12.676500000000001</c:v>
                </c:pt>
                <c:pt idx="19">
                  <c:v>14.516999999999999</c:v>
                </c:pt>
                <c:pt idx="20">
                  <c:v>16.5672</c:v>
                </c:pt>
                <c:pt idx="21">
                  <c:v>18.956700000000001</c:v>
                </c:pt>
                <c:pt idx="22">
                  <c:v>21.935700000000001</c:v>
                </c:pt>
                <c:pt idx="23">
                  <c:v>25.524000000000001</c:v>
                </c:pt>
                <c:pt idx="24">
                  <c:v>29.8062</c:v>
                </c:pt>
                <c:pt idx="25">
                  <c:v>34.537500000000001</c:v>
                </c:pt>
                <c:pt idx="26">
                  <c:v>40.085999999999999</c:v>
                </c:pt>
                <c:pt idx="27">
                  <c:v>46.760399999999997</c:v>
                </c:pt>
                <c:pt idx="28">
                  <c:v>54.539099999999998</c:v>
                </c:pt>
                <c:pt idx="29">
                  <c:v>63.027000000000001</c:v>
                </c:pt>
                <c:pt idx="30">
                  <c:v>71.884799999999998</c:v>
                </c:pt>
                <c:pt idx="31">
                  <c:v>81.039599999999993</c:v>
                </c:pt>
                <c:pt idx="32">
                  <c:v>90.309600000000003</c:v>
                </c:pt>
                <c:pt idx="33">
                  <c:v>99.752399999999994</c:v>
                </c:pt>
                <c:pt idx="34">
                  <c:v>109.89360000000001</c:v>
                </c:pt>
                <c:pt idx="35">
                  <c:v>120.1446</c:v>
                </c:pt>
                <c:pt idx="36">
                  <c:v>130.42349999999999</c:v>
                </c:pt>
                <c:pt idx="37">
                  <c:v>140.29920000000001</c:v>
                </c:pt>
                <c:pt idx="38">
                  <c:v>149.77080000000001</c:v>
                </c:pt>
                <c:pt idx="39">
                  <c:v>158.8509</c:v>
                </c:pt>
                <c:pt idx="40">
                  <c:v>167.64750000000001</c:v>
                </c:pt>
                <c:pt idx="41">
                  <c:v>176.28389999999999</c:v>
                </c:pt>
                <c:pt idx="42">
                  <c:v>184.66739999999999</c:v>
                </c:pt>
                <c:pt idx="43">
                  <c:v>193.06620000000001</c:v>
                </c:pt>
                <c:pt idx="44">
                  <c:v>201.4821</c:v>
                </c:pt>
                <c:pt idx="45">
                  <c:v>210.0771</c:v>
                </c:pt>
                <c:pt idx="46">
                  <c:v>218.38409999999999</c:v>
                </c:pt>
                <c:pt idx="47">
                  <c:v>226.5624</c:v>
                </c:pt>
                <c:pt idx="48">
                  <c:v>234.30330000000001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BC-493D-8B1D-1C0C00051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586520"/>
        <c:axId val="623583896"/>
      </c:scatterChart>
      <c:valAx>
        <c:axId val="62358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 baseline="0"/>
                  <a:t>SRTM Elevation (m)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3896"/>
        <c:crosses val="autoZero"/>
        <c:crossBetween val="midCat"/>
      </c:valAx>
      <c:valAx>
        <c:axId val="623583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Area</a:t>
                </a:r>
                <a:r>
                  <a:rPr lang="en-GB" sz="1400" b="1" baseline="0"/>
                  <a:t> (Km2)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6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Info!$C$52</c:f>
          <c:strCache>
            <c:ptCount val="1"/>
            <c:pt idx="0">
              <c:v>Mirani Reservoir, Balochistan: Elevation-Area-Capacity Curves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Spillway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C7CE3AF-9EBA-C34A-9B4D-7204210EF9B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4A4-4DA9-B5F0-13CE7EEF6D0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DA3624F-CD9E-FD4A-9759-D1F968804C3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A4-4DA9-B5F0-13CE7EEF6D0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8954962-F03B-FE4B-A663-6213ED87893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A4-4DA9-B5F0-13CE7EEF6D00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Info!$E$6:$E$8</c:f>
              <c:numCache>
                <c:formatCode>General</c:formatCode>
                <c:ptCount val="3"/>
                <c:pt idx="0">
                  <c:v>0</c:v>
                </c:pt>
                <c:pt idx="1">
                  <c:v>1750</c:v>
                </c:pt>
                <c:pt idx="2">
                  <c:v>3500</c:v>
                </c:pt>
              </c:numCache>
            </c:numRef>
          </c:xVal>
          <c:yVal>
            <c:numRef>
              <c:f>Info!$F$6:$F$8</c:f>
              <c:numCache>
                <c:formatCode>General</c:formatCode>
                <c:ptCount val="3"/>
                <c:pt idx="0">
                  <c:v>76</c:v>
                </c:pt>
                <c:pt idx="1">
                  <c:v>76</c:v>
                </c:pt>
                <c:pt idx="2">
                  <c:v>76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Info!$G$6:$G$9</c15:f>
                <c15:dlblRangeCache>
                  <c:ptCount val="4"/>
                  <c:pt idx="0">
                    <c:v> </c:v>
                  </c:pt>
                  <c:pt idx="1">
                    <c:v>Estimated Top of Spillway (76m)</c:v>
                  </c:pt>
                  <c:pt idx="2">
                    <c:v>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C4A4-4DA9-B5F0-13CE7EEF6D00}"/>
            </c:ext>
          </c:extLst>
        </c:ser>
        <c:ser>
          <c:idx val="1"/>
          <c:order val="2"/>
          <c:tx>
            <c:strRef>
              <c:f>Data!$H$4</c:f>
              <c:strCache>
                <c:ptCount val="1"/>
                <c:pt idx="0">
                  <c:v>Volume (MCM)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Data!$H$5:$H$53</c:f>
              <c:numCache>
                <c:formatCode>#,##0.000</c:formatCode>
                <c:ptCount val="49"/>
                <c:pt idx="0">
                  <c:v>0</c:v>
                </c:pt>
                <c:pt idx="1">
                  <c:v>2.7000000000000001E-3</c:v>
                </c:pt>
                <c:pt idx="2">
                  <c:v>2.4299999999999999E-2</c:v>
                </c:pt>
                <c:pt idx="3">
                  <c:v>8.7300000000000003E-2</c:v>
                </c:pt>
                <c:pt idx="4">
                  <c:v>0.23760000000000001</c:v>
                </c:pt>
                <c:pt idx="5">
                  <c:v>0.53820000000000001</c:v>
                </c:pt>
                <c:pt idx="6">
                  <c:v>1.0772999999999999</c:v>
                </c:pt>
                <c:pt idx="7">
                  <c:v>1.962</c:v>
                </c:pt>
                <c:pt idx="8">
                  <c:v>3.3119999999999998</c:v>
                </c:pt>
                <c:pt idx="9">
                  <c:v>5.1947999999999999</c:v>
                </c:pt>
                <c:pt idx="10">
                  <c:v>7.6967999999999996</c:v>
                </c:pt>
                <c:pt idx="11">
                  <c:v>10.9107</c:v>
                </c:pt>
                <c:pt idx="12">
                  <c:v>15.046200000000001</c:v>
                </c:pt>
                <c:pt idx="13">
                  <c:v>20.3535</c:v>
                </c:pt>
                <c:pt idx="14">
                  <c:v>26.939699999999998</c:v>
                </c:pt>
                <c:pt idx="15">
                  <c:v>34.920900000000003</c:v>
                </c:pt>
                <c:pt idx="16">
                  <c:v>44.345700000000001</c:v>
                </c:pt>
                <c:pt idx="17">
                  <c:v>55.386000000000003</c:v>
                </c:pt>
                <c:pt idx="18">
                  <c:v>68.0625</c:v>
                </c:pt>
                <c:pt idx="19">
                  <c:v>82.579499999999996</c:v>
                </c:pt>
                <c:pt idx="20">
                  <c:v>99.146699999999996</c:v>
                </c:pt>
                <c:pt idx="21">
                  <c:v>118.10339999999999</c:v>
                </c:pt>
                <c:pt idx="22">
                  <c:v>140.03909999999999</c:v>
                </c:pt>
                <c:pt idx="23">
                  <c:v>165.56309999999999</c:v>
                </c:pt>
                <c:pt idx="24">
                  <c:v>195.36930000000001</c:v>
                </c:pt>
                <c:pt idx="25">
                  <c:v>229.9068</c:v>
                </c:pt>
                <c:pt idx="26">
                  <c:v>269.99279999999999</c:v>
                </c:pt>
                <c:pt idx="27">
                  <c:v>316.75319999999999</c:v>
                </c:pt>
                <c:pt idx="28">
                  <c:v>371.29230000000001</c:v>
                </c:pt>
                <c:pt idx="29">
                  <c:v>434.3193</c:v>
                </c:pt>
                <c:pt idx="30">
                  <c:v>506.20409999999998</c:v>
                </c:pt>
                <c:pt idx="31">
                  <c:v>587.24369999999999</c:v>
                </c:pt>
                <c:pt idx="32">
                  <c:v>677.55330000000004</c:v>
                </c:pt>
                <c:pt idx="33">
                  <c:v>777.3057</c:v>
                </c:pt>
                <c:pt idx="34">
                  <c:v>887.19929999999999</c:v>
                </c:pt>
                <c:pt idx="35">
                  <c:v>1007.3439</c:v>
                </c:pt>
                <c:pt idx="36">
                  <c:v>1137.7674</c:v>
                </c:pt>
                <c:pt idx="37">
                  <c:v>1278.0666000000001</c:v>
                </c:pt>
                <c:pt idx="38">
                  <c:v>1427.8373999999999</c:v>
                </c:pt>
                <c:pt idx="39">
                  <c:v>1586.6883</c:v>
                </c:pt>
                <c:pt idx="40">
                  <c:v>1754.3358000000001</c:v>
                </c:pt>
                <c:pt idx="41">
                  <c:v>1930.6197</c:v>
                </c:pt>
                <c:pt idx="42">
                  <c:v>2115.2871</c:v>
                </c:pt>
                <c:pt idx="43">
                  <c:v>2308.3533000000002</c:v>
                </c:pt>
                <c:pt idx="44">
                  <c:v>2509.8353999999999</c:v>
                </c:pt>
                <c:pt idx="45">
                  <c:v>2719.9124999999999</c:v>
                </c:pt>
                <c:pt idx="46">
                  <c:v>2938.2966000000001</c:v>
                </c:pt>
                <c:pt idx="47">
                  <c:v>3164.8589999999999</c:v>
                </c:pt>
                <c:pt idx="48">
                  <c:v>3399.1623</c:v>
                </c:pt>
              </c:numCache>
            </c:numRef>
          </c:xVal>
          <c:yVal>
            <c:numRef>
              <c:f>Data!$C$5:$C$53</c:f>
              <c:numCache>
                <c:formatCode>General</c:formatCode>
                <c:ptCount val="49"/>
                <c:pt idx="0">
                  <c:v>47</c:v>
                </c:pt>
                <c:pt idx="1">
                  <c:v>48</c:v>
                </c:pt>
                <c:pt idx="2">
                  <c:v>49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76</c:v>
                </c:pt>
                <c:pt idx="30">
                  <c:v>77</c:v>
                </c:pt>
                <c:pt idx="31">
                  <c:v>78</c:v>
                </c:pt>
                <c:pt idx="32">
                  <c:v>79</c:v>
                </c:pt>
                <c:pt idx="33">
                  <c:v>80</c:v>
                </c:pt>
                <c:pt idx="34">
                  <c:v>81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85</c:v>
                </c:pt>
                <c:pt idx="39">
                  <c:v>86</c:v>
                </c:pt>
                <c:pt idx="40">
                  <c:v>87</c:v>
                </c:pt>
                <c:pt idx="41">
                  <c:v>88</c:v>
                </c:pt>
                <c:pt idx="42">
                  <c:v>89</c:v>
                </c:pt>
                <c:pt idx="43">
                  <c:v>90</c:v>
                </c:pt>
                <c:pt idx="44">
                  <c:v>91</c:v>
                </c:pt>
                <c:pt idx="45">
                  <c:v>92</c:v>
                </c:pt>
                <c:pt idx="46">
                  <c:v>93</c:v>
                </c:pt>
                <c:pt idx="47">
                  <c:v>94</c:v>
                </c:pt>
                <c:pt idx="48">
                  <c:v>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A4-4DA9-B5F0-13CE7EEF6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586520"/>
        <c:axId val="623583896"/>
      </c:scatterChart>
      <c:scatterChart>
        <c:scatterStyle val="smoothMarker"/>
        <c:varyColors val="0"/>
        <c:ser>
          <c:idx val="0"/>
          <c:order val="1"/>
          <c:tx>
            <c:strRef>
              <c:f>Data!$G$4</c:f>
              <c:strCache>
                <c:ptCount val="1"/>
                <c:pt idx="0">
                  <c:v>Area (km2)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Data!$G$5:$G$53</c:f>
              <c:numCache>
                <c:formatCode>#,##0.00</c:formatCode>
                <c:ptCount val="49"/>
                <c:pt idx="0">
                  <c:v>0</c:v>
                </c:pt>
                <c:pt idx="1">
                  <c:v>2.7000000000000001E-3</c:v>
                </c:pt>
                <c:pt idx="2">
                  <c:v>2.1600000000000001E-2</c:v>
                </c:pt>
                <c:pt idx="3">
                  <c:v>6.3E-2</c:v>
                </c:pt>
                <c:pt idx="4">
                  <c:v>0.15029999999999999</c:v>
                </c:pt>
                <c:pt idx="5">
                  <c:v>0.30059999999999998</c:v>
                </c:pt>
                <c:pt idx="6">
                  <c:v>0.53910000000000002</c:v>
                </c:pt>
                <c:pt idx="7">
                  <c:v>0.88470000000000004</c:v>
                </c:pt>
                <c:pt idx="8">
                  <c:v>1.35</c:v>
                </c:pt>
                <c:pt idx="9">
                  <c:v>1.8828</c:v>
                </c:pt>
                <c:pt idx="10">
                  <c:v>2.5019999999999998</c:v>
                </c:pt>
                <c:pt idx="11">
                  <c:v>3.2139000000000002</c:v>
                </c:pt>
                <c:pt idx="12">
                  <c:v>4.1355000000000004</c:v>
                </c:pt>
                <c:pt idx="13">
                  <c:v>5.3072999999999997</c:v>
                </c:pt>
                <c:pt idx="14">
                  <c:v>6.5861999999999998</c:v>
                </c:pt>
                <c:pt idx="15">
                  <c:v>7.9812000000000003</c:v>
                </c:pt>
                <c:pt idx="16">
                  <c:v>9.4247999999999994</c:v>
                </c:pt>
                <c:pt idx="17">
                  <c:v>11.0403</c:v>
                </c:pt>
                <c:pt idx="18">
                  <c:v>12.676500000000001</c:v>
                </c:pt>
                <c:pt idx="19">
                  <c:v>14.516999999999999</c:v>
                </c:pt>
                <c:pt idx="20">
                  <c:v>16.5672</c:v>
                </c:pt>
                <c:pt idx="21">
                  <c:v>18.956700000000001</c:v>
                </c:pt>
                <c:pt idx="22">
                  <c:v>21.935700000000001</c:v>
                </c:pt>
                <c:pt idx="23">
                  <c:v>25.524000000000001</c:v>
                </c:pt>
                <c:pt idx="24">
                  <c:v>29.8062</c:v>
                </c:pt>
                <c:pt idx="25">
                  <c:v>34.537500000000001</c:v>
                </c:pt>
                <c:pt idx="26">
                  <c:v>40.085999999999999</c:v>
                </c:pt>
                <c:pt idx="27">
                  <c:v>46.760399999999997</c:v>
                </c:pt>
                <c:pt idx="28">
                  <c:v>54.539099999999998</c:v>
                </c:pt>
                <c:pt idx="29">
                  <c:v>63.027000000000001</c:v>
                </c:pt>
                <c:pt idx="30">
                  <c:v>71.884799999999998</c:v>
                </c:pt>
                <c:pt idx="31">
                  <c:v>81.039599999999993</c:v>
                </c:pt>
                <c:pt idx="32">
                  <c:v>90.309600000000003</c:v>
                </c:pt>
                <c:pt idx="33">
                  <c:v>99.752399999999994</c:v>
                </c:pt>
                <c:pt idx="34">
                  <c:v>109.89360000000001</c:v>
                </c:pt>
                <c:pt idx="35">
                  <c:v>120.1446</c:v>
                </c:pt>
                <c:pt idx="36">
                  <c:v>130.42349999999999</c:v>
                </c:pt>
                <c:pt idx="37">
                  <c:v>140.29920000000001</c:v>
                </c:pt>
                <c:pt idx="38">
                  <c:v>149.77080000000001</c:v>
                </c:pt>
                <c:pt idx="39">
                  <c:v>158.8509</c:v>
                </c:pt>
                <c:pt idx="40">
                  <c:v>167.64750000000001</c:v>
                </c:pt>
                <c:pt idx="41">
                  <c:v>176.28389999999999</c:v>
                </c:pt>
                <c:pt idx="42">
                  <c:v>184.66739999999999</c:v>
                </c:pt>
                <c:pt idx="43">
                  <c:v>193.06620000000001</c:v>
                </c:pt>
                <c:pt idx="44">
                  <c:v>201.4821</c:v>
                </c:pt>
                <c:pt idx="45">
                  <c:v>210.0771</c:v>
                </c:pt>
                <c:pt idx="46">
                  <c:v>218.38409999999999</c:v>
                </c:pt>
                <c:pt idx="47">
                  <c:v>226.5624</c:v>
                </c:pt>
                <c:pt idx="48">
                  <c:v>234.30330000000001</c:v>
                </c:pt>
              </c:numCache>
            </c:numRef>
          </c:xVal>
          <c:yVal>
            <c:numRef>
              <c:f>Data!$C$5:$C$53</c:f>
              <c:numCache>
                <c:formatCode>General</c:formatCode>
                <c:ptCount val="49"/>
                <c:pt idx="0">
                  <c:v>47</c:v>
                </c:pt>
                <c:pt idx="1">
                  <c:v>48</c:v>
                </c:pt>
                <c:pt idx="2">
                  <c:v>49</c:v>
                </c:pt>
                <c:pt idx="3">
                  <c:v>50</c:v>
                </c:pt>
                <c:pt idx="4">
                  <c:v>51</c:v>
                </c:pt>
                <c:pt idx="5">
                  <c:v>52</c:v>
                </c:pt>
                <c:pt idx="6">
                  <c:v>53</c:v>
                </c:pt>
                <c:pt idx="7">
                  <c:v>54</c:v>
                </c:pt>
                <c:pt idx="8">
                  <c:v>55</c:v>
                </c:pt>
                <c:pt idx="9">
                  <c:v>56</c:v>
                </c:pt>
                <c:pt idx="10">
                  <c:v>57</c:v>
                </c:pt>
                <c:pt idx="11">
                  <c:v>58</c:v>
                </c:pt>
                <c:pt idx="12">
                  <c:v>59</c:v>
                </c:pt>
                <c:pt idx="13">
                  <c:v>60</c:v>
                </c:pt>
                <c:pt idx="14">
                  <c:v>61</c:v>
                </c:pt>
                <c:pt idx="15">
                  <c:v>62</c:v>
                </c:pt>
                <c:pt idx="16">
                  <c:v>63</c:v>
                </c:pt>
                <c:pt idx="17">
                  <c:v>64</c:v>
                </c:pt>
                <c:pt idx="18">
                  <c:v>65</c:v>
                </c:pt>
                <c:pt idx="19">
                  <c:v>66</c:v>
                </c:pt>
                <c:pt idx="20">
                  <c:v>67</c:v>
                </c:pt>
                <c:pt idx="21">
                  <c:v>68</c:v>
                </c:pt>
                <c:pt idx="22">
                  <c:v>69</c:v>
                </c:pt>
                <c:pt idx="23">
                  <c:v>70</c:v>
                </c:pt>
                <c:pt idx="24">
                  <c:v>71</c:v>
                </c:pt>
                <c:pt idx="25">
                  <c:v>72</c:v>
                </c:pt>
                <c:pt idx="26">
                  <c:v>73</c:v>
                </c:pt>
                <c:pt idx="27">
                  <c:v>74</c:v>
                </c:pt>
                <c:pt idx="28">
                  <c:v>75</c:v>
                </c:pt>
                <c:pt idx="29">
                  <c:v>76</c:v>
                </c:pt>
                <c:pt idx="30">
                  <c:v>77</c:v>
                </c:pt>
                <c:pt idx="31">
                  <c:v>78</c:v>
                </c:pt>
                <c:pt idx="32">
                  <c:v>79</c:v>
                </c:pt>
                <c:pt idx="33">
                  <c:v>80</c:v>
                </c:pt>
                <c:pt idx="34">
                  <c:v>81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85</c:v>
                </c:pt>
                <c:pt idx="39">
                  <c:v>86</c:v>
                </c:pt>
                <c:pt idx="40">
                  <c:v>87</c:v>
                </c:pt>
                <c:pt idx="41">
                  <c:v>88</c:v>
                </c:pt>
                <c:pt idx="42">
                  <c:v>89</c:v>
                </c:pt>
                <c:pt idx="43">
                  <c:v>90</c:v>
                </c:pt>
                <c:pt idx="44">
                  <c:v>91</c:v>
                </c:pt>
                <c:pt idx="45">
                  <c:v>92</c:v>
                </c:pt>
                <c:pt idx="46">
                  <c:v>93</c:v>
                </c:pt>
                <c:pt idx="47">
                  <c:v>94</c:v>
                </c:pt>
                <c:pt idx="48">
                  <c:v>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A4-4DA9-B5F0-13CE7EEF6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080136"/>
        <c:axId val="708088992"/>
      </c:scatterChart>
      <c:valAx>
        <c:axId val="623586520"/>
        <c:scaling>
          <c:orientation val="minMax"/>
          <c:max val="3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 baseline="0"/>
                  <a:t>Estimated Storage Capacity (MCM)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3896"/>
        <c:crosses val="autoZero"/>
        <c:crossBetween val="midCat"/>
      </c:valAx>
      <c:valAx>
        <c:axId val="623583896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 baseline="0"/>
                  <a:t>SRTM Elevation (m)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6520"/>
        <c:crosses val="autoZero"/>
        <c:crossBetween val="midCat"/>
      </c:valAx>
      <c:valAx>
        <c:axId val="708088992"/>
        <c:scaling>
          <c:orientation val="minMax"/>
          <c:min val="4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80136"/>
        <c:crosses val="autoZero"/>
        <c:crossBetween val="midCat"/>
      </c:valAx>
      <c:valAx>
        <c:axId val="708080136"/>
        <c:scaling>
          <c:orientation val="maxMin"/>
          <c:min val="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Estimated</a:t>
                </a:r>
                <a:r>
                  <a:rPr lang="en-GB" sz="1400" b="1" baseline="0"/>
                  <a:t> Area (Km</a:t>
                </a:r>
                <a:r>
                  <a:rPr lang="en-GB" sz="1400" b="1" baseline="30000"/>
                  <a:t>2</a:t>
                </a:r>
                <a:r>
                  <a:rPr lang="en-GB" sz="1400" b="1" baseline="0"/>
                  <a:t>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88992"/>
        <c:crosses val="max"/>
        <c:crossBetween val="midCat"/>
        <c:majorUnit val="4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Info!$C$53</c:f>
          <c:strCache>
            <c:ptCount val="1"/>
            <c:pt idx="0">
              <c:v>Mirani Reservoir, Balochistan: Reservoir Capacity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Calcs!$E$4</c:f>
              <c:strCache>
                <c:ptCount val="1"/>
                <c:pt idx="0">
                  <c:v>Volume (MCM)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numRef>
              <c:f>Calcs!$C$5:$C$873</c:f>
              <c:numCache>
                <c:formatCode>m/d/yy</c:formatCode>
                <c:ptCount val="869"/>
                <c:pt idx="0">
                  <c:v>38966</c:v>
                </c:pt>
                <c:pt idx="1">
                  <c:v>38982</c:v>
                </c:pt>
                <c:pt idx="2">
                  <c:v>39014</c:v>
                </c:pt>
                <c:pt idx="3">
                  <c:v>39174</c:v>
                </c:pt>
                <c:pt idx="4">
                  <c:v>39190</c:v>
                </c:pt>
                <c:pt idx="5">
                  <c:v>39206</c:v>
                </c:pt>
                <c:pt idx="6">
                  <c:v>39286</c:v>
                </c:pt>
                <c:pt idx="7">
                  <c:v>39302</c:v>
                </c:pt>
                <c:pt idx="8">
                  <c:v>39334</c:v>
                </c:pt>
                <c:pt idx="9">
                  <c:v>39350</c:v>
                </c:pt>
                <c:pt idx="10">
                  <c:v>39366</c:v>
                </c:pt>
                <c:pt idx="11">
                  <c:v>39478</c:v>
                </c:pt>
                <c:pt idx="12">
                  <c:v>39510</c:v>
                </c:pt>
                <c:pt idx="13">
                  <c:v>39526</c:v>
                </c:pt>
                <c:pt idx="14">
                  <c:v>39542</c:v>
                </c:pt>
                <c:pt idx="15">
                  <c:v>39558</c:v>
                </c:pt>
                <c:pt idx="16">
                  <c:v>39590</c:v>
                </c:pt>
                <c:pt idx="17">
                  <c:v>39606</c:v>
                </c:pt>
                <c:pt idx="18">
                  <c:v>39654</c:v>
                </c:pt>
                <c:pt idx="19">
                  <c:v>39670</c:v>
                </c:pt>
                <c:pt idx="20">
                  <c:v>39686</c:v>
                </c:pt>
                <c:pt idx="21">
                  <c:v>39702</c:v>
                </c:pt>
                <c:pt idx="22">
                  <c:v>39718</c:v>
                </c:pt>
                <c:pt idx="23">
                  <c:v>39734</c:v>
                </c:pt>
                <c:pt idx="24">
                  <c:v>39750</c:v>
                </c:pt>
                <c:pt idx="25">
                  <c:v>39766</c:v>
                </c:pt>
                <c:pt idx="26">
                  <c:v>39782</c:v>
                </c:pt>
                <c:pt idx="27">
                  <c:v>39878</c:v>
                </c:pt>
                <c:pt idx="28">
                  <c:v>39926</c:v>
                </c:pt>
                <c:pt idx="29">
                  <c:v>39942</c:v>
                </c:pt>
                <c:pt idx="30">
                  <c:v>39958</c:v>
                </c:pt>
                <c:pt idx="31">
                  <c:v>39974</c:v>
                </c:pt>
                <c:pt idx="32">
                  <c:v>39990</c:v>
                </c:pt>
                <c:pt idx="33">
                  <c:v>40070</c:v>
                </c:pt>
                <c:pt idx="34">
                  <c:v>40086</c:v>
                </c:pt>
                <c:pt idx="35">
                  <c:v>40102</c:v>
                </c:pt>
                <c:pt idx="36">
                  <c:v>40118</c:v>
                </c:pt>
                <c:pt idx="37">
                  <c:v>40134</c:v>
                </c:pt>
                <c:pt idx="38">
                  <c:v>40246</c:v>
                </c:pt>
                <c:pt idx="39">
                  <c:v>40262</c:v>
                </c:pt>
                <c:pt idx="40">
                  <c:v>40310</c:v>
                </c:pt>
                <c:pt idx="41">
                  <c:v>40326</c:v>
                </c:pt>
                <c:pt idx="42">
                  <c:v>40342</c:v>
                </c:pt>
                <c:pt idx="43">
                  <c:v>40358</c:v>
                </c:pt>
                <c:pt idx="44">
                  <c:v>40470</c:v>
                </c:pt>
                <c:pt idx="45">
                  <c:v>40486</c:v>
                </c:pt>
                <c:pt idx="46">
                  <c:v>40662</c:v>
                </c:pt>
                <c:pt idx="47">
                  <c:v>40678</c:v>
                </c:pt>
                <c:pt idx="48">
                  <c:v>40726</c:v>
                </c:pt>
                <c:pt idx="49">
                  <c:v>40742</c:v>
                </c:pt>
                <c:pt idx="50">
                  <c:v>40758</c:v>
                </c:pt>
                <c:pt idx="51">
                  <c:v>40806</c:v>
                </c:pt>
                <c:pt idx="52">
                  <c:v>40838</c:v>
                </c:pt>
                <c:pt idx="53">
                  <c:v>40854</c:v>
                </c:pt>
                <c:pt idx="54">
                  <c:v>40998</c:v>
                </c:pt>
                <c:pt idx="55">
                  <c:v>41014</c:v>
                </c:pt>
                <c:pt idx="56">
                  <c:v>41030</c:v>
                </c:pt>
                <c:pt idx="57">
                  <c:v>41046</c:v>
                </c:pt>
                <c:pt idx="58">
                  <c:v>41078</c:v>
                </c:pt>
                <c:pt idx="59">
                  <c:v>41094</c:v>
                </c:pt>
                <c:pt idx="60">
                  <c:v>41110</c:v>
                </c:pt>
                <c:pt idx="61">
                  <c:v>41126</c:v>
                </c:pt>
                <c:pt idx="62">
                  <c:v>41174</c:v>
                </c:pt>
                <c:pt idx="63">
                  <c:v>41190</c:v>
                </c:pt>
                <c:pt idx="64">
                  <c:v>41206</c:v>
                </c:pt>
                <c:pt idx="65">
                  <c:v>41350</c:v>
                </c:pt>
                <c:pt idx="66">
                  <c:v>41366</c:v>
                </c:pt>
                <c:pt idx="67">
                  <c:v>41369</c:v>
                </c:pt>
                <c:pt idx="68">
                  <c:v>41374</c:v>
                </c:pt>
                <c:pt idx="69">
                  <c:v>41382</c:v>
                </c:pt>
                <c:pt idx="70">
                  <c:v>41398</c:v>
                </c:pt>
                <c:pt idx="71">
                  <c:v>41414</c:v>
                </c:pt>
                <c:pt idx="72">
                  <c:v>41422</c:v>
                </c:pt>
                <c:pt idx="73">
                  <c:v>41486</c:v>
                </c:pt>
                <c:pt idx="74">
                  <c:v>41502</c:v>
                </c:pt>
                <c:pt idx="75">
                  <c:v>41526</c:v>
                </c:pt>
                <c:pt idx="76">
                  <c:v>41534</c:v>
                </c:pt>
                <c:pt idx="77">
                  <c:v>41558</c:v>
                </c:pt>
                <c:pt idx="78">
                  <c:v>41566</c:v>
                </c:pt>
                <c:pt idx="79">
                  <c:v>41574</c:v>
                </c:pt>
                <c:pt idx="80">
                  <c:v>41582</c:v>
                </c:pt>
                <c:pt idx="81">
                  <c:v>41598</c:v>
                </c:pt>
                <c:pt idx="82">
                  <c:v>41606</c:v>
                </c:pt>
                <c:pt idx="83">
                  <c:v>41614</c:v>
                </c:pt>
                <c:pt idx="84">
                  <c:v>41622</c:v>
                </c:pt>
                <c:pt idx="85">
                  <c:v>41630</c:v>
                </c:pt>
                <c:pt idx="86">
                  <c:v>41638</c:v>
                </c:pt>
                <c:pt idx="87">
                  <c:v>41646</c:v>
                </c:pt>
                <c:pt idx="88">
                  <c:v>41654</c:v>
                </c:pt>
                <c:pt idx="89">
                  <c:v>41662</c:v>
                </c:pt>
                <c:pt idx="90">
                  <c:v>41670</c:v>
                </c:pt>
                <c:pt idx="91">
                  <c:v>41678</c:v>
                </c:pt>
                <c:pt idx="92">
                  <c:v>41686</c:v>
                </c:pt>
                <c:pt idx="93">
                  <c:v>41694</c:v>
                </c:pt>
                <c:pt idx="94">
                  <c:v>41702</c:v>
                </c:pt>
                <c:pt idx="95">
                  <c:v>41718</c:v>
                </c:pt>
                <c:pt idx="96">
                  <c:v>41726</c:v>
                </c:pt>
                <c:pt idx="97">
                  <c:v>41734</c:v>
                </c:pt>
                <c:pt idx="98">
                  <c:v>41742</c:v>
                </c:pt>
                <c:pt idx="99">
                  <c:v>41750</c:v>
                </c:pt>
                <c:pt idx="100">
                  <c:v>41766</c:v>
                </c:pt>
                <c:pt idx="101">
                  <c:v>41782</c:v>
                </c:pt>
                <c:pt idx="102">
                  <c:v>41790</c:v>
                </c:pt>
                <c:pt idx="103">
                  <c:v>41798</c:v>
                </c:pt>
                <c:pt idx="104">
                  <c:v>41806</c:v>
                </c:pt>
                <c:pt idx="105">
                  <c:v>41814</c:v>
                </c:pt>
                <c:pt idx="106">
                  <c:v>41830</c:v>
                </c:pt>
                <c:pt idx="107">
                  <c:v>41838</c:v>
                </c:pt>
                <c:pt idx="108">
                  <c:v>41862</c:v>
                </c:pt>
                <c:pt idx="109">
                  <c:v>41870</c:v>
                </c:pt>
                <c:pt idx="110">
                  <c:v>41878</c:v>
                </c:pt>
                <c:pt idx="111">
                  <c:v>41886</c:v>
                </c:pt>
                <c:pt idx="112">
                  <c:v>41894</c:v>
                </c:pt>
                <c:pt idx="113">
                  <c:v>41902</c:v>
                </c:pt>
                <c:pt idx="114">
                  <c:v>41918</c:v>
                </c:pt>
                <c:pt idx="115">
                  <c:v>41926</c:v>
                </c:pt>
                <c:pt idx="116">
                  <c:v>41934</c:v>
                </c:pt>
                <c:pt idx="117">
                  <c:v>41942</c:v>
                </c:pt>
                <c:pt idx="118">
                  <c:v>41950</c:v>
                </c:pt>
                <c:pt idx="119">
                  <c:v>41958</c:v>
                </c:pt>
                <c:pt idx="120">
                  <c:v>41966</c:v>
                </c:pt>
                <c:pt idx="121">
                  <c:v>41974</c:v>
                </c:pt>
                <c:pt idx="122">
                  <c:v>41982</c:v>
                </c:pt>
                <c:pt idx="123">
                  <c:v>41990</c:v>
                </c:pt>
                <c:pt idx="124">
                  <c:v>41998</c:v>
                </c:pt>
                <c:pt idx="125">
                  <c:v>42022</c:v>
                </c:pt>
                <c:pt idx="126">
                  <c:v>42030</c:v>
                </c:pt>
                <c:pt idx="127">
                  <c:v>42054</c:v>
                </c:pt>
                <c:pt idx="128">
                  <c:v>42062</c:v>
                </c:pt>
                <c:pt idx="129">
                  <c:v>42078</c:v>
                </c:pt>
                <c:pt idx="130">
                  <c:v>42086</c:v>
                </c:pt>
                <c:pt idx="131">
                  <c:v>42094</c:v>
                </c:pt>
                <c:pt idx="132">
                  <c:v>42102</c:v>
                </c:pt>
                <c:pt idx="133">
                  <c:v>42110</c:v>
                </c:pt>
                <c:pt idx="134">
                  <c:v>42126</c:v>
                </c:pt>
                <c:pt idx="135">
                  <c:v>42142</c:v>
                </c:pt>
                <c:pt idx="136">
                  <c:v>42150</c:v>
                </c:pt>
                <c:pt idx="137">
                  <c:v>42158</c:v>
                </c:pt>
                <c:pt idx="138">
                  <c:v>42174</c:v>
                </c:pt>
                <c:pt idx="139">
                  <c:v>42182</c:v>
                </c:pt>
                <c:pt idx="140">
                  <c:v>42190</c:v>
                </c:pt>
                <c:pt idx="141">
                  <c:v>42206</c:v>
                </c:pt>
                <c:pt idx="142">
                  <c:v>42238</c:v>
                </c:pt>
                <c:pt idx="143">
                  <c:v>42246</c:v>
                </c:pt>
                <c:pt idx="144">
                  <c:v>42254</c:v>
                </c:pt>
                <c:pt idx="145">
                  <c:v>42262</c:v>
                </c:pt>
                <c:pt idx="146">
                  <c:v>42270</c:v>
                </c:pt>
                <c:pt idx="147">
                  <c:v>42278</c:v>
                </c:pt>
                <c:pt idx="148">
                  <c:v>42286</c:v>
                </c:pt>
                <c:pt idx="149">
                  <c:v>42294</c:v>
                </c:pt>
                <c:pt idx="150">
                  <c:v>42302</c:v>
                </c:pt>
                <c:pt idx="151">
                  <c:v>42310</c:v>
                </c:pt>
                <c:pt idx="152">
                  <c:v>42326</c:v>
                </c:pt>
                <c:pt idx="153">
                  <c:v>42334</c:v>
                </c:pt>
                <c:pt idx="154">
                  <c:v>42350</c:v>
                </c:pt>
                <c:pt idx="155">
                  <c:v>42358</c:v>
                </c:pt>
                <c:pt idx="156">
                  <c:v>42382</c:v>
                </c:pt>
                <c:pt idx="157">
                  <c:v>42390</c:v>
                </c:pt>
                <c:pt idx="158">
                  <c:v>42406</c:v>
                </c:pt>
                <c:pt idx="159">
                  <c:v>42414</c:v>
                </c:pt>
                <c:pt idx="160">
                  <c:v>42422</c:v>
                </c:pt>
                <c:pt idx="161">
                  <c:v>42440</c:v>
                </c:pt>
                <c:pt idx="162">
                  <c:v>42446</c:v>
                </c:pt>
                <c:pt idx="163">
                  <c:v>42454</c:v>
                </c:pt>
                <c:pt idx="164">
                  <c:v>42470</c:v>
                </c:pt>
                <c:pt idx="165">
                  <c:v>42470</c:v>
                </c:pt>
                <c:pt idx="166">
                  <c:v>42478</c:v>
                </c:pt>
                <c:pt idx="167">
                  <c:v>42486</c:v>
                </c:pt>
                <c:pt idx="168">
                  <c:v>42494</c:v>
                </c:pt>
                <c:pt idx="169">
                  <c:v>42502</c:v>
                </c:pt>
                <c:pt idx="170">
                  <c:v>42510</c:v>
                </c:pt>
                <c:pt idx="171">
                  <c:v>42510</c:v>
                </c:pt>
                <c:pt idx="172">
                  <c:v>42518</c:v>
                </c:pt>
                <c:pt idx="173">
                  <c:v>42526</c:v>
                </c:pt>
                <c:pt idx="174">
                  <c:v>42530</c:v>
                </c:pt>
                <c:pt idx="175">
                  <c:v>42534</c:v>
                </c:pt>
                <c:pt idx="176">
                  <c:v>42542</c:v>
                </c:pt>
                <c:pt idx="177">
                  <c:v>42558</c:v>
                </c:pt>
                <c:pt idx="178">
                  <c:v>42566</c:v>
                </c:pt>
                <c:pt idx="179">
                  <c:v>42582</c:v>
                </c:pt>
                <c:pt idx="180">
                  <c:v>42598</c:v>
                </c:pt>
                <c:pt idx="181">
                  <c:v>42606</c:v>
                </c:pt>
                <c:pt idx="182">
                  <c:v>42610</c:v>
                </c:pt>
                <c:pt idx="183">
                  <c:v>42614</c:v>
                </c:pt>
                <c:pt idx="184">
                  <c:v>42622</c:v>
                </c:pt>
                <c:pt idx="185">
                  <c:v>42638</c:v>
                </c:pt>
                <c:pt idx="186">
                  <c:v>42650</c:v>
                </c:pt>
                <c:pt idx="187">
                  <c:v>42654</c:v>
                </c:pt>
                <c:pt idx="188">
                  <c:v>42662</c:v>
                </c:pt>
                <c:pt idx="189">
                  <c:v>42670</c:v>
                </c:pt>
                <c:pt idx="190">
                  <c:v>42670</c:v>
                </c:pt>
                <c:pt idx="191">
                  <c:v>42678</c:v>
                </c:pt>
                <c:pt idx="192">
                  <c:v>42686</c:v>
                </c:pt>
                <c:pt idx="193">
                  <c:v>42690</c:v>
                </c:pt>
                <c:pt idx="194">
                  <c:v>42694</c:v>
                </c:pt>
                <c:pt idx="195">
                  <c:v>42700</c:v>
                </c:pt>
                <c:pt idx="196">
                  <c:v>42702</c:v>
                </c:pt>
                <c:pt idx="197">
                  <c:v>42710</c:v>
                </c:pt>
                <c:pt idx="198">
                  <c:v>42710</c:v>
                </c:pt>
                <c:pt idx="199">
                  <c:v>42718</c:v>
                </c:pt>
                <c:pt idx="200">
                  <c:v>42726</c:v>
                </c:pt>
                <c:pt idx="201">
                  <c:v>42730</c:v>
                </c:pt>
                <c:pt idx="202">
                  <c:v>42734</c:v>
                </c:pt>
                <c:pt idx="203">
                  <c:v>42740</c:v>
                </c:pt>
                <c:pt idx="204">
                  <c:v>42742</c:v>
                </c:pt>
                <c:pt idx="205">
                  <c:v>42750</c:v>
                </c:pt>
                <c:pt idx="206">
                  <c:v>42750</c:v>
                </c:pt>
                <c:pt idx="207">
                  <c:v>42766</c:v>
                </c:pt>
                <c:pt idx="208">
                  <c:v>42770</c:v>
                </c:pt>
                <c:pt idx="209">
                  <c:v>42782</c:v>
                </c:pt>
                <c:pt idx="210">
                  <c:v>42790</c:v>
                </c:pt>
                <c:pt idx="211">
                  <c:v>42798</c:v>
                </c:pt>
                <c:pt idx="212">
                  <c:v>42800</c:v>
                </c:pt>
                <c:pt idx="213">
                  <c:v>42814</c:v>
                </c:pt>
                <c:pt idx="214">
                  <c:v>42820</c:v>
                </c:pt>
                <c:pt idx="215">
                  <c:v>42822</c:v>
                </c:pt>
                <c:pt idx="216">
                  <c:v>42830</c:v>
                </c:pt>
                <c:pt idx="217">
                  <c:v>42838</c:v>
                </c:pt>
                <c:pt idx="218">
                  <c:v>42840</c:v>
                </c:pt>
                <c:pt idx="219">
                  <c:v>42846</c:v>
                </c:pt>
                <c:pt idx="220">
                  <c:v>42854</c:v>
                </c:pt>
                <c:pt idx="221">
                  <c:v>42860</c:v>
                </c:pt>
                <c:pt idx="222">
                  <c:v>42862</c:v>
                </c:pt>
                <c:pt idx="223">
                  <c:v>42870</c:v>
                </c:pt>
                <c:pt idx="224">
                  <c:v>42878</c:v>
                </c:pt>
                <c:pt idx="225">
                  <c:v>42880</c:v>
                </c:pt>
                <c:pt idx="226">
                  <c:v>42886</c:v>
                </c:pt>
                <c:pt idx="227">
                  <c:v>42894</c:v>
                </c:pt>
                <c:pt idx="228">
                  <c:v>42900</c:v>
                </c:pt>
                <c:pt idx="229">
                  <c:v>42910</c:v>
                </c:pt>
                <c:pt idx="230">
                  <c:v>42918</c:v>
                </c:pt>
                <c:pt idx="231">
                  <c:v>42920</c:v>
                </c:pt>
                <c:pt idx="232">
                  <c:v>42934</c:v>
                </c:pt>
                <c:pt idx="233">
                  <c:v>42942</c:v>
                </c:pt>
                <c:pt idx="234">
                  <c:v>42950</c:v>
                </c:pt>
                <c:pt idx="235">
                  <c:v>42960</c:v>
                </c:pt>
                <c:pt idx="236">
                  <c:v>42966</c:v>
                </c:pt>
                <c:pt idx="237">
                  <c:v>42974</c:v>
                </c:pt>
                <c:pt idx="238">
                  <c:v>42975</c:v>
                </c:pt>
                <c:pt idx="239">
                  <c:v>42982</c:v>
                </c:pt>
                <c:pt idx="240">
                  <c:v>42990</c:v>
                </c:pt>
                <c:pt idx="241">
                  <c:v>42995</c:v>
                </c:pt>
                <c:pt idx="242">
                  <c:v>42998</c:v>
                </c:pt>
                <c:pt idx="243">
                  <c:v>43000</c:v>
                </c:pt>
                <c:pt idx="244">
                  <c:v>43006</c:v>
                </c:pt>
                <c:pt idx="245">
                  <c:v>43014</c:v>
                </c:pt>
                <c:pt idx="246">
                  <c:v>43015</c:v>
                </c:pt>
                <c:pt idx="247">
                  <c:v>43020</c:v>
                </c:pt>
                <c:pt idx="248">
                  <c:v>43022</c:v>
                </c:pt>
                <c:pt idx="249">
                  <c:v>43030</c:v>
                </c:pt>
                <c:pt idx="250">
                  <c:v>43035</c:v>
                </c:pt>
                <c:pt idx="251">
                  <c:v>43038</c:v>
                </c:pt>
                <c:pt idx="252">
                  <c:v>43040</c:v>
                </c:pt>
                <c:pt idx="253">
                  <c:v>43045</c:v>
                </c:pt>
                <c:pt idx="254">
                  <c:v>43046</c:v>
                </c:pt>
                <c:pt idx="255">
                  <c:v>43054</c:v>
                </c:pt>
                <c:pt idx="256">
                  <c:v>43055</c:v>
                </c:pt>
                <c:pt idx="257">
                  <c:v>43060</c:v>
                </c:pt>
                <c:pt idx="258">
                  <c:v>43062</c:v>
                </c:pt>
                <c:pt idx="259">
                  <c:v>43065</c:v>
                </c:pt>
                <c:pt idx="260">
                  <c:v>43070</c:v>
                </c:pt>
                <c:pt idx="261">
                  <c:v>43075</c:v>
                </c:pt>
                <c:pt idx="262">
                  <c:v>43078</c:v>
                </c:pt>
                <c:pt idx="263">
                  <c:v>43080</c:v>
                </c:pt>
                <c:pt idx="264">
                  <c:v>43085</c:v>
                </c:pt>
                <c:pt idx="265">
                  <c:v>43086</c:v>
                </c:pt>
                <c:pt idx="266">
                  <c:v>43095</c:v>
                </c:pt>
                <c:pt idx="267">
                  <c:v>43102</c:v>
                </c:pt>
                <c:pt idx="268">
                  <c:v>43105</c:v>
                </c:pt>
                <c:pt idx="269">
                  <c:v>43110</c:v>
                </c:pt>
                <c:pt idx="270">
                  <c:v>43115</c:v>
                </c:pt>
                <c:pt idx="271">
                  <c:v>43118</c:v>
                </c:pt>
                <c:pt idx="272">
                  <c:v>43120</c:v>
                </c:pt>
                <c:pt idx="273">
                  <c:v>43125</c:v>
                </c:pt>
                <c:pt idx="274">
                  <c:v>43126</c:v>
                </c:pt>
                <c:pt idx="275">
                  <c:v>43134</c:v>
                </c:pt>
                <c:pt idx="276">
                  <c:v>43135</c:v>
                </c:pt>
                <c:pt idx="277">
                  <c:v>43140</c:v>
                </c:pt>
                <c:pt idx="278">
                  <c:v>43150</c:v>
                </c:pt>
                <c:pt idx="279">
                  <c:v>43150</c:v>
                </c:pt>
                <c:pt idx="280">
                  <c:v>43158</c:v>
                </c:pt>
                <c:pt idx="281">
                  <c:v>43160</c:v>
                </c:pt>
                <c:pt idx="282">
                  <c:v>43165</c:v>
                </c:pt>
                <c:pt idx="283">
                  <c:v>43166</c:v>
                </c:pt>
                <c:pt idx="284">
                  <c:v>43170</c:v>
                </c:pt>
                <c:pt idx="285">
                  <c:v>43174</c:v>
                </c:pt>
                <c:pt idx="286">
                  <c:v>43175</c:v>
                </c:pt>
                <c:pt idx="287">
                  <c:v>43180</c:v>
                </c:pt>
                <c:pt idx="288">
                  <c:v>43182</c:v>
                </c:pt>
                <c:pt idx="289">
                  <c:v>43185</c:v>
                </c:pt>
                <c:pt idx="290">
                  <c:v>43190</c:v>
                </c:pt>
                <c:pt idx="291">
                  <c:v>43190</c:v>
                </c:pt>
                <c:pt idx="292">
                  <c:v>43195</c:v>
                </c:pt>
                <c:pt idx="293">
                  <c:v>43198</c:v>
                </c:pt>
                <c:pt idx="294">
                  <c:v>43205</c:v>
                </c:pt>
                <c:pt idx="295">
                  <c:v>43206</c:v>
                </c:pt>
                <c:pt idx="296">
                  <c:v>43210</c:v>
                </c:pt>
                <c:pt idx="297">
                  <c:v>43214</c:v>
                </c:pt>
                <c:pt idx="298">
                  <c:v>43215</c:v>
                </c:pt>
                <c:pt idx="299">
                  <c:v>43220</c:v>
                </c:pt>
                <c:pt idx="300">
                  <c:v>43222</c:v>
                </c:pt>
                <c:pt idx="301">
                  <c:v>43230</c:v>
                </c:pt>
                <c:pt idx="302">
                  <c:v>43235</c:v>
                </c:pt>
                <c:pt idx="303">
                  <c:v>43270</c:v>
                </c:pt>
                <c:pt idx="304">
                  <c:v>43278</c:v>
                </c:pt>
                <c:pt idx="305">
                  <c:v>43294</c:v>
                </c:pt>
                <c:pt idx="306">
                  <c:v>43302</c:v>
                </c:pt>
                <c:pt idx="307">
                  <c:v>43310</c:v>
                </c:pt>
                <c:pt idx="308">
                  <c:v>43310</c:v>
                </c:pt>
                <c:pt idx="309">
                  <c:v>43330</c:v>
                </c:pt>
                <c:pt idx="310">
                  <c:v>43334</c:v>
                </c:pt>
                <c:pt idx="311">
                  <c:v>43345</c:v>
                </c:pt>
                <c:pt idx="312">
                  <c:v>43350</c:v>
                </c:pt>
                <c:pt idx="313">
                  <c:v>43350</c:v>
                </c:pt>
                <c:pt idx="314">
                  <c:v>43358</c:v>
                </c:pt>
                <c:pt idx="315">
                  <c:v>43360</c:v>
                </c:pt>
                <c:pt idx="316">
                  <c:v>43365</c:v>
                </c:pt>
                <c:pt idx="317">
                  <c:v>43366</c:v>
                </c:pt>
                <c:pt idx="318">
                  <c:v>43370</c:v>
                </c:pt>
                <c:pt idx="319">
                  <c:v>43374</c:v>
                </c:pt>
                <c:pt idx="320">
                  <c:v>43375</c:v>
                </c:pt>
                <c:pt idx="321">
                  <c:v>43380</c:v>
                </c:pt>
                <c:pt idx="322">
                  <c:v>43382</c:v>
                </c:pt>
                <c:pt idx="323">
                  <c:v>43385</c:v>
                </c:pt>
                <c:pt idx="324">
                  <c:v>43390</c:v>
                </c:pt>
                <c:pt idx="325">
                  <c:v>43390</c:v>
                </c:pt>
                <c:pt idx="326">
                  <c:v>43395</c:v>
                </c:pt>
                <c:pt idx="327">
                  <c:v>43398</c:v>
                </c:pt>
                <c:pt idx="328">
                  <c:v>43400</c:v>
                </c:pt>
                <c:pt idx="329">
                  <c:v>43405</c:v>
                </c:pt>
                <c:pt idx="330">
                  <c:v>43406</c:v>
                </c:pt>
                <c:pt idx="331">
                  <c:v>43410</c:v>
                </c:pt>
                <c:pt idx="332">
                  <c:v>43414</c:v>
                </c:pt>
                <c:pt idx="333">
                  <c:v>43415</c:v>
                </c:pt>
                <c:pt idx="334">
                  <c:v>43420</c:v>
                </c:pt>
                <c:pt idx="335">
                  <c:v>43425</c:v>
                </c:pt>
                <c:pt idx="336">
                  <c:v>43430</c:v>
                </c:pt>
                <c:pt idx="337">
                  <c:v>43430</c:v>
                </c:pt>
                <c:pt idx="338">
                  <c:v>43435</c:v>
                </c:pt>
                <c:pt idx="339">
                  <c:v>43438</c:v>
                </c:pt>
                <c:pt idx="340">
                  <c:v>43440</c:v>
                </c:pt>
                <c:pt idx="341">
                  <c:v>43445</c:v>
                </c:pt>
                <c:pt idx="342">
                  <c:v>43450</c:v>
                </c:pt>
                <c:pt idx="343">
                  <c:v>43454</c:v>
                </c:pt>
                <c:pt idx="344">
                  <c:v>43455</c:v>
                </c:pt>
                <c:pt idx="345">
                  <c:v>43460</c:v>
                </c:pt>
                <c:pt idx="346">
                  <c:v>43462</c:v>
                </c:pt>
                <c:pt idx="347">
                  <c:v>43465</c:v>
                </c:pt>
                <c:pt idx="348">
                  <c:v>43470</c:v>
                </c:pt>
                <c:pt idx="349">
                  <c:v>43470</c:v>
                </c:pt>
                <c:pt idx="350">
                  <c:v>43478</c:v>
                </c:pt>
                <c:pt idx="351">
                  <c:v>43480</c:v>
                </c:pt>
                <c:pt idx="352">
                  <c:v>43485</c:v>
                </c:pt>
                <c:pt idx="353">
                  <c:v>43486</c:v>
                </c:pt>
                <c:pt idx="354">
                  <c:v>43490</c:v>
                </c:pt>
                <c:pt idx="355">
                  <c:v>43493</c:v>
                </c:pt>
                <c:pt idx="356">
                  <c:v>43502</c:v>
                </c:pt>
                <c:pt idx="357">
                  <c:v>43505</c:v>
                </c:pt>
                <c:pt idx="358">
                  <c:v>43510</c:v>
                </c:pt>
                <c:pt idx="359">
                  <c:v>43510</c:v>
                </c:pt>
                <c:pt idx="360">
                  <c:v>43520</c:v>
                </c:pt>
                <c:pt idx="361">
                  <c:v>43526</c:v>
                </c:pt>
                <c:pt idx="362">
                  <c:v>43530</c:v>
                </c:pt>
                <c:pt idx="363">
                  <c:v>43534</c:v>
                </c:pt>
                <c:pt idx="364">
                  <c:v>43535</c:v>
                </c:pt>
                <c:pt idx="365">
                  <c:v>43545</c:v>
                </c:pt>
                <c:pt idx="366">
                  <c:v>43550</c:v>
                </c:pt>
                <c:pt idx="367">
                  <c:v>43555</c:v>
                </c:pt>
                <c:pt idx="368">
                  <c:v>43558</c:v>
                </c:pt>
                <c:pt idx="369">
                  <c:v>43560</c:v>
                </c:pt>
                <c:pt idx="370">
                  <c:v>43566</c:v>
                </c:pt>
                <c:pt idx="371">
                  <c:v>43570</c:v>
                </c:pt>
                <c:pt idx="372">
                  <c:v>43574</c:v>
                </c:pt>
                <c:pt idx="373">
                  <c:v>43575</c:v>
                </c:pt>
                <c:pt idx="374">
                  <c:v>43580</c:v>
                </c:pt>
                <c:pt idx="375">
                  <c:v>43582</c:v>
                </c:pt>
                <c:pt idx="376">
                  <c:v>43585</c:v>
                </c:pt>
                <c:pt idx="377">
                  <c:v>43590</c:v>
                </c:pt>
                <c:pt idx="378">
                  <c:v>43590</c:v>
                </c:pt>
                <c:pt idx="379">
                  <c:v>43595</c:v>
                </c:pt>
                <c:pt idx="380">
                  <c:v>43598</c:v>
                </c:pt>
                <c:pt idx="381">
                  <c:v>43600</c:v>
                </c:pt>
                <c:pt idx="382">
                  <c:v>43606</c:v>
                </c:pt>
                <c:pt idx="383">
                  <c:v>43610</c:v>
                </c:pt>
                <c:pt idx="384">
                  <c:v>43614</c:v>
                </c:pt>
                <c:pt idx="385">
                  <c:v>43615</c:v>
                </c:pt>
                <c:pt idx="386">
                  <c:v>43620</c:v>
                </c:pt>
                <c:pt idx="387">
                  <c:v>43622</c:v>
                </c:pt>
                <c:pt idx="388">
                  <c:v>43625</c:v>
                </c:pt>
                <c:pt idx="389">
                  <c:v>43630</c:v>
                </c:pt>
                <c:pt idx="390">
                  <c:v>43630</c:v>
                </c:pt>
                <c:pt idx="391">
                  <c:v>43635</c:v>
                </c:pt>
                <c:pt idx="392">
                  <c:v>43640</c:v>
                </c:pt>
                <c:pt idx="393">
                  <c:v>43645</c:v>
                </c:pt>
                <c:pt idx="394">
                  <c:v>43646</c:v>
                </c:pt>
                <c:pt idx="395">
                  <c:v>43650</c:v>
                </c:pt>
                <c:pt idx="396">
                  <c:v>43654</c:v>
                </c:pt>
                <c:pt idx="397">
                  <c:v>43655</c:v>
                </c:pt>
                <c:pt idx="398">
                  <c:v>43665</c:v>
                </c:pt>
                <c:pt idx="399">
                  <c:v>43678</c:v>
                </c:pt>
                <c:pt idx="400">
                  <c:v>43680</c:v>
                </c:pt>
                <c:pt idx="401">
                  <c:v>43686</c:v>
                </c:pt>
                <c:pt idx="402">
                  <c:v>43690</c:v>
                </c:pt>
                <c:pt idx="403">
                  <c:v>43694</c:v>
                </c:pt>
                <c:pt idx="404">
                  <c:v>43695</c:v>
                </c:pt>
                <c:pt idx="405">
                  <c:v>43700</c:v>
                </c:pt>
                <c:pt idx="406">
                  <c:v>43702</c:v>
                </c:pt>
                <c:pt idx="407">
                  <c:v>43705</c:v>
                </c:pt>
                <c:pt idx="408">
                  <c:v>43710</c:v>
                </c:pt>
                <c:pt idx="409">
                  <c:v>43715</c:v>
                </c:pt>
                <c:pt idx="410">
                  <c:v>43718</c:v>
                </c:pt>
                <c:pt idx="411">
                  <c:v>43720</c:v>
                </c:pt>
                <c:pt idx="412">
                  <c:v>43725</c:v>
                </c:pt>
                <c:pt idx="413">
                  <c:v>43726</c:v>
                </c:pt>
                <c:pt idx="414">
                  <c:v>43730</c:v>
                </c:pt>
                <c:pt idx="415">
                  <c:v>43734</c:v>
                </c:pt>
                <c:pt idx="416">
                  <c:v>43735</c:v>
                </c:pt>
                <c:pt idx="417">
                  <c:v>43740</c:v>
                </c:pt>
                <c:pt idx="418">
                  <c:v>43742</c:v>
                </c:pt>
                <c:pt idx="419">
                  <c:v>43750</c:v>
                </c:pt>
                <c:pt idx="420">
                  <c:v>43750</c:v>
                </c:pt>
                <c:pt idx="421">
                  <c:v>43755</c:v>
                </c:pt>
                <c:pt idx="422">
                  <c:v>43758</c:v>
                </c:pt>
                <c:pt idx="423">
                  <c:v>43760</c:v>
                </c:pt>
                <c:pt idx="424">
                  <c:v>43765</c:v>
                </c:pt>
                <c:pt idx="425">
                  <c:v>43766</c:v>
                </c:pt>
                <c:pt idx="426">
                  <c:v>43770</c:v>
                </c:pt>
                <c:pt idx="427">
                  <c:v>43774</c:v>
                </c:pt>
                <c:pt idx="428">
                  <c:v>43775</c:v>
                </c:pt>
                <c:pt idx="429">
                  <c:v>43780</c:v>
                </c:pt>
                <c:pt idx="430">
                  <c:v>43782</c:v>
                </c:pt>
                <c:pt idx="431">
                  <c:v>43785</c:v>
                </c:pt>
                <c:pt idx="432">
                  <c:v>43798</c:v>
                </c:pt>
                <c:pt idx="433">
                  <c:v>43800</c:v>
                </c:pt>
                <c:pt idx="434">
                  <c:v>43805</c:v>
                </c:pt>
                <c:pt idx="435">
                  <c:v>43814</c:v>
                </c:pt>
                <c:pt idx="436">
                  <c:v>43815</c:v>
                </c:pt>
                <c:pt idx="437">
                  <c:v>43820</c:v>
                </c:pt>
                <c:pt idx="438">
                  <c:v>43822</c:v>
                </c:pt>
                <c:pt idx="439">
                  <c:v>43825</c:v>
                </c:pt>
                <c:pt idx="440">
                  <c:v>43830</c:v>
                </c:pt>
                <c:pt idx="441">
                  <c:v>43830</c:v>
                </c:pt>
                <c:pt idx="442">
                  <c:v>43838</c:v>
                </c:pt>
                <c:pt idx="443">
                  <c:v>43846</c:v>
                </c:pt>
                <c:pt idx="444">
                  <c:v>43850</c:v>
                </c:pt>
                <c:pt idx="445">
                  <c:v>43855</c:v>
                </c:pt>
                <c:pt idx="446">
                  <c:v>43860</c:v>
                </c:pt>
                <c:pt idx="447">
                  <c:v>43862</c:v>
                </c:pt>
                <c:pt idx="448">
                  <c:v>43865</c:v>
                </c:pt>
                <c:pt idx="449">
                  <c:v>43870</c:v>
                </c:pt>
                <c:pt idx="450">
                  <c:v>43870</c:v>
                </c:pt>
                <c:pt idx="451">
                  <c:v>43875</c:v>
                </c:pt>
                <c:pt idx="452">
                  <c:v>43878</c:v>
                </c:pt>
                <c:pt idx="453">
                  <c:v>43880</c:v>
                </c:pt>
                <c:pt idx="454">
                  <c:v>43885</c:v>
                </c:pt>
                <c:pt idx="455">
                  <c:v>43890</c:v>
                </c:pt>
                <c:pt idx="456">
                  <c:v>43894</c:v>
                </c:pt>
                <c:pt idx="457">
                  <c:v>43895</c:v>
                </c:pt>
                <c:pt idx="458">
                  <c:v>43900</c:v>
                </c:pt>
                <c:pt idx="459">
                  <c:v>43902</c:v>
                </c:pt>
                <c:pt idx="460">
                  <c:v>43910</c:v>
                </c:pt>
                <c:pt idx="461">
                  <c:v>43910</c:v>
                </c:pt>
                <c:pt idx="462">
                  <c:v>43915</c:v>
                </c:pt>
                <c:pt idx="463">
                  <c:v>43918</c:v>
                </c:pt>
                <c:pt idx="464">
                  <c:v>43920</c:v>
                </c:pt>
                <c:pt idx="465">
                  <c:v>43925</c:v>
                </c:pt>
                <c:pt idx="466">
                  <c:v>43926</c:v>
                </c:pt>
                <c:pt idx="467">
                  <c:v>43930</c:v>
                </c:pt>
                <c:pt idx="468">
                  <c:v>43934</c:v>
                </c:pt>
                <c:pt idx="469">
                  <c:v>43935</c:v>
                </c:pt>
                <c:pt idx="470">
                  <c:v>43940</c:v>
                </c:pt>
                <c:pt idx="471">
                  <c:v>43942</c:v>
                </c:pt>
                <c:pt idx="472">
                  <c:v>43945</c:v>
                </c:pt>
                <c:pt idx="473">
                  <c:v>43950</c:v>
                </c:pt>
                <c:pt idx="474">
                  <c:v>43950</c:v>
                </c:pt>
                <c:pt idx="475">
                  <c:v>43955</c:v>
                </c:pt>
                <c:pt idx="476">
                  <c:v>43958</c:v>
                </c:pt>
                <c:pt idx="477">
                  <c:v>43960</c:v>
                </c:pt>
                <c:pt idx="478">
                  <c:v>43965</c:v>
                </c:pt>
                <c:pt idx="479">
                  <c:v>43966</c:v>
                </c:pt>
                <c:pt idx="480">
                  <c:v>43974</c:v>
                </c:pt>
                <c:pt idx="481">
                  <c:v>43975</c:v>
                </c:pt>
                <c:pt idx="482">
                  <c:v>43980</c:v>
                </c:pt>
                <c:pt idx="483">
                  <c:v>43982</c:v>
                </c:pt>
                <c:pt idx="484">
                  <c:v>43985</c:v>
                </c:pt>
                <c:pt idx="485">
                  <c:v>43995</c:v>
                </c:pt>
                <c:pt idx="486">
                  <c:v>43998</c:v>
                </c:pt>
                <c:pt idx="487">
                  <c:v>44000</c:v>
                </c:pt>
                <c:pt idx="488">
                  <c:v>44005</c:v>
                </c:pt>
                <c:pt idx="489">
                  <c:v>44006</c:v>
                </c:pt>
                <c:pt idx="490">
                  <c:v>44010</c:v>
                </c:pt>
                <c:pt idx="491">
                  <c:v>44014</c:v>
                </c:pt>
                <c:pt idx="492">
                  <c:v>44015</c:v>
                </c:pt>
                <c:pt idx="493">
                  <c:v>44022</c:v>
                </c:pt>
                <c:pt idx="494">
                  <c:v>44025</c:v>
                </c:pt>
                <c:pt idx="495">
                  <c:v>44030</c:v>
                </c:pt>
                <c:pt idx="496">
                  <c:v>44030</c:v>
                </c:pt>
                <c:pt idx="497">
                  <c:v>44038</c:v>
                </c:pt>
                <c:pt idx="498">
                  <c:v>44040</c:v>
                </c:pt>
                <c:pt idx="499">
                  <c:v>44045</c:v>
                </c:pt>
                <c:pt idx="500">
                  <c:v>44046</c:v>
                </c:pt>
                <c:pt idx="501">
                  <c:v>44060</c:v>
                </c:pt>
                <c:pt idx="502">
                  <c:v>44065</c:v>
                </c:pt>
                <c:pt idx="503">
                  <c:v>44075</c:v>
                </c:pt>
                <c:pt idx="504">
                  <c:v>44078</c:v>
                </c:pt>
                <c:pt idx="505">
                  <c:v>44080</c:v>
                </c:pt>
                <c:pt idx="506">
                  <c:v>44085</c:v>
                </c:pt>
                <c:pt idx="507">
                  <c:v>44086</c:v>
                </c:pt>
                <c:pt idx="508">
                  <c:v>44090</c:v>
                </c:pt>
                <c:pt idx="509">
                  <c:v>44094</c:v>
                </c:pt>
                <c:pt idx="510">
                  <c:v>44095</c:v>
                </c:pt>
                <c:pt idx="511">
                  <c:v>44100</c:v>
                </c:pt>
                <c:pt idx="512">
                  <c:v>44102</c:v>
                </c:pt>
                <c:pt idx="513">
                  <c:v>44105</c:v>
                </c:pt>
                <c:pt idx="514">
                  <c:v>44110</c:v>
                </c:pt>
                <c:pt idx="515">
                  <c:v>44115</c:v>
                </c:pt>
                <c:pt idx="516">
                  <c:v>44118</c:v>
                </c:pt>
                <c:pt idx="517">
                  <c:v>44120</c:v>
                </c:pt>
                <c:pt idx="518">
                  <c:v>44125</c:v>
                </c:pt>
                <c:pt idx="519">
                  <c:v>44126</c:v>
                </c:pt>
                <c:pt idx="520">
                  <c:v>44130</c:v>
                </c:pt>
                <c:pt idx="521">
                  <c:v>44134</c:v>
                </c:pt>
                <c:pt idx="522">
                  <c:v>44135</c:v>
                </c:pt>
                <c:pt idx="523">
                  <c:v>44140</c:v>
                </c:pt>
                <c:pt idx="524">
                  <c:v>44145</c:v>
                </c:pt>
                <c:pt idx="525">
                  <c:v>44150</c:v>
                </c:pt>
                <c:pt idx="526">
                  <c:v>44150</c:v>
                </c:pt>
                <c:pt idx="527">
                  <c:v>44155</c:v>
                </c:pt>
                <c:pt idx="528">
                  <c:v>44158</c:v>
                </c:pt>
                <c:pt idx="529">
                  <c:v>44160</c:v>
                </c:pt>
                <c:pt idx="530">
                  <c:v>44165</c:v>
                </c:pt>
                <c:pt idx="531">
                  <c:v>44166</c:v>
                </c:pt>
                <c:pt idx="532">
                  <c:v>44170</c:v>
                </c:pt>
                <c:pt idx="533">
                  <c:v>44174</c:v>
                </c:pt>
                <c:pt idx="534">
                  <c:v>44175</c:v>
                </c:pt>
                <c:pt idx="535">
                  <c:v>44180</c:v>
                </c:pt>
                <c:pt idx="536">
                  <c:v>44182</c:v>
                </c:pt>
                <c:pt idx="537">
                  <c:v>44185</c:v>
                </c:pt>
                <c:pt idx="538">
                  <c:v>44190</c:v>
                </c:pt>
                <c:pt idx="539">
                  <c:v>44198</c:v>
                </c:pt>
                <c:pt idx="540">
                  <c:v>44200</c:v>
                </c:pt>
                <c:pt idx="541">
                  <c:v>44205</c:v>
                </c:pt>
                <c:pt idx="542">
                  <c:v>44206</c:v>
                </c:pt>
                <c:pt idx="543">
                  <c:v>44210</c:v>
                </c:pt>
                <c:pt idx="544">
                  <c:v>44214</c:v>
                </c:pt>
                <c:pt idx="545">
                  <c:v>44215</c:v>
                </c:pt>
                <c:pt idx="546">
                  <c:v>44220</c:v>
                </c:pt>
                <c:pt idx="547">
                  <c:v>44222</c:v>
                </c:pt>
                <c:pt idx="548">
                  <c:v>44225</c:v>
                </c:pt>
                <c:pt idx="549">
                  <c:v>44230</c:v>
                </c:pt>
                <c:pt idx="550">
                  <c:v>44230</c:v>
                </c:pt>
                <c:pt idx="551">
                  <c:v>44235</c:v>
                </c:pt>
                <c:pt idx="552">
                  <c:v>44240</c:v>
                </c:pt>
                <c:pt idx="553">
                  <c:v>44245</c:v>
                </c:pt>
                <c:pt idx="554">
                  <c:v>44246</c:v>
                </c:pt>
                <c:pt idx="555">
                  <c:v>44250</c:v>
                </c:pt>
                <c:pt idx="556">
                  <c:v>44254</c:v>
                </c:pt>
                <c:pt idx="557">
                  <c:v>44255</c:v>
                </c:pt>
                <c:pt idx="558">
                  <c:v>44260</c:v>
                </c:pt>
                <c:pt idx="559">
                  <c:v>44262</c:v>
                </c:pt>
                <c:pt idx="560">
                  <c:v>44265</c:v>
                </c:pt>
                <c:pt idx="561">
                  <c:v>44270</c:v>
                </c:pt>
                <c:pt idx="562">
                  <c:v>44270</c:v>
                </c:pt>
                <c:pt idx="563">
                  <c:v>44275</c:v>
                </c:pt>
                <c:pt idx="564">
                  <c:v>44278</c:v>
                </c:pt>
                <c:pt idx="565">
                  <c:v>44280</c:v>
                </c:pt>
                <c:pt idx="566">
                  <c:v>44285</c:v>
                </c:pt>
                <c:pt idx="567">
                  <c:v>44286</c:v>
                </c:pt>
                <c:pt idx="568">
                  <c:v>44290</c:v>
                </c:pt>
                <c:pt idx="569">
                  <c:v>44294</c:v>
                </c:pt>
                <c:pt idx="570">
                  <c:v>44295</c:v>
                </c:pt>
                <c:pt idx="571">
                  <c:v>44300</c:v>
                </c:pt>
                <c:pt idx="572">
                  <c:v>44302</c:v>
                </c:pt>
                <c:pt idx="573">
                  <c:v>44310</c:v>
                </c:pt>
                <c:pt idx="574">
                  <c:v>44310</c:v>
                </c:pt>
                <c:pt idx="575">
                  <c:v>44315</c:v>
                </c:pt>
                <c:pt idx="576">
                  <c:v>44320</c:v>
                </c:pt>
                <c:pt idx="577">
                  <c:v>44325</c:v>
                </c:pt>
                <c:pt idx="578">
                  <c:v>44326</c:v>
                </c:pt>
                <c:pt idx="579">
                  <c:v>44330</c:v>
                </c:pt>
                <c:pt idx="580">
                  <c:v>44334</c:v>
                </c:pt>
                <c:pt idx="581">
                  <c:v>44335</c:v>
                </c:pt>
                <c:pt idx="582">
                  <c:v>44340</c:v>
                </c:pt>
                <c:pt idx="583">
                  <c:v>44342</c:v>
                </c:pt>
                <c:pt idx="584">
                  <c:v>44345</c:v>
                </c:pt>
                <c:pt idx="585">
                  <c:v>44350</c:v>
                </c:pt>
                <c:pt idx="586">
                  <c:v>44350</c:v>
                </c:pt>
                <c:pt idx="587">
                  <c:v>44365</c:v>
                </c:pt>
                <c:pt idx="588">
                  <c:v>44366</c:v>
                </c:pt>
                <c:pt idx="589">
                  <c:v>44370</c:v>
                </c:pt>
                <c:pt idx="590">
                  <c:v>44375</c:v>
                </c:pt>
                <c:pt idx="591">
                  <c:v>44380</c:v>
                </c:pt>
                <c:pt idx="592">
                  <c:v>44385</c:v>
                </c:pt>
                <c:pt idx="593">
                  <c:v>44390</c:v>
                </c:pt>
                <c:pt idx="594">
                  <c:v>44398</c:v>
                </c:pt>
                <c:pt idx="595">
                  <c:v>44400</c:v>
                </c:pt>
                <c:pt idx="596">
                  <c:v>44406</c:v>
                </c:pt>
                <c:pt idx="597">
                  <c:v>44410</c:v>
                </c:pt>
                <c:pt idx="598">
                  <c:v>44414</c:v>
                </c:pt>
                <c:pt idx="599">
                  <c:v>44415</c:v>
                </c:pt>
                <c:pt idx="600">
                  <c:v>44420</c:v>
                </c:pt>
                <c:pt idx="601">
                  <c:v>44425</c:v>
                </c:pt>
                <c:pt idx="602">
                  <c:v>44430</c:v>
                </c:pt>
                <c:pt idx="603">
                  <c:v>44430</c:v>
                </c:pt>
                <c:pt idx="604">
                  <c:v>44435</c:v>
                </c:pt>
                <c:pt idx="605">
                  <c:v>44438</c:v>
                </c:pt>
                <c:pt idx="606">
                  <c:v>44440</c:v>
                </c:pt>
                <c:pt idx="607">
                  <c:v>44445</c:v>
                </c:pt>
                <c:pt idx="608">
                  <c:v>44446</c:v>
                </c:pt>
                <c:pt idx="609">
                  <c:v>44450</c:v>
                </c:pt>
                <c:pt idx="610">
                  <c:v>44454</c:v>
                </c:pt>
                <c:pt idx="611">
                  <c:v>44455</c:v>
                </c:pt>
                <c:pt idx="612">
                  <c:v>44460</c:v>
                </c:pt>
                <c:pt idx="613">
                  <c:v>44465</c:v>
                </c:pt>
                <c:pt idx="614">
                  <c:v>44475</c:v>
                </c:pt>
                <c:pt idx="615">
                  <c:v>44478</c:v>
                </c:pt>
                <c:pt idx="616">
                  <c:v>44480</c:v>
                </c:pt>
                <c:pt idx="617">
                  <c:v>44485</c:v>
                </c:pt>
                <c:pt idx="618">
                  <c:v>44486</c:v>
                </c:pt>
                <c:pt idx="619">
                  <c:v>44494</c:v>
                </c:pt>
                <c:pt idx="620">
                  <c:v>44495</c:v>
                </c:pt>
                <c:pt idx="621">
                  <c:v>44500</c:v>
                </c:pt>
                <c:pt idx="622">
                  <c:v>44502</c:v>
                </c:pt>
                <c:pt idx="623">
                  <c:v>44505</c:v>
                </c:pt>
                <c:pt idx="624">
                  <c:v>44510</c:v>
                </c:pt>
                <c:pt idx="625">
                  <c:v>44515</c:v>
                </c:pt>
                <c:pt idx="626">
                  <c:v>44518</c:v>
                </c:pt>
                <c:pt idx="627">
                  <c:v>44520</c:v>
                </c:pt>
                <c:pt idx="628">
                  <c:v>44525</c:v>
                </c:pt>
                <c:pt idx="629">
                  <c:v>44526</c:v>
                </c:pt>
                <c:pt idx="630">
                  <c:v>44530</c:v>
                </c:pt>
                <c:pt idx="631">
                  <c:v>44534</c:v>
                </c:pt>
                <c:pt idx="632">
                  <c:v>44535</c:v>
                </c:pt>
                <c:pt idx="633">
                  <c:v>44540</c:v>
                </c:pt>
                <c:pt idx="634">
                  <c:v>44542</c:v>
                </c:pt>
                <c:pt idx="635">
                  <c:v>44550</c:v>
                </c:pt>
                <c:pt idx="636">
                  <c:v>44555</c:v>
                </c:pt>
                <c:pt idx="637">
                  <c:v>44558</c:v>
                </c:pt>
                <c:pt idx="638">
                  <c:v>44570</c:v>
                </c:pt>
                <c:pt idx="639">
                  <c:v>44575</c:v>
                </c:pt>
                <c:pt idx="640">
                  <c:v>44585</c:v>
                </c:pt>
                <c:pt idx="641">
                  <c:v>44620</c:v>
                </c:pt>
                <c:pt idx="642">
                  <c:v>44630</c:v>
                </c:pt>
                <c:pt idx="643">
                  <c:v>44635</c:v>
                </c:pt>
                <c:pt idx="644">
                  <c:v>44655</c:v>
                </c:pt>
                <c:pt idx="645">
                  <c:v>44660</c:v>
                </c:pt>
                <c:pt idx="646">
                  <c:v>44665</c:v>
                </c:pt>
                <c:pt idx="647">
                  <c:v>44670</c:v>
                </c:pt>
                <c:pt idx="648">
                  <c:v>44675</c:v>
                </c:pt>
                <c:pt idx="649">
                  <c:v>44680</c:v>
                </c:pt>
                <c:pt idx="650">
                  <c:v>44685</c:v>
                </c:pt>
                <c:pt idx="651">
                  <c:v>44690</c:v>
                </c:pt>
                <c:pt idx="652">
                  <c:v>44695</c:v>
                </c:pt>
                <c:pt idx="653">
                  <c:v>44700</c:v>
                </c:pt>
                <c:pt idx="654">
                  <c:v>44705</c:v>
                </c:pt>
                <c:pt idx="655">
                  <c:v>44710</c:v>
                </c:pt>
                <c:pt idx="656">
                  <c:v>44715</c:v>
                </c:pt>
                <c:pt idx="657">
                  <c:v>44720</c:v>
                </c:pt>
                <c:pt idx="658">
                  <c:v>44725</c:v>
                </c:pt>
                <c:pt idx="659">
                  <c:v>44730</c:v>
                </c:pt>
                <c:pt idx="660">
                  <c:v>44735</c:v>
                </c:pt>
                <c:pt idx="661">
                  <c:v>44740</c:v>
                </c:pt>
                <c:pt idx="662">
                  <c:v>44745</c:v>
                </c:pt>
                <c:pt idx="663">
                  <c:v>44755</c:v>
                </c:pt>
                <c:pt idx="664">
                  <c:v>44760</c:v>
                </c:pt>
                <c:pt idx="665">
                  <c:v>44780</c:v>
                </c:pt>
                <c:pt idx="666">
                  <c:v>44790</c:v>
                </c:pt>
                <c:pt idx="667">
                  <c:v>44795</c:v>
                </c:pt>
                <c:pt idx="668">
                  <c:v>44800</c:v>
                </c:pt>
                <c:pt idx="669">
                  <c:v>44805</c:v>
                </c:pt>
                <c:pt idx="670">
                  <c:v>44810</c:v>
                </c:pt>
                <c:pt idx="671">
                  <c:v>44815</c:v>
                </c:pt>
                <c:pt idx="672">
                  <c:v>44820</c:v>
                </c:pt>
                <c:pt idx="673">
                  <c:v>44825</c:v>
                </c:pt>
                <c:pt idx="674">
                  <c:v>44830</c:v>
                </c:pt>
                <c:pt idx="675">
                  <c:v>44835</c:v>
                </c:pt>
                <c:pt idx="676">
                  <c:v>44840</c:v>
                </c:pt>
                <c:pt idx="677">
                  <c:v>44845</c:v>
                </c:pt>
                <c:pt idx="678">
                  <c:v>44850</c:v>
                </c:pt>
                <c:pt idx="679">
                  <c:v>44855</c:v>
                </c:pt>
                <c:pt idx="680">
                  <c:v>44860</c:v>
                </c:pt>
                <c:pt idx="681">
                  <c:v>44865</c:v>
                </c:pt>
                <c:pt idx="682">
                  <c:v>44870</c:v>
                </c:pt>
                <c:pt idx="683">
                  <c:v>44875</c:v>
                </c:pt>
                <c:pt idx="684">
                  <c:v>44880</c:v>
                </c:pt>
                <c:pt idx="685">
                  <c:v>44885</c:v>
                </c:pt>
                <c:pt idx="686">
                  <c:v>44890</c:v>
                </c:pt>
                <c:pt idx="687">
                  <c:v>44895</c:v>
                </c:pt>
                <c:pt idx="688">
                  <c:v>44900</c:v>
                </c:pt>
                <c:pt idx="689">
                  <c:v>44905</c:v>
                </c:pt>
                <c:pt idx="690">
                  <c:v>44910</c:v>
                </c:pt>
                <c:pt idx="691">
                  <c:v>44915</c:v>
                </c:pt>
                <c:pt idx="692">
                  <c:v>44920</c:v>
                </c:pt>
                <c:pt idx="693">
                  <c:v>44925</c:v>
                </c:pt>
                <c:pt idx="694">
                  <c:v>44930</c:v>
                </c:pt>
                <c:pt idx="695">
                  <c:v>44935</c:v>
                </c:pt>
                <c:pt idx="696">
                  <c:v>44940</c:v>
                </c:pt>
                <c:pt idx="697">
                  <c:v>44945</c:v>
                </c:pt>
                <c:pt idx="698">
                  <c:v>44950</c:v>
                </c:pt>
                <c:pt idx="699">
                  <c:v>44955</c:v>
                </c:pt>
                <c:pt idx="700">
                  <c:v>44960</c:v>
                </c:pt>
                <c:pt idx="701">
                  <c:v>44965</c:v>
                </c:pt>
                <c:pt idx="702">
                  <c:v>44970</c:v>
                </c:pt>
                <c:pt idx="703">
                  <c:v>44975</c:v>
                </c:pt>
                <c:pt idx="704">
                  <c:v>44980</c:v>
                </c:pt>
                <c:pt idx="705">
                  <c:v>44985</c:v>
                </c:pt>
                <c:pt idx="706">
                  <c:v>44990</c:v>
                </c:pt>
                <c:pt idx="707">
                  <c:v>44990</c:v>
                </c:pt>
                <c:pt idx="708">
                  <c:v>44995</c:v>
                </c:pt>
                <c:pt idx="709">
                  <c:v>45000</c:v>
                </c:pt>
                <c:pt idx="710">
                  <c:v>45005</c:v>
                </c:pt>
                <c:pt idx="711">
                  <c:v>45005</c:v>
                </c:pt>
                <c:pt idx="712">
                  <c:v>45010</c:v>
                </c:pt>
                <c:pt idx="713">
                  <c:v>45015</c:v>
                </c:pt>
                <c:pt idx="714">
                  <c:v>45020</c:v>
                </c:pt>
                <c:pt idx="715">
                  <c:v>45025</c:v>
                </c:pt>
                <c:pt idx="716">
                  <c:v>45030</c:v>
                </c:pt>
                <c:pt idx="717">
                  <c:v>45035</c:v>
                </c:pt>
                <c:pt idx="718">
                  <c:v>45040</c:v>
                </c:pt>
                <c:pt idx="719">
                  <c:v>45050</c:v>
                </c:pt>
                <c:pt idx="720">
                  <c:v>45055</c:v>
                </c:pt>
                <c:pt idx="721">
                  <c:v>45060</c:v>
                </c:pt>
                <c:pt idx="722">
                  <c:v>45070</c:v>
                </c:pt>
                <c:pt idx="723">
                  <c:v>45080</c:v>
                </c:pt>
                <c:pt idx="724">
                  <c:v>45085</c:v>
                </c:pt>
                <c:pt idx="725">
                  <c:v>45090</c:v>
                </c:pt>
                <c:pt idx="726">
                  <c:v>45095</c:v>
                </c:pt>
                <c:pt idx="727">
                  <c:v>45100</c:v>
                </c:pt>
                <c:pt idx="728">
                  <c:v>45105</c:v>
                </c:pt>
                <c:pt idx="729">
                  <c:v>45110</c:v>
                </c:pt>
                <c:pt idx="730">
                  <c:v>45115</c:v>
                </c:pt>
                <c:pt idx="731">
                  <c:v>45120</c:v>
                </c:pt>
                <c:pt idx="732">
                  <c:v>45125</c:v>
                </c:pt>
                <c:pt idx="733">
                  <c:v>45150</c:v>
                </c:pt>
                <c:pt idx="734">
                  <c:v>45155</c:v>
                </c:pt>
                <c:pt idx="735">
                  <c:v>45160</c:v>
                </c:pt>
                <c:pt idx="736">
                  <c:v>45165</c:v>
                </c:pt>
                <c:pt idx="737">
                  <c:v>45175</c:v>
                </c:pt>
                <c:pt idx="738">
                  <c:v>45180</c:v>
                </c:pt>
                <c:pt idx="739">
                  <c:v>45185</c:v>
                </c:pt>
                <c:pt idx="740">
                  <c:v>45190</c:v>
                </c:pt>
                <c:pt idx="741">
                  <c:v>45195</c:v>
                </c:pt>
                <c:pt idx="742">
                  <c:v>45200</c:v>
                </c:pt>
                <c:pt idx="743">
                  <c:v>45205</c:v>
                </c:pt>
                <c:pt idx="744">
                  <c:v>45210</c:v>
                </c:pt>
                <c:pt idx="745">
                  <c:v>45215</c:v>
                </c:pt>
                <c:pt idx="746">
                  <c:v>45220</c:v>
                </c:pt>
                <c:pt idx="747">
                  <c:v>45225</c:v>
                </c:pt>
                <c:pt idx="748">
                  <c:v>45230</c:v>
                </c:pt>
                <c:pt idx="749">
                  <c:v>45235</c:v>
                </c:pt>
                <c:pt idx="750">
                  <c:v>45240</c:v>
                </c:pt>
                <c:pt idx="751">
                  <c:v>45245</c:v>
                </c:pt>
                <c:pt idx="752">
                  <c:v>45250</c:v>
                </c:pt>
                <c:pt idx="753">
                  <c:v>45260</c:v>
                </c:pt>
                <c:pt idx="754">
                  <c:v>45270</c:v>
                </c:pt>
                <c:pt idx="755">
                  <c:v>45275</c:v>
                </c:pt>
                <c:pt idx="756">
                  <c:v>45280</c:v>
                </c:pt>
                <c:pt idx="757">
                  <c:v>45285</c:v>
                </c:pt>
                <c:pt idx="758">
                  <c:v>45290</c:v>
                </c:pt>
                <c:pt idx="759">
                  <c:v>45295</c:v>
                </c:pt>
                <c:pt idx="760">
                  <c:v>45300</c:v>
                </c:pt>
                <c:pt idx="761">
                  <c:v>45305</c:v>
                </c:pt>
                <c:pt idx="762">
                  <c:v>45310</c:v>
                </c:pt>
                <c:pt idx="763">
                  <c:v>45315</c:v>
                </c:pt>
                <c:pt idx="764">
                  <c:v>45320</c:v>
                </c:pt>
                <c:pt idx="765">
                  <c:v>45325</c:v>
                </c:pt>
                <c:pt idx="766">
                  <c:v>45330</c:v>
                </c:pt>
                <c:pt idx="767">
                  <c:v>45335</c:v>
                </c:pt>
                <c:pt idx="768">
                  <c:v>45340</c:v>
                </c:pt>
                <c:pt idx="769">
                  <c:v>45345</c:v>
                </c:pt>
                <c:pt idx="770">
                  <c:v>45355</c:v>
                </c:pt>
                <c:pt idx="771">
                  <c:v>45360</c:v>
                </c:pt>
                <c:pt idx="772">
                  <c:v>45365</c:v>
                </c:pt>
                <c:pt idx="773">
                  <c:v>45370</c:v>
                </c:pt>
                <c:pt idx="774">
                  <c:v>45375</c:v>
                </c:pt>
                <c:pt idx="775">
                  <c:v>45380</c:v>
                </c:pt>
                <c:pt idx="776">
                  <c:v>45385</c:v>
                </c:pt>
                <c:pt idx="777">
                  <c:v>45390</c:v>
                </c:pt>
                <c:pt idx="778">
                  <c:v>45400</c:v>
                </c:pt>
                <c:pt idx="779">
                  <c:v>45405</c:v>
                </c:pt>
                <c:pt idx="780">
                  <c:v>45410</c:v>
                </c:pt>
                <c:pt idx="781">
                  <c:v>45415</c:v>
                </c:pt>
                <c:pt idx="782">
                  <c:v>45420</c:v>
                </c:pt>
                <c:pt idx="783">
                  <c:v>45425</c:v>
                </c:pt>
                <c:pt idx="784">
                  <c:v>45430</c:v>
                </c:pt>
                <c:pt idx="785">
                  <c:v>45435</c:v>
                </c:pt>
                <c:pt idx="786">
                  <c:v>45440</c:v>
                </c:pt>
                <c:pt idx="787">
                  <c:v>45450</c:v>
                </c:pt>
                <c:pt idx="788">
                  <c:v>45454</c:v>
                </c:pt>
                <c:pt idx="789">
                  <c:v>45455</c:v>
                </c:pt>
                <c:pt idx="790">
                  <c:v>45460</c:v>
                </c:pt>
                <c:pt idx="791">
                  <c:v>45465</c:v>
                </c:pt>
                <c:pt idx="792">
                  <c:v>45470</c:v>
                </c:pt>
                <c:pt idx="793">
                  <c:v>45475</c:v>
                </c:pt>
                <c:pt idx="794">
                  <c:v>45480</c:v>
                </c:pt>
                <c:pt idx="795">
                  <c:v>45485</c:v>
                </c:pt>
                <c:pt idx="796">
                  <c:v>45486</c:v>
                </c:pt>
                <c:pt idx="797">
                  <c:v>45490</c:v>
                </c:pt>
                <c:pt idx="798">
                  <c:v>45495</c:v>
                </c:pt>
                <c:pt idx="799">
                  <c:v>45500</c:v>
                </c:pt>
                <c:pt idx="800">
                  <c:v>45502</c:v>
                </c:pt>
                <c:pt idx="801">
                  <c:v>45505</c:v>
                </c:pt>
                <c:pt idx="802">
                  <c:v>45530</c:v>
                </c:pt>
                <c:pt idx="803">
                  <c:v>45535</c:v>
                </c:pt>
                <c:pt idx="804">
                  <c:v>45540</c:v>
                </c:pt>
                <c:pt idx="805">
                  <c:v>45545</c:v>
                </c:pt>
                <c:pt idx="806">
                  <c:v>45550</c:v>
                </c:pt>
                <c:pt idx="807">
                  <c:v>45555</c:v>
                </c:pt>
                <c:pt idx="808">
                  <c:v>45560</c:v>
                </c:pt>
                <c:pt idx="809">
                  <c:v>45565</c:v>
                </c:pt>
                <c:pt idx="810">
                  <c:v>45566</c:v>
                </c:pt>
                <c:pt idx="811">
                  <c:v>45570</c:v>
                </c:pt>
                <c:pt idx="812">
                  <c:v>45575</c:v>
                </c:pt>
                <c:pt idx="813">
                  <c:v>45582</c:v>
                </c:pt>
                <c:pt idx="814">
                  <c:v>45585</c:v>
                </c:pt>
                <c:pt idx="815">
                  <c:v>45590</c:v>
                </c:pt>
                <c:pt idx="816">
                  <c:v>45595</c:v>
                </c:pt>
                <c:pt idx="817">
                  <c:v>45598</c:v>
                </c:pt>
                <c:pt idx="818">
                  <c:v>45600</c:v>
                </c:pt>
                <c:pt idx="819">
                  <c:v>45610</c:v>
                </c:pt>
                <c:pt idx="820">
                  <c:v>45614</c:v>
                </c:pt>
                <c:pt idx="821">
                  <c:v>45615</c:v>
                </c:pt>
                <c:pt idx="822">
                  <c:v>45620</c:v>
                </c:pt>
                <c:pt idx="823">
                  <c:v>45625</c:v>
                </c:pt>
                <c:pt idx="824">
                  <c:v>45630</c:v>
                </c:pt>
                <c:pt idx="825">
                  <c:v>45635</c:v>
                </c:pt>
                <c:pt idx="826">
                  <c:v>45640</c:v>
                </c:pt>
                <c:pt idx="827">
                  <c:v>45645</c:v>
                </c:pt>
                <c:pt idx="828">
                  <c:v>45650</c:v>
                </c:pt>
                <c:pt idx="829">
                  <c:v>45655</c:v>
                </c:pt>
                <c:pt idx="830">
                  <c:v>45660</c:v>
                </c:pt>
                <c:pt idx="831">
                  <c:v>45662</c:v>
                </c:pt>
                <c:pt idx="832">
                  <c:v>45665</c:v>
                </c:pt>
                <c:pt idx="833">
                  <c:v>45670</c:v>
                </c:pt>
                <c:pt idx="834">
                  <c:v>45678</c:v>
                </c:pt>
                <c:pt idx="835">
                  <c:v>45680</c:v>
                </c:pt>
                <c:pt idx="836">
                  <c:v>45690</c:v>
                </c:pt>
                <c:pt idx="837">
                  <c:v>45694</c:v>
                </c:pt>
                <c:pt idx="838">
                  <c:v>45695</c:v>
                </c:pt>
                <c:pt idx="839">
                  <c:v>45700</c:v>
                </c:pt>
                <c:pt idx="840">
                  <c:v>45710</c:v>
                </c:pt>
                <c:pt idx="841">
                  <c:v>45720</c:v>
                </c:pt>
                <c:pt idx="842">
                  <c:v>45725</c:v>
                </c:pt>
                <c:pt idx="843">
                  <c:v>45730</c:v>
                </c:pt>
                <c:pt idx="844">
                  <c:v>45735</c:v>
                </c:pt>
                <c:pt idx="845">
                  <c:v>45740</c:v>
                </c:pt>
                <c:pt idx="846">
                  <c:v>45742</c:v>
                </c:pt>
                <c:pt idx="847">
                  <c:v>45745</c:v>
                </c:pt>
                <c:pt idx="848">
                  <c:v>45750</c:v>
                </c:pt>
                <c:pt idx="849">
                  <c:v>45758</c:v>
                </c:pt>
                <c:pt idx="850">
                  <c:v>45760</c:v>
                </c:pt>
                <c:pt idx="851">
                  <c:v>45762</c:v>
                </c:pt>
                <c:pt idx="852">
                  <c:v>45770</c:v>
                </c:pt>
                <c:pt idx="853">
                  <c:v>45775</c:v>
                </c:pt>
                <c:pt idx="854">
                  <c:v>45780</c:v>
                </c:pt>
                <c:pt idx="855">
                  <c:v>45782</c:v>
                </c:pt>
                <c:pt idx="856">
                  <c:v>45785</c:v>
                </c:pt>
                <c:pt idx="857">
                  <c:v>45790</c:v>
                </c:pt>
                <c:pt idx="858">
                  <c:v>45795</c:v>
                </c:pt>
                <c:pt idx="859">
                  <c:v>45800</c:v>
                </c:pt>
                <c:pt idx="860">
                  <c:v>45802</c:v>
                </c:pt>
                <c:pt idx="861">
                  <c:v>45805</c:v>
                </c:pt>
                <c:pt idx="862">
                  <c:v>45810</c:v>
                </c:pt>
                <c:pt idx="863">
                  <c:v>45813</c:v>
                </c:pt>
                <c:pt idx="864">
                  <c:v>45815</c:v>
                </c:pt>
                <c:pt idx="865">
                  <c:v>45820</c:v>
                </c:pt>
                <c:pt idx="866">
                  <c:v>45822</c:v>
                </c:pt>
                <c:pt idx="867">
                  <c:v>45825</c:v>
                </c:pt>
                <c:pt idx="868">
                  <c:v>45835</c:v>
                </c:pt>
              </c:numCache>
            </c:numRef>
          </c:cat>
          <c:val>
            <c:numRef>
              <c:f>Calcs!$E$5:$E$873</c:f>
              <c:numCache>
                <c:formatCode>#,##0.000</c:formatCode>
                <c:ptCount val="869"/>
                <c:pt idx="0">
                  <c:v>89.876437664618081</c:v>
                </c:pt>
                <c:pt idx="1">
                  <c:v>83.250204126426681</c:v>
                </c:pt>
                <c:pt idx="2">
                  <c:v>92.300669446883234</c:v>
                </c:pt>
                <c:pt idx="3">
                  <c:v>215.47146378162452</c:v>
                </c:pt>
                <c:pt idx="4">
                  <c:v>209.92362280768501</c:v>
                </c:pt>
                <c:pt idx="5">
                  <c:v>207.66068767357808</c:v>
                </c:pt>
                <c:pt idx="6">
                  <c:v>419.26778796522109</c:v>
                </c:pt>
                <c:pt idx="7">
                  <c:v>409.76313310359455</c:v>
                </c:pt>
                <c:pt idx="8">
                  <c:v>401.07528451913902</c:v>
                </c:pt>
                <c:pt idx="9">
                  <c:v>394.16955872123845</c:v>
                </c:pt>
                <c:pt idx="10">
                  <c:v>383.10554642137635</c:v>
                </c:pt>
                <c:pt idx="11">
                  <c:v>418.74800215247586</c:v>
                </c:pt>
                <c:pt idx="12">
                  <c:v>404.49101986003603</c:v>
                </c:pt>
                <c:pt idx="13">
                  <c:v>403.97123404729086</c:v>
                </c:pt>
                <c:pt idx="14">
                  <c:v>402.78315218958755</c:v>
                </c:pt>
                <c:pt idx="15">
                  <c:v>390.30829268370269</c:v>
                </c:pt>
                <c:pt idx="16">
                  <c:v>366.18033298623169</c:v>
                </c:pt>
                <c:pt idx="17">
                  <c:v>359.80001480967258</c:v>
                </c:pt>
                <c:pt idx="18">
                  <c:v>336.8729374059933</c:v>
                </c:pt>
                <c:pt idx="19">
                  <c:v>397.06550824939029</c:v>
                </c:pt>
                <c:pt idx="20">
                  <c:v>377.09088201675331</c:v>
                </c:pt>
                <c:pt idx="21">
                  <c:v>370.80781649890088</c:v>
                </c:pt>
                <c:pt idx="22">
                  <c:v>337.71429804466044</c:v>
                </c:pt>
                <c:pt idx="23">
                  <c:v>348.09107925488837</c:v>
                </c:pt>
                <c:pt idx="24">
                  <c:v>337.71429804466044</c:v>
                </c:pt>
                <c:pt idx="25">
                  <c:v>324.53298137220872</c:v>
                </c:pt>
                <c:pt idx="26">
                  <c:v>317.66186948976053</c:v>
                </c:pt>
                <c:pt idx="27">
                  <c:v>373.52663644364338</c:v>
                </c:pt>
                <c:pt idx="28">
                  <c:v>386.22426129784753</c:v>
                </c:pt>
                <c:pt idx="29">
                  <c:v>385.92724083342171</c:v>
                </c:pt>
                <c:pt idx="30">
                  <c:v>368.21362119634387</c:v>
                </c:pt>
                <c:pt idx="31">
                  <c:v>355.03230452389221</c:v>
                </c:pt>
                <c:pt idx="32">
                  <c:v>333.57760823788038</c:v>
                </c:pt>
                <c:pt idx="33">
                  <c:v>245.38562400648823</c:v>
                </c:pt>
                <c:pt idx="34">
                  <c:v>245.09663779399838</c:v>
                </c:pt>
                <c:pt idx="35">
                  <c:v>245.31337745336577</c:v>
                </c:pt>
                <c:pt idx="36">
                  <c:v>236.57154452554744</c:v>
                </c:pt>
                <c:pt idx="37">
                  <c:v>225.5451750237778</c:v>
                </c:pt>
                <c:pt idx="38">
                  <c:v>402.56038684126815</c:v>
                </c:pt>
                <c:pt idx="39">
                  <c:v>391.86765012193831</c:v>
                </c:pt>
                <c:pt idx="40">
                  <c:v>369.54577554090019</c:v>
                </c:pt>
                <c:pt idx="41">
                  <c:v>358.32763369200512</c:v>
                </c:pt>
                <c:pt idx="42">
                  <c:v>382.06597479588595</c:v>
                </c:pt>
                <c:pt idx="43">
                  <c:v>377.46215759728557</c:v>
                </c:pt>
                <c:pt idx="44">
                  <c:v>287.11530053937435</c:v>
                </c:pt>
                <c:pt idx="45">
                  <c:v>283.82251197411006</c:v>
                </c:pt>
                <c:pt idx="46">
                  <c:v>371.08827004512324</c:v>
                </c:pt>
                <c:pt idx="47">
                  <c:v>376.42258597179517</c:v>
                </c:pt>
                <c:pt idx="48">
                  <c:v>330.49261922943424</c:v>
                </c:pt>
                <c:pt idx="49">
                  <c:v>312.96719374325784</c:v>
                </c:pt>
                <c:pt idx="50">
                  <c:v>285.78417324703349</c:v>
                </c:pt>
                <c:pt idx="51">
                  <c:v>323.83184750665282</c:v>
                </c:pt>
                <c:pt idx="52">
                  <c:v>288.51648716289105</c:v>
                </c:pt>
                <c:pt idx="53">
                  <c:v>283.7524526429342</c:v>
                </c:pt>
                <c:pt idx="54">
                  <c:v>260.70189326845093</c:v>
                </c:pt>
                <c:pt idx="55">
                  <c:v>264.09748126520685</c:v>
                </c:pt>
                <c:pt idx="56">
                  <c:v>243.21822741281429</c:v>
                </c:pt>
                <c:pt idx="57">
                  <c:v>250.7318689375507</c:v>
                </c:pt>
                <c:pt idx="58">
                  <c:v>243.21822741281429</c:v>
                </c:pt>
                <c:pt idx="59">
                  <c:v>226.20215619174434</c:v>
                </c:pt>
                <c:pt idx="60">
                  <c:v>216.93142193266121</c:v>
                </c:pt>
                <c:pt idx="61">
                  <c:v>206.56571906030055</c:v>
                </c:pt>
                <c:pt idx="62">
                  <c:v>176.04559432534677</c:v>
                </c:pt>
                <c:pt idx="63">
                  <c:v>175.00152118537198</c:v>
                </c:pt>
                <c:pt idx="64">
                  <c:v>172.14772126944092</c:v>
                </c:pt>
                <c:pt idx="65">
                  <c:v>259.32920875912407</c:v>
                </c:pt>
                <c:pt idx="66">
                  <c:v>255.86137420924575</c:v>
                </c:pt>
                <c:pt idx="67">
                  <c:v>251.67107412814272</c:v>
                </c:pt>
                <c:pt idx="68">
                  <c:v>420.67863517124374</c:v>
                </c:pt>
                <c:pt idx="69">
                  <c:v>398.69912080373234</c:v>
                </c:pt>
                <c:pt idx="70">
                  <c:v>397.58529406213552</c:v>
                </c:pt>
                <c:pt idx="71">
                  <c:v>386.59553687837985</c:v>
                </c:pt>
                <c:pt idx="72">
                  <c:v>384.66490385961197</c:v>
                </c:pt>
                <c:pt idx="73">
                  <c:v>363.09534397778549</c:v>
                </c:pt>
                <c:pt idx="74">
                  <c:v>405.01080567278126</c:v>
                </c:pt>
                <c:pt idx="75">
                  <c:v>388.82319036157355</c:v>
                </c:pt>
                <c:pt idx="76">
                  <c:v>387.78361873608316</c:v>
                </c:pt>
                <c:pt idx="77">
                  <c:v>377.68492294560491</c:v>
                </c:pt>
                <c:pt idx="78">
                  <c:v>361.20228254078449</c:v>
                </c:pt>
                <c:pt idx="79">
                  <c:v>358.4678604651163</c:v>
                </c:pt>
                <c:pt idx="80">
                  <c:v>353.41969663311352</c:v>
                </c:pt>
                <c:pt idx="81">
                  <c:v>348.5818729607775</c:v>
                </c:pt>
                <c:pt idx="82">
                  <c:v>404.11974427950378</c:v>
                </c:pt>
                <c:pt idx="83">
                  <c:v>399.07039638426465</c:v>
                </c:pt>
                <c:pt idx="84">
                  <c:v>392.23892570247057</c:v>
                </c:pt>
                <c:pt idx="85">
                  <c:v>390.08552733538335</c:v>
                </c:pt>
                <c:pt idx="86">
                  <c:v>384.36788339518608</c:v>
                </c:pt>
                <c:pt idx="87">
                  <c:v>356.36445886844842</c:v>
                </c:pt>
                <c:pt idx="88">
                  <c:v>391.79339500583183</c:v>
                </c:pt>
                <c:pt idx="89">
                  <c:v>395.72891615947407</c:v>
                </c:pt>
                <c:pt idx="90">
                  <c:v>393.35275244406745</c:v>
                </c:pt>
                <c:pt idx="91">
                  <c:v>409.1690921747429</c:v>
                </c:pt>
                <c:pt idx="92">
                  <c:v>395.43189569504824</c:v>
                </c:pt>
                <c:pt idx="93">
                  <c:v>396.84274290107095</c:v>
                </c:pt>
                <c:pt idx="94">
                  <c:v>407.38696938818788</c:v>
                </c:pt>
                <c:pt idx="95">
                  <c:v>408.20377566535893</c:v>
                </c:pt>
                <c:pt idx="96">
                  <c:v>399.07039638426465</c:v>
                </c:pt>
                <c:pt idx="97">
                  <c:v>394.39232406955784</c:v>
                </c:pt>
                <c:pt idx="98">
                  <c:v>394.83785476619659</c:v>
                </c:pt>
                <c:pt idx="99">
                  <c:v>392.16467058636414</c:v>
                </c:pt>
                <c:pt idx="100">
                  <c:v>387.70936361997667</c:v>
                </c:pt>
                <c:pt idx="101">
                  <c:v>400.25847824196796</c:v>
                </c:pt>
                <c:pt idx="102">
                  <c:v>398.99614126815823</c:v>
                </c:pt>
                <c:pt idx="103">
                  <c:v>385.63022036899588</c:v>
                </c:pt>
                <c:pt idx="104">
                  <c:v>398.32784522320009</c:v>
                </c:pt>
                <c:pt idx="105">
                  <c:v>382.73427084084403</c:v>
                </c:pt>
                <c:pt idx="106">
                  <c:v>368.63430151567741</c:v>
                </c:pt>
                <c:pt idx="107">
                  <c:v>368.91475506189983</c:v>
                </c:pt>
                <c:pt idx="108">
                  <c:v>341.71076107832931</c:v>
                </c:pt>
                <c:pt idx="109">
                  <c:v>332.10522712021293</c:v>
                </c:pt>
                <c:pt idx="110">
                  <c:v>314.29832103559869</c:v>
                </c:pt>
                <c:pt idx="111">
                  <c:v>315.20909234088458</c:v>
                </c:pt>
                <c:pt idx="112">
                  <c:v>294.1912929881338</c:v>
                </c:pt>
                <c:pt idx="113">
                  <c:v>295.94277626752967</c:v>
                </c:pt>
                <c:pt idx="114">
                  <c:v>277.02675685005397</c:v>
                </c:pt>
                <c:pt idx="115">
                  <c:v>273.87408694714134</c:v>
                </c:pt>
                <c:pt idx="116">
                  <c:v>272.68307831715208</c:v>
                </c:pt>
                <c:pt idx="117">
                  <c:v>266.84285028386051</c:v>
                </c:pt>
                <c:pt idx="118">
                  <c:v>268.50452100567725</c:v>
                </c:pt>
                <c:pt idx="119">
                  <c:v>248.85345855636655</c:v>
                </c:pt>
                <c:pt idx="120">
                  <c:v>249.50367753446878</c:v>
                </c:pt>
                <c:pt idx="121">
                  <c:v>243.29047396593674</c:v>
                </c:pt>
                <c:pt idx="122">
                  <c:v>238.66669456609895</c:v>
                </c:pt>
                <c:pt idx="123">
                  <c:v>241.8455429034874</c:v>
                </c:pt>
                <c:pt idx="124">
                  <c:v>237.22176350364961</c:v>
                </c:pt>
                <c:pt idx="125">
                  <c:v>223.64722942743009</c:v>
                </c:pt>
                <c:pt idx="126">
                  <c:v>273.59384962243797</c:v>
                </c:pt>
                <c:pt idx="127">
                  <c:v>274.2243836030205</c:v>
                </c:pt>
                <c:pt idx="128">
                  <c:v>273.10343430420716</c:v>
                </c:pt>
                <c:pt idx="129">
                  <c:v>314.57855836030205</c:v>
                </c:pt>
                <c:pt idx="130">
                  <c:v>311.91630377562029</c:v>
                </c:pt>
                <c:pt idx="131">
                  <c:v>315.6294483279396</c:v>
                </c:pt>
                <c:pt idx="132">
                  <c:v>311.07559180151026</c:v>
                </c:pt>
                <c:pt idx="133">
                  <c:v>312.056422437972</c:v>
                </c:pt>
                <c:pt idx="134">
                  <c:v>291.66915706580369</c:v>
                </c:pt>
                <c:pt idx="135">
                  <c:v>274.78485825242723</c:v>
                </c:pt>
                <c:pt idx="136">
                  <c:v>266.98734339010542</c:v>
                </c:pt>
                <c:pt idx="137">
                  <c:v>256.07811386861312</c:v>
                </c:pt>
                <c:pt idx="138">
                  <c:v>244.22967915652882</c:v>
                </c:pt>
                <c:pt idx="139">
                  <c:v>243.21822741281429</c:v>
                </c:pt>
                <c:pt idx="140">
                  <c:v>234.9098738037307</c:v>
                </c:pt>
                <c:pt idx="141">
                  <c:v>219.34035288187181</c:v>
                </c:pt>
                <c:pt idx="142">
                  <c:v>201.67485925432757</c:v>
                </c:pt>
                <c:pt idx="143">
                  <c:v>193.44681332492644</c:v>
                </c:pt>
                <c:pt idx="144">
                  <c:v>196.78399944835459</c:v>
                </c:pt>
                <c:pt idx="145">
                  <c:v>189.34012564102565</c:v>
                </c:pt>
                <c:pt idx="146">
                  <c:v>181.54437952921396</c:v>
                </c:pt>
                <c:pt idx="147">
                  <c:v>172.63495540142915</c:v>
                </c:pt>
                <c:pt idx="148">
                  <c:v>168.45866284153004</c:v>
                </c:pt>
                <c:pt idx="149">
                  <c:v>163.18731871081013</c:v>
                </c:pt>
                <c:pt idx="150">
                  <c:v>168.80668722152163</c:v>
                </c:pt>
                <c:pt idx="151">
                  <c:v>163.11618753448707</c:v>
                </c:pt>
                <c:pt idx="152">
                  <c:v>154.01139696513667</c:v>
                </c:pt>
                <c:pt idx="153">
                  <c:v>153.51347873087531</c:v>
                </c:pt>
                <c:pt idx="154">
                  <c:v>152.37537990970654</c:v>
                </c:pt>
                <c:pt idx="155">
                  <c:v>152.01972402809128</c:v>
                </c:pt>
                <c:pt idx="156">
                  <c:v>141.70570346124904</c:v>
                </c:pt>
                <c:pt idx="157">
                  <c:v>140.92326052169548</c:v>
                </c:pt>
                <c:pt idx="158">
                  <c:v>139.62895616314196</c:v>
                </c:pt>
                <c:pt idx="159">
                  <c:v>129.98284438066463</c:v>
                </c:pt>
                <c:pt idx="160">
                  <c:v>133.07549090634438</c:v>
                </c:pt>
                <c:pt idx="161">
                  <c:v>209.99662071523682</c:v>
                </c:pt>
                <c:pt idx="162">
                  <c:v>291.03862308522116</c:v>
                </c:pt>
                <c:pt idx="163">
                  <c:v>284.10274929881336</c:v>
                </c:pt>
                <c:pt idx="164">
                  <c:v>271.70224768069039</c:v>
                </c:pt>
                <c:pt idx="165">
                  <c:v>274.57468025889966</c:v>
                </c:pt>
                <c:pt idx="166">
                  <c:v>271.35195102481123</c:v>
                </c:pt>
                <c:pt idx="167">
                  <c:v>260.41290705596106</c:v>
                </c:pt>
                <c:pt idx="168">
                  <c:v>253.47723795620436</c:v>
                </c:pt>
                <c:pt idx="169">
                  <c:v>242.92924120032444</c:v>
                </c:pt>
                <c:pt idx="170">
                  <c:v>238.08872214111923</c:v>
                </c:pt>
                <c:pt idx="171">
                  <c:v>241.77329635036494</c:v>
                </c:pt>
                <c:pt idx="172">
                  <c:v>240.40061184103814</c:v>
                </c:pt>
                <c:pt idx="173">
                  <c:v>225.61817293132967</c:v>
                </c:pt>
                <c:pt idx="174">
                  <c:v>220.8003110329085</c:v>
                </c:pt>
                <c:pt idx="175">
                  <c:v>217.44240728552404</c:v>
                </c:pt>
                <c:pt idx="176">
                  <c:v>215.61745959672817</c:v>
                </c:pt>
                <c:pt idx="177">
                  <c:v>238.52220145985399</c:v>
                </c:pt>
                <c:pt idx="178">
                  <c:v>237.87198248175181</c:v>
                </c:pt>
                <c:pt idx="179">
                  <c:v>217.07741774776488</c:v>
                </c:pt>
                <c:pt idx="180">
                  <c:v>203.42680903557164</c:v>
                </c:pt>
                <c:pt idx="181">
                  <c:v>202.7698278676051</c:v>
                </c:pt>
                <c:pt idx="182">
                  <c:v>197.73297224652845</c:v>
                </c:pt>
                <c:pt idx="183">
                  <c:v>196.05402037283622</c:v>
                </c:pt>
                <c:pt idx="184">
                  <c:v>194.42128158890293</c:v>
                </c:pt>
                <c:pt idx="185">
                  <c:v>183.14529167717529</c:v>
                </c:pt>
                <c:pt idx="186">
                  <c:v>175.97598944934845</c:v>
                </c:pt>
                <c:pt idx="187">
                  <c:v>173.60942366540561</c:v>
                </c:pt>
                <c:pt idx="188">
                  <c:v>169.50273598150483</c:v>
                </c:pt>
                <c:pt idx="189">
                  <c:v>168.38905796553172</c:v>
                </c:pt>
                <c:pt idx="190">
                  <c:v>168.45866284153004</c:v>
                </c:pt>
                <c:pt idx="191">
                  <c:v>172.00851151744428</c:v>
                </c:pt>
                <c:pt idx="192">
                  <c:v>159.91528459994981</c:v>
                </c:pt>
                <c:pt idx="193">
                  <c:v>155.71854519688989</c:v>
                </c:pt>
                <c:pt idx="194">
                  <c:v>158.13700519187358</c:v>
                </c:pt>
                <c:pt idx="195">
                  <c:v>154.5804463757211</c:v>
                </c:pt>
                <c:pt idx="196">
                  <c:v>154.438184023075</c:v>
                </c:pt>
                <c:pt idx="197">
                  <c:v>157.85248048658138</c:v>
                </c:pt>
                <c:pt idx="198">
                  <c:v>154.01139696513667</c:v>
                </c:pt>
                <c:pt idx="199">
                  <c:v>153.51347873087531</c:v>
                </c:pt>
                <c:pt idx="200">
                  <c:v>157.49682460496612</c:v>
                </c:pt>
                <c:pt idx="201">
                  <c:v>152.09085520441434</c:v>
                </c:pt>
                <c:pt idx="202">
                  <c:v>152.51764226235264</c:v>
                </c:pt>
                <c:pt idx="203">
                  <c:v>159.06171048407322</c:v>
                </c:pt>
                <c:pt idx="204">
                  <c:v>151.02388755956858</c:v>
                </c:pt>
                <c:pt idx="205">
                  <c:v>152.37537990970654</c:v>
                </c:pt>
                <c:pt idx="206">
                  <c:v>143.69737639829444</c:v>
                </c:pt>
                <c:pt idx="207">
                  <c:v>153.86913461249057</c:v>
                </c:pt>
                <c:pt idx="208">
                  <c:v>153.22895402558314</c:v>
                </c:pt>
                <c:pt idx="209">
                  <c:v>151.45067461750688</c:v>
                </c:pt>
                <c:pt idx="210">
                  <c:v>140.92326052169548</c:v>
                </c:pt>
                <c:pt idx="211">
                  <c:v>140.70986699272635</c:v>
                </c:pt>
                <c:pt idx="212">
                  <c:v>140.92326052169548</c:v>
                </c:pt>
                <c:pt idx="213">
                  <c:v>153.94026578881363</c:v>
                </c:pt>
                <c:pt idx="214">
                  <c:v>153.08669167293704</c:v>
                </c:pt>
                <c:pt idx="215">
                  <c:v>150.73936285427638</c:v>
                </c:pt>
                <c:pt idx="216">
                  <c:v>141.91909699021818</c:v>
                </c:pt>
                <c:pt idx="217">
                  <c:v>139.99712836858004</c:v>
                </c:pt>
                <c:pt idx="218">
                  <c:v>140.92326052169548</c:v>
                </c:pt>
                <c:pt idx="219">
                  <c:v>140.06968640581891</c:v>
                </c:pt>
                <c:pt idx="220">
                  <c:v>133.81183531722053</c:v>
                </c:pt>
                <c:pt idx="221">
                  <c:v>131.01372655589122</c:v>
                </c:pt>
                <c:pt idx="222">
                  <c:v>129.54103773413897</c:v>
                </c:pt>
                <c:pt idx="223">
                  <c:v>152.51764226235264</c:v>
                </c:pt>
                <c:pt idx="224">
                  <c:v>151.23728108853774</c:v>
                </c:pt>
                <c:pt idx="225">
                  <c:v>144.9066063957863</c:v>
                </c:pt>
                <c:pt idx="226">
                  <c:v>141.13665405066465</c:v>
                </c:pt>
                <c:pt idx="227">
                  <c:v>140.70986699272635</c:v>
                </c:pt>
                <c:pt idx="228">
                  <c:v>141.06552287434158</c:v>
                </c:pt>
                <c:pt idx="229">
                  <c:v>139.03988063444109</c:v>
                </c:pt>
                <c:pt idx="230">
                  <c:v>133.51729755287008</c:v>
                </c:pt>
                <c:pt idx="231">
                  <c:v>128.06834891238668</c:v>
                </c:pt>
                <c:pt idx="232">
                  <c:v>129.90920993957701</c:v>
                </c:pt>
                <c:pt idx="233">
                  <c:v>118.27496824773412</c:v>
                </c:pt>
                <c:pt idx="234">
                  <c:v>114.79757999999998</c:v>
                </c:pt>
                <c:pt idx="235">
                  <c:v>114.48024666666666</c:v>
                </c:pt>
                <c:pt idx="236">
                  <c:v>112.17957999999999</c:v>
                </c:pt>
                <c:pt idx="237">
                  <c:v>110.98957999999998</c:v>
                </c:pt>
                <c:pt idx="238">
                  <c:v>110.75157999999999</c:v>
                </c:pt>
                <c:pt idx="239">
                  <c:v>110.35491333333333</c:v>
                </c:pt>
                <c:pt idx="240">
                  <c:v>108.37157999999999</c:v>
                </c:pt>
                <c:pt idx="241">
                  <c:v>102.89757999999999</c:v>
                </c:pt>
                <c:pt idx="242">
                  <c:v>101.70758000000001</c:v>
                </c:pt>
                <c:pt idx="243">
                  <c:v>101.70758000000001</c:v>
                </c:pt>
                <c:pt idx="244">
                  <c:v>101.15224666666667</c:v>
                </c:pt>
                <c:pt idx="245">
                  <c:v>101.46957999999999</c:v>
                </c:pt>
                <c:pt idx="246">
                  <c:v>100.91424666666666</c:v>
                </c:pt>
                <c:pt idx="247">
                  <c:v>100.75557999999999</c:v>
                </c:pt>
                <c:pt idx="248">
                  <c:v>100.35891333333332</c:v>
                </c:pt>
                <c:pt idx="249">
                  <c:v>93.593593064091309</c:v>
                </c:pt>
                <c:pt idx="250">
                  <c:v>93.75520851624232</c:v>
                </c:pt>
                <c:pt idx="251">
                  <c:v>93.674400790166814</c:v>
                </c:pt>
                <c:pt idx="252">
                  <c:v>93.189554433713781</c:v>
                </c:pt>
                <c:pt idx="253">
                  <c:v>92.704708077260747</c:v>
                </c:pt>
                <c:pt idx="254">
                  <c:v>92.54309262510975</c:v>
                </c:pt>
                <c:pt idx="255">
                  <c:v>92.300669446883234</c:v>
                </c:pt>
                <c:pt idx="256">
                  <c:v>91.735015364354695</c:v>
                </c:pt>
                <c:pt idx="257">
                  <c:v>91.896630816505706</c:v>
                </c:pt>
                <c:pt idx="258">
                  <c:v>98.846095258999128</c:v>
                </c:pt>
                <c:pt idx="259">
                  <c:v>91.573399912203698</c:v>
                </c:pt>
                <c:pt idx="260">
                  <c:v>91.492592186128178</c:v>
                </c:pt>
                <c:pt idx="261">
                  <c:v>90.522899473222125</c:v>
                </c:pt>
                <c:pt idx="262">
                  <c:v>95.85620939420545</c:v>
                </c:pt>
                <c:pt idx="263">
                  <c:v>87.613821334503953</c:v>
                </c:pt>
                <c:pt idx="264">
                  <c:v>90.44209174714662</c:v>
                </c:pt>
                <c:pt idx="265">
                  <c:v>96.745094381035997</c:v>
                </c:pt>
                <c:pt idx="266">
                  <c:v>87.371398156277436</c:v>
                </c:pt>
                <c:pt idx="267">
                  <c:v>93.75520851624232</c:v>
                </c:pt>
                <c:pt idx="268">
                  <c:v>86.724936347673392</c:v>
                </c:pt>
                <c:pt idx="269">
                  <c:v>93.997631694468822</c:v>
                </c:pt>
                <c:pt idx="270">
                  <c:v>85.91685908691835</c:v>
                </c:pt>
                <c:pt idx="271">
                  <c:v>93.027938981562784</c:v>
                </c:pt>
                <c:pt idx="272">
                  <c:v>86.078474539069347</c:v>
                </c:pt>
                <c:pt idx="273">
                  <c:v>83.411819578577692</c:v>
                </c:pt>
                <c:pt idx="274">
                  <c:v>86.078474539069347</c:v>
                </c:pt>
                <c:pt idx="275">
                  <c:v>85.108781826163295</c:v>
                </c:pt>
                <c:pt idx="276">
                  <c:v>82.12991075794622</c:v>
                </c:pt>
                <c:pt idx="277">
                  <c:v>82.20878606356969</c:v>
                </c:pt>
                <c:pt idx="278">
                  <c:v>82.20878606356969</c:v>
                </c:pt>
                <c:pt idx="279">
                  <c:v>82.366536674816629</c:v>
                </c:pt>
                <c:pt idx="280">
                  <c:v>91.250169007901661</c:v>
                </c:pt>
                <c:pt idx="281">
                  <c:v>81.972160146699267</c:v>
                </c:pt>
                <c:pt idx="282">
                  <c:v>86.724936347673392</c:v>
                </c:pt>
                <c:pt idx="283">
                  <c:v>93.027938981562784</c:v>
                </c:pt>
                <c:pt idx="284">
                  <c:v>83.896665935030725</c:v>
                </c:pt>
                <c:pt idx="285">
                  <c:v>85.91685908691835</c:v>
                </c:pt>
                <c:pt idx="286">
                  <c:v>83.492627304653212</c:v>
                </c:pt>
                <c:pt idx="287">
                  <c:v>82.926973222124673</c:v>
                </c:pt>
                <c:pt idx="288">
                  <c:v>82.684550043898156</c:v>
                </c:pt>
                <c:pt idx="289">
                  <c:v>80.394654034229831</c:v>
                </c:pt>
                <c:pt idx="290">
                  <c:v>82.20878606356969</c:v>
                </c:pt>
                <c:pt idx="291">
                  <c:v>81.972160146699267</c:v>
                </c:pt>
                <c:pt idx="292">
                  <c:v>81.025656479217602</c:v>
                </c:pt>
                <c:pt idx="293">
                  <c:v>81.262282396088011</c:v>
                </c:pt>
                <c:pt idx="294">
                  <c:v>78.580522004889971</c:v>
                </c:pt>
                <c:pt idx="295">
                  <c:v>78.501646699266502</c:v>
                </c:pt>
                <c:pt idx="296">
                  <c:v>93.512785338015789</c:v>
                </c:pt>
                <c:pt idx="297">
                  <c:v>87.048167251975414</c:v>
                </c:pt>
                <c:pt idx="298">
                  <c:v>83.896665935030725</c:v>
                </c:pt>
                <c:pt idx="299">
                  <c:v>84.462320017559264</c:v>
                </c:pt>
                <c:pt idx="300">
                  <c:v>83.250204126426681</c:v>
                </c:pt>
                <c:pt idx="301">
                  <c:v>81.735534229828858</c:v>
                </c:pt>
                <c:pt idx="302">
                  <c:v>81.498908312958434</c:v>
                </c:pt>
                <c:pt idx="303">
                  <c:v>72.822624694376515</c:v>
                </c:pt>
                <c:pt idx="304">
                  <c:v>72.980375305623468</c:v>
                </c:pt>
                <c:pt idx="305">
                  <c:v>70.377490220048898</c:v>
                </c:pt>
                <c:pt idx="306">
                  <c:v>72.033871638141804</c:v>
                </c:pt>
                <c:pt idx="307">
                  <c:v>81.341157701711481</c:v>
                </c:pt>
                <c:pt idx="308">
                  <c:v>79.921402200488998</c:v>
                </c:pt>
                <c:pt idx="309">
                  <c:v>83.896665935030725</c:v>
                </c:pt>
                <c:pt idx="310">
                  <c:v>83.654242756804223</c:v>
                </c:pt>
                <c:pt idx="311">
                  <c:v>78.81714792176038</c:v>
                </c:pt>
                <c:pt idx="312">
                  <c:v>78.028394865525669</c:v>
                </c:pt>
                <c:pt idx="313">
                  <c:v>78.186145476772623</c:v>
                </c:pt>
                <c:pt idx="314">
                  <c:v>78.107270171149139</c:v>
                </c:pt>
                <c:pt idx="315">
                  <c:v>74.557881418092904</c:v>
                </c:pt>
                <c:pt idx="316">
                  <c:v>74.242380195599026</c:v>
                </c:pt>
                <c:pt idx="317">
                  <c:v>73.453627139364301</c:v>
                </c:pt>
                <c:pt idx="318">
                  <c:v>74.084629584352072</c:v>
                </c:pt>
                <c:pt idx="319">
                  <c:v>81.893284841075797</c:v>
                </c:pt>
                <c:pt idx="320">
                  <c:v>81.183407090464542</c:v>
                </c:pt>
                <c:pt idx="321">
                  <c:v>78.738272616136911</c:v>
                </c:pt>
                <c:pt idx="322">
                  <c:v>81.814409535452327</c:v>
                </c:pt>
                <c:pt idx="323">
                  <c:v>79.763651589242059</c:v>
                </c:pt>
                <c:pt idx="324">
                  <c:v>85.270397278314306</c:v>
                </c:pt>
                <c:pt idx="325">
                  <c:v>81.183407090464542</c:v>
                </c:pt>
                <c:pt idx="326">
                  <c:v>78.028394865525669</c:v>
                </c:pt>
                <c:pt idx="327">
                  <c:v>80.315778728606361</c:v>
                </c:pt>
                <c:pt idx="328">
                  <c:v>79.842526894865529</c:v>
                </c:pt>
                <c:pt idx="329">
                  <c:v>78.107270171149139</c:v>
                </c:pt>
                <c:pt idx="330">
                  <c:v>79.211524449877743</c:v>
                </c:pt>
                <c:pt idx="331">
                  <c:v>73.926878973105133</c:v>
                </c:pt>
                <c:pt idx="332">
                  <c:v>75.662135696821522</c:v>
                </c:pt>
                <c:pt idx="333">
                  <c:v>77.318517114914414</c:v>
                </c:pt>
                <c:pt idx="334">
                  <c:v>73.374751833740831</c:v>
                </c:pt>
                <c:pt idx="335">
                  <c:v>76.529764058679703</c:v>
                </c:pt>
                <c:pt idx="336">
                  <c:v>82.366536674816629</c:v>
                </c:pt>
                <c:pt idx="337">
                  <c:v>79.211524449877743</c:v>
                </c:pt>
                <c:pt idx="338">
                  <c:v>77.87064425427873</c:v>
                </c:pt>
                <c:pt idx="339">
                  <c:v>81.420033007334951</c:v>
                </c:pt>
                <c:pt idx="340">
                  <c:v>76.608639364303173</c:v>
                </c:pt>
                <c:pt idx="341">
                  <c:v>77.318517114914414</c:v>
                </c:pt>
                <c:pt idx="342">
                  <c:v>77.634018337408321</c:v>
                </c:pt>
                <c:pt idx="343">
                  <c:v>79.763651589242059</c:v>
                </c:pt>
                <c:pt idx="344">
                  <c:v>76.293138141809294</c:v>
                </c:pt>
                <c:pt idx="345">
                  <c:v>72.664874083129575</c:v>
                </c:pt>
                <c:pt idx="346">
                  <c:v>79.842526894865529</c:v>
                </c:pt>
                <c:pt idx="347">
                  <c:v>79.369275061124682</c:v>
                </c:pt>
                <c:pt idx="348">
                  <c:v>76.924140586797066</c:v>
                </c:pt>
                <c:pt idx="349">
                  <c:v>71.954996332518334</c:v>
                </c:pt>
                <c:pt idx="350">
                  <c:v>77.081891198044005</c:v>
                </c:pt>
                <c:pt idx="351">
                  <c:v>85.270397278314306</c:v>
                </c:pt>
                <c:pt idx="352">
                  <c:v>69.983113691931536</c:v>
                </c:pt>
                <c:pt idx="353">
                  <c:v>72.980375305623468</c:v>
                </c:pt>
                <c:pt idx="354">
                  <c:v>71.639495110024455</c:v>
                </c:pt>
                <c:pt idx="355">
                  <c:v>81.025656479217602</c:v>
                </c:pt>
                <c:pt idx="356">
                  <c:v>175.83677969735183</c:v>
                </c:pt>
                <c:pt idx="357">
                  <c:v>169.98997011349306</c:v>
                </c:pt>
                <c:pt idx="358">
                  <c:v>173.67902854140397</c:v>
                </c:pt>
                <c:pt idx="359">
                  <c:v>172.00851151744428</c:v>
                </c:pt>
                <c:pt idx="360">
                  <c:v>315.90968565264296</c:v>
                </c:pt>
                <c:pt idx="361">
                  <c:v>339.25679254888348</c:v>
                </c:pt>
                <c:pt idx="362">
                  <c:v>434.193066302619</c:v>
                </c:pt>
                <c:pt idx="363">
                  <c:v>414.96099123104659</c:v>
                </c:pt>
                <c:pt idx="364">
                  <c:v>410.72844961297847</c:v>
                </c:pt>
                <c:pt idx="365">
                  <c:v>398.25359010709366</c:v>
                </c:pt>
                <c:pt idx="366">
                  <c:v>433.45051514155443</c:v>
                </c:pt>
                <c:pt idx="367">
                  <c:v>382.06597479588595</c:v>
                </c:pt>
                <c:pt idx="368">
                  <c:v>375.90280015904995</c:v>
                </c:pt>
                <c:pt idx="369">
                  <c:v>382.06597479588595</c:v>
                </c:pt>
                <c:pt idx="370">
                  <c:v>374.71471830134664</c:v>
                </c:pt>
                <c:pt idx="371">
                  <c:v>386.22426129784753</c:v>
                </c:pt>
                <c:pt idx="372">
                  <c:v>402.85740730569398</c:v>
                </c:pt>
                <c:pt idx="373">
                  <c:v>406.79292845933622</c:v>
                </c:pt>
                <c:pt idx="374">
                  <c:v>410.50568426465912</c:v>
                </c:pt>
                <c:pt idx="375">
                  <c:v>406.19888753048463</c:v>
                </c:pt>
                <c:pt idx="376">
                  <c:v>401.00102940303253</c:v>
                </c:pt>
                <c:pt idx="377">
                  <c:v>390.60531314812852</c:v>
                </c:pt>
                <c:pt idx="378">
                  <c:v>394.83785476619659</c:v>
                </c:pt>
                <c:pt idx="379">
                  <c:v>394.76359965009016</c:v>
                </c:pt>
                <c:pt idx="380">
                  <c:v>395.35764057894181</c:v>
                </c:pt>
                <c:pt idx="381">
                  <c:v>394.46657918566427</c:v>
                </c:pt>
                <c:pt idx="382">
                  <c:v>421.34693121620188</c:v>
                </c:pt>
                <c:pt idx="383">
                  <c:v>409.54036775527516</c:v>
                </c:pt>
                <c:pt idx="384">
                  <c:v>403.74846869897146</c:v>
                </c:pt>
                <c:pt idx="385">
                  <c:v>402.11485614462941</c:v>
                </c:pt>
                <c:pt idx="386">
                  <c:v>397.73380429434843</c:v>
                </c:pt>
                <c:pt idx="387">
                  <c:v>392.31318081857705</c:v>
                </c:pt>
                <c:pt idx="388">
                  <c:v>393.27849732796102</c:v>
                </c:pt>
                <c:pt idx="389">
                  <c:v>388.60042501325415</c:v>
                </c:pt>
                <c:pt idx="390">
                  <c:v>388.2291494327219</c:v>
                </c:pt>
                <c:pt idx="391">
                  <c:v>385.25894478846362</c:v>
                </c:pt>
                <c:pt idx="392">
                  <c:v>381.84320944756655</c:v>
                </c:pt>
                <c:pt idx="393">
                  <c:v>378.05619852613728</c:v>
                </c:pt>
                <c:pt idx="394">
                  <c:v>379.76406619658576</c:v>
                </c:pt>
                <c:pt idx="395">
                  <c:v>379.24428038384053</c:v>
                </c:pt>
                <c:pt idx="396">
                  <c:v>369.54577554090019</c:v>
                </c:pt>
                <c:pt idx="397">
                  <c:v>366.95158023834318</c:v>
                </c:pt>
                <c:pt idx="398">
                  <c:v>358.39774707856071</c:v>
                </c:pt>
                <c:pt idx="399">
                  <c:v>361.48273608700686</c:v>
                </c:pt>
                <c:pt idx="400">
                  <c:v>388.52616989714772</c:v>
                </c:pt>
                <c:pt idx="401">
                  <c:v>390.97658872866077</c:v>
                </c:pt>
                <c:pt idx="402">
                  <c:v>368.28373458289946</c:v>
                </c:pt>
                <c:pt idx="403">
                  <c:v>369.61588892745573</c:v>
                </c:pt>
                <c:pt idx="404">
                  <c:v>364.35738493578617</c:v>
                </c:pt>
                <c:pt idx="405">
                  <c:v>357.69661321300475</c:v>
                </c:pt>
                <c:pt idx="406">
                  <c:v>361.55284947356245</c:v>
                </c:pt>
                <c:pt idx="407">
                  <c:v>355.52309822978134</c:v>
                </c:pt>
                <c:pt idx="408">
                  <c:v>350.75538794400097</c:v>
                </c:pt>
                <c:pt idx="409">
                  <c:v>341.7808744648849</c:v>
                </c:pt>
                <c:pt idx="410">
                  <c:v>344.58540992710863</c:v>
                </c:pt>
                <c:pt idx="411">
                  <c:v>339.04645238921671</c:v>
                </c:pt>
                <c:pt idx="412">
                  <c:v>324.60309475876437</c:v>
                </c:pt>
                <c:pt idx="413">
                  <c:v>328.66967117898878</c:v>
                </c:pt>
                <c:pt idx="414">
                  <c:v>324.25252782598636</c:v>
                </c:pt>
                <c:pt idx="415">
                  <c:v>322.35946638898531</c:v>
                </c:pt>
                <c:pt idx="416">
                  <c:v>334.06840194376952</c:v>
                </c:pt>
                <c:pt idx="417">
                  <c:v>335.54078306143703</c:v>
                </c:pt>
                <c:pt idx="418">
                  <c:v>352.78867615411315</c:v>
                </c:pt>
                <c:pt idx="419">
                  <c:v>370.80781649890088</c:v>
                </c:pt>
                <c:pt idx="420">
                  <c:v>372.48706481815293</c:v>
                </c:pt>
                <c:pt idx="421">
                  <c:v>367.16192039801001</c:v>
                </c:pt>
                <c:pt idx="422">
                  <c:v>367.30214717112119</c:v>
                </c:pt>
                <c:pt idx="423">
                  <c:v>361.90341640634045</c:v>
                </c:pt>
                <c:pt idx="424">
                  <c:v>361.41262270045127</c:v>
                </c:pt>
                <c:pt idx="425">
                  <c:v>363.37579752400785</c:v>
                </c:pt>
                <c:pt idx="426">
                  <c:v>354.54151081800302</c:v>
                </c:pt>
                <c:pt idx="427">
                  <c:v>357.62649982644922</c:v>
                </c:pt>
                <c:pt idx="428">
                  <c:v>351.10595487677892</c:v>
                </c:pt>
                <c:pt idx="429">
                  <c:v>341.85098785144049</c:v>
                </c:pt>
                <c:pt idx="430">
                  <c:v>346.19801781788732</c:v>
                </c:pt>
                <c:pt idx="431">
                  <c:v>341.50042091866254</c:v>
                </c:pt>
                <c:pt idx="432">
                  <c:v>405.08506078888774</c:v>
                </c:pt>
                <c:pt idx="433">
                  <c:v>399.73869242922279</c:v>
                </c:pt>
                <c:pt idx="434">
                  <c:v>396.69423266885804</c:v>
                </c:pt>
                <c:pt idx="435">
                  <c:v>394.54083430177076</c:v>
                </c:pt>
                <c:pt idx="436">
                  <c:v>381.99171967977946</c:v>
                </c:pt>
                <c:pt idx="437">
                  <c:v>392.23892570247057</c:v>
                </c:pt>
                <c:pt idx="438">
                  <c:v>392.01616035415122</c:v>
                </c:pt>
                <c:pt idx="439">
                  <c:v>389.93701710317038</c:v>
                </c:pt>
                <c:pt idx="440">
                  <c:v>386.29851641395402</c:v>
                </c:pt>
                <c:pt idx="441">
                  <c:v>388.30340454882833</c:v>
                </c:pt>
                <c:pt idx="442">
                  <c:v>419.86182889407274</c:v>
                </c:pt>
                <c:pt idx="443">
                  <c:v>430.7030758456155</c:v>
                </c:pt>
                <c:pt idx="444">
                  <c:v>408.05526543314602</c:v>
                </c:pt>
                <c:pt idx="445">
                  <c:v>397.95656964266783</c:v>
                </c:pt>
                <c:pt idx="446">
                  <c:v>393.79828314070619</c:v>
                </c:pt>
                <c:pt idx="447">
                  <c:v>393.72402802459976</c:v>
                </c:pt>
                <c:pt idx="448">
                  <c:v>394.24381383734499</c:v>
                </c:pt>
                <c:pt idx="449">
                  <c:v>392.38743593468354</c:v>
                </c:pt>
                <c:pt idx="450">
                  <c:v>391.7191398897254</c:v>
                </c:pt>
                <c:pt idx="451">
                  <c:v>389.93701710317038</c:v>
                </c:pt>
                <c:pt idx="452">
                  <c:v>386.22426129784753</c:v>
                </c:pt>
                <c:pt idx="453">
                  <c:v>395.43189569504824</c:v>
                </c:pt>
                <c:pt idx="454">
                  <c:v>384.7391589757184</c:v>
                </c:pt>
                <c:pt idx="455">
                  <c:v>384.21937316297323</c:v>
                </c:pt>
                <c:pt idx="456">
                  <c:v>384.88766920793131</c:v>
                </c:pt>
                <c:pt idx="457">
                  <c:v>387.56085338776376</c:v>
                </c:pt>
                <c:pt idx="458">
                  <c:v>378.05619852613728</c:v>
                </c:pt>
                <c:pt idx="459">
                  <c:v>377.61066782949848</c:v>
                </c:pt>
                <c:pt idx="460">
                  <c:v>373.00685063089816</c:v>
                </c:pt>
                <c:pt idx="461">
                  <c:v>373.74940179196267</c:v>
                </c:pt>
                <c:pt idx="462">
                  <c:v>417.63417541087904</c:v>
                </c:pt>
                <c:pt idx="463">
                  <c:v>404.34250962782318</c:v>
                </c:pt>
                <c:pt idx="464">
                  <c:v>371.96727900540776</c:v>
                </c:pt>
                <c:pt idx="465">
                  <c:v>400.85251917081968</c:v>
                </c:pt>
                <c:pt idx="466">
                  <c:v>398.99614126815823</c:v>
                </c:pt>
                <c:pt idx="467">
                  <c:v>395.06062011451598</c:v>
                </c:pt>
                <c:pt idx="468">
                  <c:v>394.02104848902559</c:v>
                </c:pt>
                <c:pt idx="469">
                  <c:v>399.73869242922279</c:v>
                </c:pt>
                <c:pt idx="470">
                  <c:v>411.39674565793655</c:v>
                </c:pt>
                <c:pt idx="471">
                  <c:v>388.15489431661547</c:v>
                </c:pt>
                <c:pt idx="472">
                  <c:v>385.40745502067648</c:v>
                </c:pt>
                <c:pt idx="473">
                  <c:v>382.73427084084403</c:v>
                </c:pt>
                <c:pt idx="474">
                  <c:v>383.9223526985474</c:v>
                </c:pt>
                <c:pt idx="475">
                  <c:v>382.80852595695052</c:v>
                </c:pt>
                <c:pt idx="476">
                  <c:v>375.53152457851769</c:v>
                </c:pt>
                <c:pt idx="477">
                  <c:v>382.43725037641821</c:v>
                </c:pt>
                <c:pt idx="478">
                  <c:v>378.13045364224371</c:v>
                </c:pt>
                <c:pt idx="479">
                  <c:v>370.31702279301169</c:v>
                </c:pt>
                <c:pt idx="480">
                  <c:v>363.51602429711909</c:v>
                </c:pt>
                <c:pt idx="481">
                  <c:v>363.30568413745232</c:v>
                </c:pt>
                <c:pt idx="482">
                  <c:v>361.48273608700686</c:v>
                </c:pt>
                <c:pt idx="483">
                  <c:v>349.77380053222259</c:v>
                </c:pt>
                <c:pt idx="484">
                  <c:v>348.5818729607775</c:v>
                </c:pt>
                <c:pt idx="485">
                  <c:v>332.87647437232448</c:v>
                </c:pt>
                <c:pt idx="486">
                  <c:v>336.94305079254889</c:v>
                </c:pt>
                <c:pt idx="487">
                  <c:v>327.26740344787692</c:v>
                </c:pt>
                <c:pt idx="488">
                  <c:v>317.80209626287166</c:v>
                </c:pt>
                <c:pt idx="489">
                  <c:v>320.11583801920631</c:v>
                </c:pt>
                <c:pt idx="490">
                  <c:v>315.06897367853293</c:v>
                </c:pt>
                <c:pt idx="491">
                  <c:v>310.58517648327944</c:v>
                </c:pt>
                <c:pt idx="492">
                  <c:v>305.61096396979508</c:v>
                </c:pt>
                <c:pt idx="493">
                  <c:v>294.12123365695794</c:v>
                </c:pt>
                <c:pt idx="494">
                  <c:v>290.54820776699034</c:v>
                </c:pt>
                <c:pt idx="495">
                  <c:v>301.82776008629992</c:v>
                </c:pt>
                <c:pt idx="496">
                  <c:v>298.25473419633227</c:v>
                </c:pt>
                <c:pt idx="497">
                  <c:v>358.11729353233829</c:v>
                </c:pt>
                <c:pt idx="498">
                  <c:v>371.37323807655605</c:v>
                </c:pt>
                <c:pt idx="499">
                  <c:v>374.0464222563885</c:v>
                </c:pt>
                <c:pt idx="500">
                  <c:v>365.61942589378691</c:v>
                </c:pt>
                <c:pt idx="501">
                  <c:v>386.44702664616688</c:v>
                </c:pt>
                <c:pt idx="502">
                  <c:v>384.21937316297323</c:v>
                </c:pt>
                <c:pt idx="503">
                  <c:v>391.7191398897254</c:v>
                </c:pt>
                <c:pt idx="504">
                  <c:v>387.85787385218964</c:v>
                </c:pt>
                <c:pt idx="505">
                  <c:v>386.29851641395402</c:v>
                </c:pt>
                <c:pt idx="506">
                  <c:v>380.80363782207615</c:v>
                </c:pt>
                <c:pt idx="507">
                  <c:v>379.91257642879867</c:v>
                </c:pt>
                <c:pt idx="508">
                  <c:v>381.10065828650198</c:v>
                </c:pt>
                <c:pt idx="509">
                  <c:v>378.65023945498888</c:v>
                </c:pt>
                <c:pt idx="510">
                  <c:v>374.86322853355961</c:v>
                </c:pt>
                <c:pt idx="511">
                  <c:v>373.74940179196267</c:v>
                </c:pt>
                <c:pt idx="512">
                  <c:v>372.26429946983359</c:v>
                </c:pt>
                <c:pt idx="513">
                  <c:v>370.2469094064561</c:v>
                </c:pt>
                <c:pt idx="514">
                  <c:v>362.81489043156313</c:v>
                </c:pt>
                <c:pt idx="515">
                  <c:v>361.69307624667363</c:v>
                </c:pt>
                <c:pt idx="516">
                  <c:v>360.43103528867294</c:v>
                </c:pt>
                <c:pt idx="517">
                  <c:v>354.4012840448919</c:v>
                </c:pt>
                <c:pt idx="518">
                  <c:v>345.70722411199819</c:v>
                </c:pt>
                <c:pt idx="519">
                  <c:v>348.23130602799955</c:v>
                </c:pt>
                <c:pt idx="520">
                  <c:v>340.72917366655099</c:v>
                </c:pt>
                <c:pt idx="521">
                  <c:v>339.74758625477267</c:v>
                </c:pt>
                <c:pt idx="522">
                  <c:v>333.57760823788038</c:v>
                </c:pt>
                <c:pt idx="523">
                  <c:v>332.03511373365728</c:v>
                </c:pt>
                <c:pt idx="524">
                  <c:v>326.6363829688766</c:v>
                </c:pt>
                <c:pt idx="525">
                  <c:v>326.56626958232096</c:v>
                </c:pt>
                <c:pt idx="526">
                  <c:v>324.60309475876437</c:v>
                </c:pt>
                <c:pt idx="527">
                  <c:v>316.04980431499462</c:v>
                </c:pt>
                <c:pt idx="528">
                  <c:v>316.96073562420457</c:v>
                </c:pt>
                <c:pt idx="529">
                  <c:v>318.71357028809445</c:v>
                </c:pt>
                <c:pt idx="530">
                  <c:v>314.22826170442289</c:v>
                </c:pt>
                <c:pt idx="531">
                  <c:v>318.92391044776122</c:v>
                </c:pt>
                <c:pt idx="532">
                  <c:v>314.15820237324704</c:v>
                </c:pt>
                <c:pt idx="533">
                  <c:v>313.03725307443364</c:v>
                </c:pt>
                <c:pt idx="534">
                  <c:v>284.80334261057175</c:v>
                </c:pt>
                <c:pt idx="535">
                  <c:v>299.23556483279395</c:v>
                </c:pt>
                <c:pt idx="536">
                  <c:v>304.41995533980582</c:v>
                </c:pt>
                <c:pt idx="537">
                  <c:v>293.70087766990292</c:v>
                </c:pt>
                <c:pt idx="538">
                  <c:v>295.52242028047465</c:v>
                </c:pt>
                <c:pt idx="539">
                  <c:v>294.75176763754041</c:v>
                </c:pt>
                <c:pt idx="540">
                  <c:v>285.78417324703349</c:v>
                </c:pt>
                <c:pt idx="541">
                  <c:v>275.90580755124057</c:v>
                </c:pt>
                <c:pt idx="542">
                  <c:v>282.91174066882417</c:v>
                </c:pt>
                <c:pt idx="543">
                  <c:v>274.71479892125132</c:v>
                </c:pt>
                <c:pt idx="544">
                  <c:v>278.21776548004311</c:v>
                </c:pt>
                <c:pt idx="545">
                  <c:v>275.83574822006472</c:v>
                </c:pt>
                <c:pt idx="546">
                  <c:v>268.5767675587997</c:v>
                </c:pt>
                <c:pt idx="547">
                  <c:v>267.70980892133014</c:v>
                </c:pt>
                <c:pt idx="548">
                  <c:v>265.18117956204378</c:v>
                </c:pt>
                <c:pt idx="549">
                  <c:v>265.68690543390107</c:v>
                </c:pt>
                <c:pt idx="550">
                  <c:v>265.18117956204378</c:v>
                </c:pt>
                <c:pt idx="551">
                  <c:v>256.87282595296028</c:v>
                </c:pt>
                <c:pt idx="552">
                  <c:v>259.47370186536904</c:v>
                </c:pt>
                <c:pt idx="553">
                  <c:v>248.49222579075425</c:v>
                </c:pt>
                <c:pt idx="554">
                  <c:v>256.5115931873479</c:v>
                </c:pt>
                <c:pt idx="555">
                  <c:v>248.85345855636655</c:v>
                </c:pt>
                <c:pt idx="556">
                  <c:v>248.92570510948906</c:v>
                </c:pt>
                <c:pt idx="557">
                  <c:v>244.30192570965127</c:v>
                </c:pt>
                <c:pt idx="558">
                  <c:v>239.605899756691</c:v>
                </c:pt>
                <c:pt idx="559">
                  <c:v>245.6746102189781</c:v>
                </c:pt>
                <c:pt idx="560">
                  <c:v>236.28255831305759</c:v>
                </c:pt>
                <c:pt idx="561">
                  <c:v>241.77329635036494</c:v>
                </c:pt>
                <c:pt idx="562">
                  <c:v>248.13099302514195</c:v>
                </c:pt>
                <c:pt idx="563">
                  <c:v>224.66920013315578</c:v>
                </c:pt>
                <c:pt idx="564">
                  <c:v>237.36625660989455</c:v>
                </c:pt>
                <c:pt idx="565">
                  <c:v>232.38124444444446</c:v>
                </c:pt>
                <c:pt idx="566">
                  <c:v>229.7790536617843</c:v>
                </c:pt>
                <c:pt idx="567">
                  <c:v>226.34815200684798</c:v>
                </c:pt>
                <c:pt idx="568">
                  <c:v>213.64651609282862</c:v>
                </c:pt>
                <c:pt idx="569">
                  <c:v>217.44240728552404</c:v>
                </c:pt>
                <c:pt idx="570">
                  <c:v>209.99662071523682</c:v>
                </c:pt>
                <c:pt idx="571">
                  <c:v>210.28861234544419</c:v>
                </c:pt>
                <c:pt idx="572">
                  <c:v>220.72731312535666</c:v>
                </c:pt>
                <c:pt idx="573">
                  <c:v>217.58840310062774</c:v>
                </c:pt>
                <c:pt idx="574">
                  <c:v>210.361610252996</c:v>
                </c:pt>
                <c:pt idx="575">
                  <c:v>197.80597015408028</c:v>
                </c:pt>
                <c:pt idx="576">
                  <c:v>202.33184042229411</c:v>
                </c:pt>
                <c:pt idx="577">
                  <c:v>218.68337171390527</c:v>
                </c:pt>
                <c:pt idx="578">
                  <c:v>220.14332986494199</c:v>
                </c:pt>
                <c:pt idx="579">
                  <c:v>211.09158932851437</c:v>
                </c:pt>
                <c:pt idx="580">
                  <c:v>207.80668348868176</c:v>
                </c:pt>
                <c:pt idx="581">
                  <c:v>206.41972324519688</c:v>
                </c:pt>
                <c:pt idx="582">
                  <c:v>197.65997433897661</c:v>
                </c:pt>
                <c:pt idx="583">
                  <c:v>206.41972324519688</c:v>
                </c:pt>
                <c:pt idx="584">
                  <c:v>190.52340853299705</c:v>
                </c:pt>
                <c:pt idx="585">
                  <c:v>189.06170613703236</c:v>
                </c:pt>
                <c:pt idx="586">
                  <c:v>189.13131101303068</c:v>
                </c:pt>
                <c:pt idx="587">
                  <c:v>174.6534968053804</c:v>
                </c:pt>
                <c:pt idx="588">
                  <c:v>175.97598944934845</c:v>
                </c:pt>
                <c:pt idx="589">
                  <c:v>172.7741651534258</c:v>
                </c:pt>
                <c:pt idx="590">
                  <c:v>169.85076036149641</c:v>
                </c:pt>
                <c:pt idx="591">
                  <c:v>165.81367755359392</c:v>
                </c:pt>
                <c:pt idx="592">
                  <c:v>161.19564577376471</c:v>
                </c:pt>
                <c:pt idx="593">
                  <c:v>165.39238517682466</c:v>
                </c:pt>
                <c:pt idx="594">
                  <c:v>387.85787385218964</c:v>
                </c:pt>
                <c:pt idx="595">
                  <c:v>381.54618898314072</c:v>
                </c:pt>
                <c:pt idx="596">
                  <c:v>384.44213851129257</c:v>
                </c:pt>
                <c:pt idx="597">
                  <c:v>378.57598433888245</c:v>
                </c:pt>
                <c:pt idx="598">
                  <c:v>374.71471830134664</c:v>
                </c:pt>
                <c:pt idx="599">
                  <c:v>369.61588892745573</c:v>
                </c:pt>
                <c:pt idx="600">
                  <c:v>355.31275807011457</c:v>
                </c:pt>
                <c:pt idx="601">
                  <c:v>351.52663519611247</c:v>
                </c:pt>
                <c:pt idx="602">
                  <c:v>357.90695337267158</c:v>
                </c:pt>
                <c:pt idx="603">
                  <c:v>359.72990142311698</c:v>
                </c:pt>
                <c:pt idx="604">
                  <c:v>351.03584149022333</c:v>
                </c:pt>
                <c:pt idx="605">
                  <c:v>353.41969663311352</c:v>
                </c:pt>
                <c:pt idx="606">
                  <c:v>350.05425407844501</c:v>
                </c:pt>
                <c:pt idx="607">
                  <c:v>346.68881152377651</c:v>
                </c:pt>
                <c:pt idx="608">
                  <c:v>345.28654379266459</c:v>
                </c:pt>
                <c:pt idx="609">
                  <c:v>338.97633900266112</c:v>
                </c:pt>
                <c:pt idx="610">
                  <c:v>325.93524910332064</c:v>
                </c:pt>
                <c:pt idx="611">
                  <c:v>324.46286798565313</c:v>
                </c:pt>
                <c:pt idx="612">
                  <c:v>319.90549785953954</c:v>
                </c:pt>
                <c:pt idx="613">
                  <c:v>311.70612578209278</c:v>
                </c:pt>
                <c:pt idx="614">
                  <c:v>335.04998935554784</c:v>
                </c:pt>
                <c:pt idx="615">
                  <c:v>324.88354830498673</c:v>
                </c:pt>
                <c:pt idx="616">
                  <c:v>324.81343491843108</c:v>
                </c:pt>
                <c:pt idx="617">
                  <c:v>313.38754973031286</c:v>
                </c:pt>
                <c:pt idx="618">
                  <c:v>311.84624444444449</c:v>
                </c:pt>
                <c:pt idx="619">
                  <c:v>311.07559180151026</c:v>
                </c:pt>
                <c:pt idx="620">
                  <c:v>311.98636310679615</c:v>
                </c:pt>
                <c:pt idx="621">
                  <c:v>297.9744968716289</c:v>
                </c:pt>
                <c:pt idx="622">
                  <c:v>301.96787874865157</c:v>
                </c:pt>
                <c:pt idx="623">
                  <c:v>297.83437820927725</c:v>
                </c:pt>
                <c:pt idx="624">
                  <c:v>294.26135231930959</c:v>
                </c:pt>
                <c:pt idx="625">
                  <c:v>287.81589385113273</c:v>
                </c:pt>
                <c:pt idx="626">
                  <c:v>288.79672448759442</c:v>
                </c:pt>
                <c:pt idx="627">
                  <c:v>279.26865544768066</c:v>
                </c:pt>
                <c:pt idx="628">
                  <c:v>278.28782481121902</c:v>
                </c:pt>
                <c:pt idx="629">
                  <c:v>276.5363415318231</c:v>
                </c:pt>
                <c:pt idx="630">
                  <c:v>275.69562955771306</c:v>
                </c:pt>
                <c:pt idx="631">
                  <c:v>286.20452923408845</c:v>
                </c:pt>
                <c:pt idx="632">
                  <c:v>271.70224768069039</c:v>
                </c:pt>
                <c:pt idx="633">
                  <c:v>271.28189169363543</c:v>
                </c:pt>
                <c:pt idx="634">
                  <c:v>267.99879513381995</c:v>
                </c:pt>
                <c:pt idx="635">
                  <c:v>259.11246909975665</c:v>
                </c:pt>
                <c:pt idx="636">
                  <c:v>291.03862308522116</c:v>
                </c:pt>
                <c:pt idx="637">
                  <c:v>265.54241232765611</c:v>
                </c:pt>
                <c:pt idx="638">
                  <c:v>369.96645586023374</c:v>
                </c:pt>
                <c:pt idx="639">
                  <c:v>368.00328103667709</c:v>
                </c:pt>
                <c:pt idx="640">
                  <c:v>360.01035496933935</c:v>
                </c:pt>
                <c:pt idx="641">
                  <c:v>355.59321161633693</c:v>
                </c:pt>
                <c:pt idx="642">
                  <c:v>350.68527455744538</c:v>
                </c:pt>
                <c:pt idx="643">
                  <c:v>341.71076107832931</c:v>
                </c:pt>
                <c:pt idx="644">
                  <c:v>309.81452384034526</c:v>
                </c:pt>
                <c:pt idx="645">
                  <c:v>304.06965868392666</c:v>
                </c:pt>
                <c:pt idx="646">
                  <c:v>295.94277626752967</c:v>
                </c:pt>
                <c:pt idx="647">
                  <c:v>293.91105566343043</c:v>
                </c:pt>
                <c:pt idx="648">
                  <c:v>287.18535987055014</c:v>
                </c:pt>
                <c:pt idx="649">
                  <c:v>276.04592621359222</c:v>
                </c:pt>
                <c:pt idx="650">
                  <c:v>281.16025738942824</c:v>
                </c:pt>
                <c:pt idx="651">
                  <c:v>269.37147964314681</c:v>
                </c:pt>
                <c:pt idx="652">
                  <c:v>258.75123633414438</c:v>
                </c:pt>
                <c:pt idx="653">
                  <c:v>258.31775701540954</c:v>
                </c:pt>
                <c:pt idx="654">
                  <c:v>259.40145531224653</c:v>
                </c:pt>
                <c:pt idx="655">
                  <c:v>249.50367753446878</c:v>
                </c:pt>
                <c:pt idx="656">
                  <c:v>238.01647558799672</c:v>
                </c:pt>
                <c:pt idx="657">
                  <c:v>237.29401005677212</c:v>
                </c:pt>
                <c:pt idx="658">
                  <c:v>239.17242043795619</c:v>
                </c:pt>
                <c:pt idx="659">
                  <c:v>229.19507040136958</c:v>
                </c:pt>
                <c:pt idx="660">
                  <c:v>220.28932568004564</c:v>
                </c:pt>
                <c:pt idx="661">
                  <c:v>216.20144285714284</c:v>
                </c:pt>
                <c:pt idx="662">
                  <c:v>215.32546796652082</c:v>
                </c:pt>
                <c:pt idx="663">
                  <c:v>425.35670748595061</c:v>
                </c:pt>
                <c:pt idx="664">
                  <c:v>384.36788339518608</c:v>
                </c:pt>
                <c:pt idx="665">
                  <c:v>363.16545736434114</c:v>
                </c:pt>
                <c:pt idx="666">
                  <c:v>478.73501387929281</c:v>
                </c:pt>
                <c:pt idx="667">
                  <c:v>380.4323622415439</c:v>
                </c:pt>
                <c:pt idx="668">
                  <c:v>375.53152457851769</c:v>
                </c:pt>
                <c:pt idx="669">
                  <c:v>366.18033298623169</c:v>
                </c:pt>
                <c:pt idx="670">
                  <c:v>362.88500381811878</c:v>
                </c:pt>
                <c:pt idx="671">
                  <c:v>366.11021959967604</c:v>
                </c:pt>
                <c:pt idx="672">
                  <c:v>361.83330301978481</c:v>
                </c:pt>
                <c:pt idx="673">
                  <c:v>343.88427606155273</c:v>
                </c:pt>
                <c:pt idx="674">
                  <c:v>346.26813120444291</c:v>
                </c:pt>
                <c:pt idx="675">
                  <c:v>343.11302880944123</c:v>
                </c:pt>
                <c:pt idx="676">
                  <c:v>337.15339095221572</c:v>
                </c:pt>
                <c:pt idx="677">
                  <c:v>328.9501247252112</c:v>
                </c:pt>
                <c:pt idx="678">
                  <c:v>325.51456878398704</c:v>
                </c:pt>
                <c:pt idx="679">
                  <c:v>319.48481754020594</c:v>
                </c:pt>
                <c:pt idx="680">
                  <c:v>315.90968565264296</c:v>
                </c:pt>
                <c:pt idx="681">
                  <c:v>313.52766839266451</c:v>
                </c:pt>
                <c:pt idx="682">
                  <c:v>314.36838036677455</c:v>
                </c:pt>
                <c:pt idx="683">
                  <c:v>307.71274390507011</c:v>
                </c:pt>
                <c:pt idx="684">
                  <c:v>308.4133372168285</c:v>
                </c:pt>
                <c:pt idx="685">
                  <c:v>304.13971801510252</c:v>
                </c:pt>
                <c:pt idx="686">
                  <c:v>293.21046235167205</c:v>
                </c:pt>
                <c:pt idx="687">
                  <c:v>287.74583451995682</c:v>
                </c:pt>
                <c:pt idx="688">
                  <c:v>286.62488522114347</c:v>
                </c:pt>
                <c:pt idx="689">
                  <c:v>284.38298662351673</c:v>
                </c:pt>
                <c:pt idx="690">
                  <c:v>275.20521423948219</c:v>
                </c:pt>
                <c:pt idx="691">
                  <c:v>270.58129838187705</c:v>
                </c:pt>
                <c:pt idx="692">
                  <c:v>281.5105540453074</c:v>
                </c:pt>
                <c:pt idx="693">
                  <c:v>327.05706328821009</c:v>
                </c:pt>
                <c:pt idx="694">
                  <c:v>324.95366169154232</c:v>
                </c:pt>
                <c:pt idx="695">
                  <c:v>318.78368367464998</c:v>
                </c:pt>
                <c:pt idx="696">
                  <c:v>318.15266319564967</c:v>
                </c:pt>
                <c:pt idx="697">
                  <c:v>315.41927033441209</c:v>
                </c:pt>
                <c:pt idx="698">
                  <c:v>310.09476116504857</c:v>
                </c:pt>
                <c:pt idx="699">
                  <c:v>306.66185393743257</c:v>
                </c:pt>
                <c:pt idx="700">
                  <c:v>306.31155728155341</c:v>
                </c:pt>
                <c:pt idx="701">
                  <c:v>302.94870938511326</c:v>
                </c:pt>
                <c:pt idx="702">
                  <c:v>297.9044375404531</c:v>
                </c:pt>
                <c:pt idx="703">
                  <c:v>285.0135206040992</c:v>
                </c:pt>
                <c:pt idx="704">
                  <c:v>287.18535987055014</c:v>
                </c:pt>
                <c:pt idx="705">
                  <c:v>284.73328327939589</c:v>
                </c:pt>
                <c:pt idx="706">
                  <c:v>271.9124256742179</c:v>
                </c:pt>
                <c:pt idx="707">
                  <c:v>273.59384962243797</c:v>
                </c:pt>
                <c:pt idx="708">
                  <c:v>269.22698653690185</c:v>
                </c:pt>
                <c:pt idx="709">
                  <c:v>264.89219334955396</c:v>
                </c:pt>
                <c:pt idx="710">
                  <c:v>264.45871403081912</c:v>
                </c:pt>
                <c:pt idx="711">
                  <c:v>265.18117956204378</c:v>
                </c:pt>
                <c:pt idx="712">
                  <c:v>316.18992297734627</c:v>
                </c:pt>
                <c:pt idx="713">
                  <c:v>317.24118917042694</c:v>
                </c:pt>
                <c:pt idx="714">
                  <c:v>322.71003332176326</c:v>
                </c:pt>
                <c:pt idx="715">
                  <c:v>325.30422862432027</c:v>
                </c:pt>
                <c:pt idx="716">
                  <c:v>318.08254980909408</c:v>
                </c:pt>
                <c:pt idx="717">
                  <c:v>310.65523581445524</c:v>
                </c:pt>
                <c:pt idx="718">
                  <c:v>424.76266655709895</c:v>
                </c:pt>
                <c:pt idx="719">
                  <c:v>380.87789293818258</c:v>
                </c:pt>
                <c:pt idx="720">
                  <c:v>365.19874557445337</c:v>
                </c:pt>
                <c:pt idx="721">
                  <c:v>365.12863218789772</c:v>
                </c:pt>
                <c:pt idx="722">
                  <c:v>367.65271410389914</c:v>
                </c:pt>
                <c:pt idx="723">
                  <c:v>354.68173759111426</c:v>
                </c:pt>
                <c:pt idx="724">
                  <c:v>363.09534397778549</c:v>
                </c:pt>
                <c:pt idx="725">
                  <c:v>368.35384796945505</c:v>
                </c:pt>
                <c:pt idx="726">
                  <c:v>365.47919912067573</c:v>
                </c:pt>
                <c:pt idx="727">
                  <c:v>364.07693138956381</c:v>
                </c:pt>
                <c:pt idx="728">
                  <c:v>362.32409672567394</c:v>
                </c:pt>
                <c:pt idx="729">
                  <c:v>355.10241791044774</c:v>
                </c:pt>
                <c:pt idx="730">
                  <c:v>352.71856276755761</c:v>
                </c:pt>
                <c:pt idx="731">
                  <c:v>338.27520513710516</c:v>
                </c:pt>
                <c:pt idx="732">
                  <c:v>332.94658775888001</c:v>
                </c:pt>
                <c:pt idx="733">
                  <c:v>370.2469094064561</c:v>
                </c:pt>
                <c:pt idx="734">
                  <c:v>370.2469094064561</c:v>
                </c:pt>
                <c:pt idx="735">
                  <c:v>361.06205576767326</c:v>
                </c:pt>
                <c:pt idx="736">
                  <c:v>358.39774707856071</c:v>
                </c:pt>
                <c:pt idx="737">
                  <c:v>353.34958324655793</c:v>
                </c:pt>
                <c:pt idx="738">
                  <c:v>342.13144139766291</c:v>
                </c:pt>
                <c:pt idx="739">
                  <c:v>343.53370912877472</c:v>
                </c:pt>
                <c:pt idx="740">
                  <c:v>333.22704130510243</c:v>
                </c:pt>
                <c:pt idx="741">
                  <c:v>329.72137197732269</c:v>
                </c:pt>
                <c:pt idx="742">
                  <c:v>317.24118917042694</c:v>
                </c:pt>
                <c:pt idx="743">
                  <c:v>312.75701574973033</c:v>
                </c:pt>
                <c:pt idx="744">
                  <c:v>301.4074040992449</c:v>
                </c:pt>
                <c:pt idx="745">
                  <c:v>299.02538683926645</c:v>
                </c:pt>
                <c:pt idx="746">
                  <c:v>311.0055324703344</c:v>
                </c:pt>
                <c:pt idx="747">
                  <c:v>320.88708527131786</c:v>
                </c:pt>
                <c:pt idx="748">
                  <c:v>316.68033829557714</c:v>
                </c:pt>
                <c:pt idx="749">
                  <c:v>315.76956699029125</c:v>
                </c:pt>
                <c:pt idx="750">
                  <c:v>298.04455620280476</c:v>
                </c:pt>
                <c:pt idx="751">
                  <c:v>294.12123365695794</c:v>
                </c:pt>
                <c:pt idx="752">
                  <c:v>290.89850442286945</c:v>
                </c:pt>
                <c:pt idx="753">
                  <c:v>288.93684314994607</c:v>
                </c:pt>
                <c:pt idx="754">
                  <c:v>280.38960474649406</c:v>
                </c:pt>
                <c:pt idx="755">
                  <c:v>289.98773311758362</c:v>
                </c:pt>
                <c:pt idx="756">
                  <c:v>271.00165436893201</c:v>
                </c:pt>
                <c:pt idx="757">
                  <c:v>267.13183649635033</c:v>
                </c:pt>
                <c:pt idx="758">
                  <c:v>265.03668645579887</c:v>
                </c:pt>
                <c:pt idx="759">
                  <c:v>260.48515360908357</c:v>
                </c:pt>
                <c:pt idx="760">
                  <c:v>257.23405871857261</c:v>
                </c:pt>
                <c:pt idx="761">
                  <c:v>259.47370186536904</c:v>
                </c:pt>
                <c:pt idx="762">
                  <c:v>263.51950884022705</c:v>
                </c:pt>
                <c:pt idx="763">
                  <c:v>248.70896545012167</c:v>
                </c:pt>
                <c:pt idx="764">
                  <c:v>248.63671889699921</c:v>
                </c:pt>
                <c:pt idx="765">
                  <c:v>294.05117432578214</c:v>
                </c:pt>
                <c:pt idx="766">
                  <c:v>335.40055628832584</c:v>
                </c:pt>
                <c:pt idx="767">
                  <c:v>344.37506976744191</c:v>
                </c:pt>
                <c:pt idx="768">
                  <c:v>365.96999282656486</c:v>
                </c:pt>
                <c:pt idx="769">
                  <c:v>356.36445886844842</c:v>
                </c:pt>
                <c:pt idx="770">
                  <c:v>381.10065828650198</c:v>
                </c:pt>
                <c:pt idx="771">
                  <c:v>336.45225708665976</c:v>
                </c:pt>
                <c:pt idx="772">
                  <c:v>360.64137544833977</c:v>
                </c:pt>
                <c:pt idx="773">
                  <c:v>358.25752030544953</c:v>
                </c:pt>
                <c:pt idx="774">
                  <c:v>375.16024899798543</c:v>
                </c:pt>
                <c:pt idx="775">
                  <c:v>355.66332500289258</c:v>
                </c:pt>
                <c:pt idx="776">
                  <c:v>354.12083049866948</c:v>
                </c:pt>
                <c:pt idx="777">
                  <c:v>348.79221312044433</c:v>
                </c:pt>
                <c:pt idx="778">
                  <c:v>403.52570335065212</c:v>
                </c:pt>
                <c:pt idx="779">
                  <c:v>376.49684108790166</c:v>
                </c:pt>
                <c:pt idx="780">
                  <c:v>369.75611570056697</c:v>
                </c:pt>
                <c:pt idx="781">
                  <c:v>363.23557075089673</c:v>
                </c:pt>
                <c:pt idx="782">
                  <c:v>361.76318963322922</c:v>
                </c:pt>
                <c:pt idx="783">
                  <c:v>358.95865417100549</c:v>
                </c:pt>
                <c:pt idx="784">
                  <c:v>357.97706675922717</c:v>
                </c:pt>
                <c:pt idx="785">
                  <c:v>356.2242320953373</c:v>
                </c:pt>
                <c:pt idx="786">
                  <c:v>356.71502580122643</c:v>
                </c:pt>
                <c:pt idx="787">
                  <c:v>344.37506976744191</c:v>
                </c:pt>
                <c:pt idx="788">
                  <c:v>351.45652180955688</c:v>
                </c:pt>
                <c:pt idx="789">
                  <c:v>351.6668619692237</c:v>
                </c:pt>
                <c:pt idx="790">
                  <c:v>356.71502580122643</c:v>
                </c:pt>
                <c:pt idx="791">
                  <c:v>353.48981001966911</c:v>
                </c:pt>
                <c:pt idx="792">
                  <c:v>353.77026356589147</c:v>
                </c:pt>
                <c:pt idx="793">
                  <c:v>349.07266666666669</c:v>
                </c:pt>
                <c:pt idx="794">
                  <c:v>341.7808744648849</c:v>
                </c:pt>
                <c:pt idx="795">
                  <c:v>307.43250658036681</c:v>
                </c:pt>
                <c:pt idx="796">
                  <c:v>336.38214370010417</c:v>
                </c:pt>
                <c:pt idx="797">
                  <c:v>337.50395788499367</c:v>
                </c:pt>
                <c:pt idx="798">
                  <c:v>320.11583801920631</c:v>
                </c:pt>
                <c:pt idx="799">
                  <c:v>311.0055324703344</c:v>
                </c:pt>
                <c:pt idx="800">
                  <c:v>304.34989600863003</c:v>
                </c:pt>
                <c:pt idx="801">
                  <c:v>307.29238791801509</c:v>
                </c:pt>
                <c:pt idx="802">
                  <c:v>351.31629503644569</c:v>
                </c:pt>
                <c:pt idx="803">
                  <c:v>334.20862871688075</c:v>
                </c:pt>
                <c:pt idx="804">
                  <c:v>353.77026356589147</c:v>
                </c:pt>
                <c:pt idx="805">
                  <c:v>341.7808744648849</c:v>
                </c:pt>
                <c:pt idx="806">
                  <c:v>340.86940043966217</c:v>
                </c:pt>
                <c:pt idx="807">
                  <c:v>333.57760823788038</c:v>
                </c:pt>
                <c:pt idx="808">
                  <c:v>327.05706328821009</c:v>
                </c:pt>
                <c:pt idx="809">
                  <c:v>321.86867268309618</c:v>
                </c:pt>
                <c:pt idx="810">
                  <c:v>315.76956699029125</c:v>
                </c:pt>
                <c:pt idx="811">
                  <c:v>316.40010097087378</c:v>
                </c:pt>
                <c:pt idx="812">
                  <c:v>310.9354731391586</c:v>
                </c:pt>
                <c:pt idx="813">
                  <c:v>294.96194563106798</c:v>
                </c:pt>
                <c:pt idx="814">
                  <c:v>292.79010636461709</c:v>
                </c:pt>
                <c:pt idx="815">
                  <c:v>288.09613117583604</c:v>
                </c:pt>
                <c:pt idx="816">
                  <c:v>290.82844509169365</c:v>
                </c:pt>
                <c:pt idx="817">
                  <c:v>282.35126601941749</c:v>
                </c:pt>
                <c:pt idx="818">
                  <c:v>276.95669751887812</c:v>
                </c:pt>
                <c:pt idx="819">
                  <c:v>268.86575377128952</c:v>
                </c:pt>
                <c:pt idx="820">
                  <c:v>265.97589164639095</c:v>
                </c:pt>
                <c:pt idx="821">
                  <c:v>266.55386407137064</c:v>
                </c:pt>
                <c:pt idx="822">
                  <c:v>260.55740016220602</c:v>
                </c:pt>
                <c:pt idx="823">
                  <c:v>273.10343430420716</c:v>
                </c:pt>
                <c:pt idx="824">
                  <c:v>245.24113090024329</c:v>
                </c:pt>
                <c:pt idx="825">
                  <c:v>246.39707575020276</c:v>
                </c:pt>
                <c:pt idx="826">
                  <c:v>242.06228256285482</c:v>
                </c:pt>
                <c:pt idx="827">
                  <c:v>239.17242043795619</c:v>
                </c:pt>
                <c:pt idx="828">
                  <c:v>237.0772703974047</c:v>
                </c:pt>
                <c:pt idx="829">
                  <c:v>253.260498296837</c:v>
                </c:pt>
                <c:pt idx="830">
                  <c:v>236.35480486618005</c:v>
                </c:pt>
                <c:pt idx="831">
                  <c:v>234.5486410381184</c:v>
                </c:pt>
                <c:pt idx="832">
                  <c:v>237.65524282238442</c:v>
                </c:pt>
                <c:pt idx="833">
                  <c:v>229.92486163828062</c:v>
                </c:pt>
                <c:pt idx="834">
                  <c:v>246.75830851581506</c:v>
                </c:pt>
                <c:pt idx="835">
                  <c:v>232.88697031630173</c:v>
                </c:pt>
                <c:pt idx="836">
                  <c:v>217.66140100817955</c:v>
                </c:pt>
                <c:pt idx="837">
                  <c:v>215.17947215141717</c:v>
                </c:pt>
                <c:pt idx="838">
                  <c:v>243.07373430656932</c:v>
                </c:pt>
                <c:pt idx="839">
                  <c:v>211.74857049648085</c:v>
                </c:pt>
                <c:pt idx="840">
                  <c:v>205.25175672436751</c:v>
                </c:pt>
                <c:pt idx="841">
                  <c:v>191.01064266498528</c:v>
                </c:pt>
                <c:pt idx="842">
                  <c:v>204.66777346395281</c:v>
                </c:pt>
                <c:pt idx="843">
                  <c:v>182.72766242118536</c:v>
                </c:pt>
                <c:pt idx="844">
                  <c:v>177.02006258932326</c:v>
                </c:pt>
                <c:pt idx="845">
                  <c:v>166.02249218158889</c:v>
                </c:pt>
                <c:pt idx="846">
                  <c:v>170.47720424548129</c:v>
                </c:pt>
                <c:pt idx="847">
                  <c:v>160.05754695259591</c:v>
                </c:pt>
                <c:pt idx="848">
                  <c:v>157.78134931025832</c:v>
                </c:pt>
                <c:pt idx="849">
                  <c:v>146.18696756960119</c:v>
                </c:pt>
                <c:pt idx="850">
                  <c:v>143.98190110358664</c:v>
                </c:pt>
                <c:pt idx="851">
                  <c:v>142.41701522447954</c:v>
                </c:pt>
                <c:pt idx="852">
                  <c:v>136.16813743202414</c:v>
                </c:pt>
                <c:pt idx="853">
                  <c:v>130.27738214501508</c:v>
                </c:pt>
                <c:pt idx="854">
                  <c:v>127.62654226586102</c:v>
                </c:pt>
                <c:pt idx="855">
                  <c:v>124.2393579758308</c:v>
                </c:pt>
                <c:pt idx="856">
                  <c:v>125.19660570996979</c:v>
                </c:pt>
                <c:pt idx="857">
                  <c:v>151.59293697015298</c:v>
                </c:pt>
                <c:pt idx="858">
                  <c:v>154.93610225733633</c:v>
                </c:pt>
                <c:pt idx="859">
                  <c:v>143.55511404564834</c:v>
                </c:pt>
                <c:pt idx="860">
                  <c:v>142.9149334587409</c:v>
                </c:pt>
                <c:pt idx="861">
                  <c:v>137.86172957703926</c:v>
                </c:pt>
                <c:pt idx="862">
                  <c:v>126.9638322960725</c:v>
                </c:pt>
                <c:pt idx="863">
                  <c:v>155.93193872585903</c:v>
                </c:pt>
                <c:pt idx="864">
                  <c:v>122.54576583081568</c:v>
                </c:pt>
                <c:pt idx="865">
                  <c:v>118.42223712990935</c:v>
                </c:pt>
                <c:pt idx="866">
                  <c:v>114.55958</c:v>
                </c:pt>
                <c:pt idx="867">
                  <c:v>108.21291333333333</c:v>
                </c:pt>
                <c:pt idx="868">
                  <c:v>160.83998989214948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35-E54D-9BFF-9978C9CEB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235344"/>
        <c:axId val="641237056"/>
      </c:lineChart>
      <c:dateAx>
        <c:axId val="64123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7056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6412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Reservoir Capacity</a:t>
                </a:r>
                <a:r>
                  <a:rPr lang="en-GB" sz="1400" b="1" baseline="0"/>
                  <a:t> (MCM)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Info!$C$54</c:f>
          <c:strCache>
            <c:ptCount val="1"/>
            <c:pt idx="0">
              <c:v>Mirani Reservoir, Balochistan: Reservoir Water Area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Calcs!$D$4</c:f>
              <c:strCache>
                <c:ptCount val="1"/>
                <c:pt idx="0">
                  <c:v>Area (km2)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Calcs!$C$5:$C$873</c:f>
              <c:numCache>
                <c:formatCode>m/d/yy</c:formatCode>
                <c:ptCount val="869"/>
                <c:pt idx="0">
                  <c:v>38966</c:v>
                </c:pt>
                <c:pt idx="1">
                  <c:v>38982</c:v>
                </c:pt>
                <c:pt idx="2">
                  <c:v>39014</c:v>
                </c:pt>
                <c:pt idx="3">
                  <c:v>39174</c:v>
                </c:pt>
                <c:pt idx="4">
                  <c:v>39190</c:v>
                </c:pt>
                <c:pt idx="5">
                  <c:v>39206</c:v>
                </c:pt>
                <c:pt idx="6">
                  <c:v>39286</c:v>
                </c:pt>
                <c:pt idx="7">
                  <c:v>39302</c:v>
                </c:pt>
                <c:pt idx="8">
                  <c:v>39334</c:v>
                </c:pt>
                <c:pt idx="9">
                  <c:v>39350</c:v>
                </c:pt>
                <c:pt idx="10">
                  <c:v>39366</c:v>
                </c:pt>
                <c:pt idx="11">
                  <c:v>39478</c:v>
                </c:pt>
                <c:pt idx="12">
                  <c:v>39510</c:v>
                </c:pt>
                <c:pt idx="13">
                  <c:v>39526</c:v>
                </c:pt>
                <c:pt idx="14">
                  <c:v>39542</c:v>
                </c:pt>
                <c:pt idx="15">
                  <c:v>39558</c:v>
                </c:pt>
                <c:pt idx="16">
                  <c:v>39590</c:v>
                </c:pt>
                <c:pt idx="17">
                  <c:v>39606</c:v>
                </c:pt>
                <c:pt idx="18">
                  <c:v>39654</c:v>
                </c:pt>
                <c:pt idx="19">
                  <c:v>39670</c:v>
                </c:pt>
                <c:pt idx="20">
                  <c:v>39686</c:v>
                </c:pt>
                <c:pt idx="21">
                  <c:v>39702</c:v>
                </c:pt>
                <c:pt idx="22">
                  <c:v>39718</c:v>
                </c:pt>
                <c:pt idx="23">
                  <c:v>39734</c:v>
                </c:pt>
                <c:pt idx="24">
                  <c:v>39750</c:v>
                </c:pt>
                <c:pt idx="25">
                  <c:v>39766</c:v>
                </c:pt>
                <c:pt idx="26">
                  <c:v>39782</c:v>
                </c:pt>
                <c:pt idx="27">
                  <c:v>39878</c:v>
                </c:pt>
                <c:pt idx="28">
                  <c:v>39926</c:v>
                </c:pt>
                <c:pt idx="29">
                  <c:v>39942</c:v>
                </c:pt>
                <c:pt idx="30">
                  <c:v>39958</c:v>
                </c:pt>
                <c:pt idx="31">
                  <c:v>39974</c:v>
                </c:pt>
                <c:pt idx="32">
                  <c:v>39990</c:v>
                </c:pt>
                <c:pt idx="33">
                  <c:v>40070</c:v>
                </c:pt>
                <c:pt idx="34">
                  <c:v>40086</c:v>
                </c:pt>
                <c:pt idx="35">
                  <c:v>40102</c:v>
                </c:pt>
                <c:pt idx="36">
                  <c:v>40118</c:v>
                </c:pt>
                <c:pt idx="37">
                  <c:v>40134</c:v>
                </c:pt>
                <c:pt idx="38">
                  <c:v>40246</c:v>
                </c:pt>
                <c:pt idx="39">
                  <c:v>40262</c:v>
                </c:pt>
                <c:pt idx="40">
                  <c:v>40310</c:v>
                </c:pt>
                <c:pt idx="41">
                  <c:v>40326</c:v>
                </c:pt>
                <c:pt idx="42">
                  <c:v>40342</c:v>
                </c:pt>
                <c:pt idx="43">
                  <c:v>40358</c:v>
                </c:pt>
                <c:pt idx="44">
                  <c:v>40470</c:v>
                </c:pt>
                <c:pt idx="45">
                  <c:v>40486</c:v>
                </c:pt>
                <c:pt idx="46">
                  <c:v>40662</c:v>
                </c:pt>
                <c:pt idx="47">
                  <c:v>40678</c:v>
                </c:pt>
                <c:pt idx="48">
                  <c:v>40726</c:v>
                </c:pt>
                <c:pt idx="49">
                  <c:v>40742</c:v>
                </c:pt>
                <c:pt idx="50">
                  <c:v>40758</c:v>
                </c:pt>
                <c:pt idx="51">
                  <c:v>40806</c:v>
                </c:pt>
                <c:pt idx="52">
                  <c:v>40838</c:v>
                </c:pt>
                <c:pt idx="53">
                  <c:v>40854</c:v>
                </c:pt>
                <c:pt idx="54">
                  <c:v>40998</c:v>
                </c:pt>
                <c:pt idx="55">
                  <c:v>41014</c:v>
                </c:pt>
                <c:pt idx="56">
                  <c:v>41030</c:v>
                </c:pt>
                <c:pt idx="57">
                  <c:v>41046</c:v>
                </c:pt>
                <c:pt idx="58">
                  <c:v>41078</c:v>
                </c:pt>
                <c:pt idx="59">
                  <c:v>41094</c:v>
                </c:pt>
                <c:pt idx="60">
                  <c:v>41110</c:v>
                </c:pt>
                <c:pt idx="61">
                  <c:v>41126</c:v>
                </c:pt>
                <c:pt idx="62">
                  <c:v>41174</c:v>
                </c:pt>
                <c:pt idx="63">
                  <c:v>41190</c:v>
                </c:pt>
                <c:pt idx="64">
                  <c:v>41206</c:v>
                </c:pt>
                <c:pt idx="65">
                  <c:v>41350</c:v>
                </c:pt>
                <c:pt idx="66">
                  <c:v>41366</c:v>
                </c:pt>
                <c:pt idx="67">
                  <c:v>41369</c:v>
                </c:pt>
                <c:pt idx="68">
                  <c:v>41374</c:v>
                </c:pt>
                <c:pt idx="69">
                  <c:v>41382</c:v>
                </c:pt>
                <c:pt idx="70">
                  <c:v>41398</c:v>
                </c:pt>
                <c:pt idx="71">
                  <c:v>41414</c:v>
                </c:pt>
                <c:pt idx="72">
                  <c:v>41422</c:v>
                </c:pt>
                <c:pt idx="73">
                  <c:v>41486</c:v>
                </c:pt>
                <c:pt idx="74">
                  <c:v>41502</c:v>
                </c:pt>
                <c:pt idx="75">
                  <c:v>41526</c:v>
                </c:pt>
                <c:pt idx="76">
                  <c:v>41534</c:v>
                </c:pt>
                <c:pt idx="77">
                  <c:v>41558</c:v>
                </c:pt>
                <c:pt idx="78">
                  <c:v>41566</c:v>
                </c:pt>
                <c:pt idx="79">
                  <c:v>41574</c:v>
                </c:pt>
                <c:pt idx="80">
                  <c:v>41582</c:v>
                </c:pt>
                <c:pt idx="81">
                  <c:v>41598</c:v>
                </c:pt>
                <c:pt idx="82">
                  <c:v>41606</c:v>
                </c:pt>
                <c:pt idx="83">
                  <c:v>41614</c:v>
                </c:pt>
                <c:pt idx="84">
                  <c:v>41622</c:v>
                </c:pt>
                <c:pt idx="85">
                  <c:v>41630</c:v>
                </c:pt>
                <c:pt idx="86">
                  <c:v>41638</c:v>
                </c:pt>
                <c:pt idx="87">
                  <c:v>41646</c:v>
                </c:pt>
                <c:pt idx="88">
                  <c:v>41654</c:v>
                </c:pt>
                <c:pt idx="89">
                  <c:v>41662</c:v>
                </c:pt>
                <c:pt idx="90">
                  <c:v>41670</c:v>
                </c:pt>
                <c:pt idx="91">
                  <c:v>41678</c:v>
                </c:pt>
                <c:pt idx="92">
                  <c:v>41686</c:v>
                </c:pt>
                <c:pt idx="93">
                  <c:v>41694</c:v>
                </c:pt>
                <c:pt idx="94">
                  <c:v>41702</c:v>
                </c:pt>
                <c:pt idx="95">
                  <c:v>41718</c:v>
                </c:pt>
                <c:pt idx="96">
                  <c:v>41726</c:v>
                </c:pt>
                <c:pt idx="97">
                  <c:v>41734</c:v>
                </c:pt>
                <c:pt idx="98">
                  <c:v>41742</c:v>
                </c:pt>
                <c:pt idx="99">
                  <c:v>41750</c:v>
                </c:pt>
                <c:pt idx="100">
                  <c:v>41766</c:v>
                </c:pt>
                <c:pt idx="101">
                  <c:v>41782</c:v>
                </c:pt>
                <c:pt idx="102">
                  <c:v>41790</c:v>
                </c:pt>
                <c:pt idx="103">
                  <c:v>41798</c:v>
                </c:pt>
                <c:pt idx="104">
                  <c:v>41806</c:v>
                </c:pt>
                <c:pt idx="105">
                  <c:v>41814</c:v>
                </c:pt>
                <c:pt idx="106">
                  <c:v>41830</c:v>
                </c:pt>
                <c:pt idx="107">
                  <c:v>41838</c:v>
                </c:pt>
                <c:pt idx="108">
                  <c:v>41862</c:v>
                </c:pt>
                <c:pt idx="109">
                  <c:v>41870</c:v>
                </c:pt>
                <c:pt idx="110">
                  <c:v>41878</c:v>
                </c:pt>
                <c:pt idx="111">
                  <c:v>41886</c:v>
                </c:pt>
                <c:pt idx="112">
                  <c:v>41894</c:v>
                </c:pt>
                <c:pt idx="113">
                  <c:v>41902</c:v>
                </c:pt>
                <c:pt idx="114">
                  <c:v>41918</c:v>
                </c:pt>
                <c:pt idx="115">
                  <c:v>41926</c:v>
                </c:pt>
                <c:pt idx="116">
                  <c:v>41934</c:v>
                </c:pt>
                <c:pt idx="117">
                  <c:v>41942</c:v>
                </c:pt>
                <c:pt idx="118">
                  <c:v>41950</c:v>
                </c:pt>
                <c:pt idx="119">
                  <c:v>41958</c:v>
                </c:pt>
                <c:pt idx="120">
                  <c:v>41966</c:v>
                </c:pt>
                <c:pt idx="121">
                  <c:v>41974</c:v>
                </c:pt>
                <c:pt idx="122">
                  <c:v>41982</c:v>
                </c:pt>
                <c:pt idx="123">
                  <c:v>41990</c:v>
                </c:pt>
                <c:pt idx="124">
                  <c:v>41998</c:v>
                </c:pt>
                <c:pt idx="125">
                  <c:v>42022</c:v>
                </c:pt>
                <c:pt idx="126">
                  <c:v>42030</c:v>
                </c:pt>
                <c:pt idx="127">
                  <c:v>42054</c:v>
                </c:pt>
                <c:pt idx="128">
                  <c:v>42062</c:v>
                </c:pt>
                <c:pt idx="129">
                  <c:v>42078</c:v>
                </c:pt>
                <c:pt idx="130">
                  <c:v>42086</c:v>
                </c:pt>
                <c:pt idx="131">
                  <c:v>42094</c:v>
                </c:pt>
                <c:pt idx="132">
                  <c:v>42102</c:v>
                </c:pt>
                <c:pt idx="133">
                  <c:v>42110</c:v>
                </c:pt>
                <c:pt idx="134">
                  <c:v>42126</c:v>
                </c:pt>
                <c:pt idx="135">
                  <c:v>42142</c:v>
                </c:pt>
                <c:pt idx="136">
                  <c:v>42150</c:v>
                </c:pt>
                <c:pt idx="137">
                  <c:v>42158</c:v>
                </c:pt>
                <c:pt idx="138">
                  <c:v>42174</c:v>
                </c:pt>
                <c:pt idx="139">
                  <c:v>42182</c:v>
                </c:pt>
                <c:pt idx="140">
                  <c:v>42190</c:v>
                </c:pt>
                <c:pt idx="141">
                  <c:v>42206</c:v>
                </c:pt>
                <c:pt idx="142">
                  <c:v>42238</c:v>
                </c:pt>
                <c:pt idx="143">
                  <c:v>42246</c:v>
                </c:pt>
                <c:pt idx="144">
                  <c:v>42254</c:v>
                </c:pt>
                <c:pt idx="145">
                  <c:v>42262</c:v>
                </c:pt>
                <c:pt idx="146">
                  <c:v>42270</c:v>
                </c:pt>
                <c:pt idx="147">
                  <c:v>42278</c:v>
                </c:pt>
                <c:pt idx="148">
                  <c:v>42286</c:v>
                </c:pt>
                <c:pt idx="149">
                  <c:v>42294</c:v>
                </c:pt>
                <c:pt idx="150">
                  <c:v>42302</c:v>
                </c:pt>
                <c:pt idx="151">
                  <c:v>42310</c:v>
                </c:pt>
                <c:pt idx="152">
                  <c:v>42326</c:v>
                </c:pt>
                <c:pt idx="153">
                  <c:v>42334</c:v>
                </c:pt>
                <c:pt idx="154">
                  <c:v>42350</c:v>
                </c:pt>
                <c:pt idx="155">
                  <c:v>42358</c:v>
                </c:pt>
                <c:pt idx="156">
                  <c:v>42382</c:v>
                </c:pt>
                <c:pt idx="157">
                  <c:v>42390</c:v>
                </c:pt>
                <c:pt idx="158">
                  <c:v>42406</c:v>
                </c:pt>
                <c:pt idx="159">
                  <c:v>42414</c:v>
                </c:pt>
                <c:pt idx="160">
                  <c:v>42422</c:v>
                </c:pt>
                <c:pt idx="161">
                  <c:v>42440</c:v>
                </c:pt>
                <c:pt idx="162">
                  <c:v>42446</c:v>
                </c:pt>
                <c:pt idx="163">
                  <c:v>42454</c:v>
                </c:pt>
                <c:pt idx="164">
                  <c:v>42470</c:v>
                </c:pt>
                <c:pt idx="165">
                  <c:v>42470</c:v>
                </c:pt>
                <c:pt idx="166">
                  <c:v>42478</c:v>
                </c:pt>
                <c:pt idx="167">
                  <c:v>42486</c:v>
                </c:pt>
                <c:pt idx="168">
                  <c:v>42494</c:v>
                </c:pt>
                <c:pt idx="169">
                  <c:v>42502</c:v>
                </c:pt>
                <c:pt idx="170">
                  <c:v>42510</c:v>
                </c:pt>
                <c:pt idx="171">
                  <c:v>42510</c:v>
                </c:pt>
                <c:pt idx="172">
                  <c:v>42518</c:v>
                </c:pt>
                <c:pt idx="173">
                  <c:v>42526</c:v>
                </c:pt>
                <c:pt idx="174">
                  <c:v>42530</c:v>
                </c:pt>
                <c:pt idx="175">
                  <c:v>42534</c:v>
                </c:pt>
                <c:pt idx="176">
                  <c:v>42542</c:v>
                </c:pt>
                <c:pt idx="177">
                  <c:v>42558</c:v>
                </c:pt>
                <c:pt idx="178">
                  <c:v>42566</c:v>
                </c:pt>
                <c:pt idx="179">
                  <c:v>42582</c:v>
                </c:pt>
                <c:pt idx="180">
                  <c:v>42598</c:v>
                </c:pt>
                <c:pt idx="181">
                  <c:v>42606</c:v>
                </c:pt>
                <c:pt idx="182">
                  <c:v>42610</c:v>
                </c:pt>
                <c:pt idx="183">
                  <c:v>42614</c:v>
                </c:pt>
                <c:pt idx="184">
                  <c:v>42622</c:v>
                </c:pt>
                <c:pt idx="185">
                  <c:v>42638</c:v>
                </c:pt>
                <c:pt idx="186">
                  <c:v>42650</c:v>
                </c:pt>
                <c:pt idx="187">
                  <c:v>42654</c:v>
                </c:pt>
                <c:pt idx="188">
                  <c:v>42662</c:v>
                </c:pt>
                <c:pt idx="189">
                  <c:v>42670</c:v>
                </c:pt>
                <c:pt idx="190">
                  <c:v>42670</c:v>
                </c:pt>
                <c:pt idx="191">
                  <c:v>42678</c:v>
                </c:pt>
                <c:pt idx="192">
                  <c:v>42686</c:v>
                </c:pt>
                <c:pt idx="193">
                  <c:v>42690</c:v>
                </c:pt>
                <c:pt idx="194">
                  <c:v>42694</c:v>
                </c:pt>
                <c:pt idx="195">
                  <c:v>42700</c:v>
                </c:pt>
                <c:pt idx="196">
                  <c:v>42702</c:v>
                </c:pt>
                <c:pt idx="197">
                  <c:v>42710</c:v>
                </c:pt>
                <c:pt idx="198">
                  <c:v>42710</c:v>
                </c:pt>
                <c:pt idx="199">
                  <c:v>42718</c:v>
                </c:pt>
                <c:pt idx="200">
                  <c:v>42726</c:v>
                </c:pt>
                <c:pt idx="201">
                  <c:v>42730</c:v>
                </c:pt>
                <c:pt idx="202">
                  <c:v>42734</c:v>
                </c:pt>
                <c:pt idx="203">
                  <c:v>42740</c:v>
                </c:pt>
                <c:pt idx="204">
                  <c:v>42742</c:v>
                </c:pt>
                <c:pt idx="205">
                  <c:v>42750</c:v>
                </c:pt>
                <c:pt idx="206">
                  <c:v>42750</c:v>
                </c:pt>
                <c:pt idx="207">
                  <c:v>42766</c:v>
                </c:pt>
                <c:pt idx="208">
                  <c:v>42770</c:v>
                </c:pt>
                <c:pt idx="209">
                  <c:v>42782</c:v>
                </c:pt>
                <c:pt idx="210">
                  <c:v>42790</c:v>
                </c:pt>
                <c:pt idx="211">
                  <c:v>42798</c:v>
                </c:pt>
                <c:pt idx="212">
                  <c:v>42800</c:v>
                </c:pt>
                <c:pt idx="213">
                  <c:v>42814</c:v>
                </c:pt>
                <c:pt idx="214">
                  <c:v>42820</c:v>
                </c:pt>
                <c:pt idx="215">
                  <c:v>42822</c:v>
                </c:pt>
                <c:pt idx="216">
                  <c:v>42830</c:v>
                </c:pt>
                <c:pt idx="217">
                  <c:v>42838</c:v>
                </c:pt>
                <c:pt idx="218">
                  <c:v>42840</c:v>
                </c:pt>
                <c:pt idx="219">
                  <c:v>42846</c:v>
                </c:pt>
                <c:pt idx="220">
                  <c:v>42854</c:v>
                </c:pt>
                <c:pt idx="221">
                  <c:v>42860</c:v>
                </c:pt>
                <c:pt idx="222">
                  <c:v>42862</c:v>
                </c:pt>
                <c:pt idx="223">
                  <c:v>42870</c:v>
                </c:pt>
                <c:pt idx="224">
                  <c:v>42878</c:v>
                </c:pt>
                <c:pt idx="225">
                  <c:v>42880</c:v>
                </c:pt>
                <c:pt idx="226">
                  <c:v>42886</c:v>
                </c:pt>
                <c:pt idx="227">
                  <c:v>42894</c:v>
                </c:pt>
                <c:pt idx="228">
                  <c:v>42900</c:v>
                </c:pt>
                <c:pt idx="229">
                  <c:v>42910</c:v>
                </c:pt>
                <c:pt idx="230">
                  <c:v>42918</c:v>
                </c:pt>
                <c:pt idx="231">
                  <c:v>42920</c:v>
                </c:pt>
                <c:pt idx="232">
                  <c:v>42934</c:v>
                </c:pt>
                <c:pt idx="233">
                  <c:v>42942</c:v>
                </c:pt>
                <c:pt idx="234">
                  <c:v>42950</c:v>
                </c:pt>
                <c:pt idx="235">
                  <c:v>42960</c:v>
                </c:pt>
                <c:pt idx="236">
                  <c:v>42966</c:v>
                </c:pt>
                <c:pt idx="237">
                  <c:v>42974</c:v>
                </c:pt>
                <c:pt idx="238">
                  <c:v>42975</c:v>
                </c:pt>
                <c:pt idx="239">
                  <c:v>42982</c:v>
                </c:pt>
                <c:pt idx="240">
                  <c:v>42990</c:v>
                </c:pt>
                <c:pt idx="241">
                  <c:v>42995</c:v>
                </c:pt>
                <c:pt idx="242">
                  <c:v>42998</c:v>
                </c:pt>
                <c:pt idx="243">
                  <c:v>43000</c:v>
                </c:pt>
                <c:pt idx="244">
                  <c:v>43006</c:v>
                </c:pt>
                <c:pt idx="245">
                  <c:v>43014</c:v>
                </c:pt>
                <c:pt idx="246">
                  <c:v>43015</c:v>
                </c:pt>
                <c:pt idx="247">
                  <c:v>43020</c:v>
                </c:pt>
                <c:pt idx="248">
                  <c:v>43022</c:v>
                </c:pt>
                <c:pt idx="249">
                  <c:v>43030</c:v>
                </c:pt>
                <c:pt idx="250">
                  <c:v>43035</c:v>
                </c:pt>
                <c:pt idx="251">
                  <c:v>43038</c:v>
                </c:pt>
                <c:pt idx="252">
                  <c:v>43040</c:v>
                </c:pt>
                <c:pt idx="253">
                  <c:v>43045</c:v>
                </c:pt>
                <c:pt idx="254">
                  <c:v>43046</c:v>
                </c:pt>
                <c:pt idx="255">
                  <c:v>43054</c:v>
                </c:pt>
                <c:pt idx="256">
                  <c:v>43055</c:v>
                </c:pt>
                <c:pt idx="257">
                  <c:v>43060</c:v>
                </c:pt>
                <c:pt idx="258">
                  <c:v>43062</c:v>
                </c:pt>
                <c:pt idx="259">
                  <c:v>43065</c:v>
                </c:pt>
                <c:pt idx="260">
                  <c:v>43070</c:v>
                </c:pt>
                <c:pt idx="261">
                  <c:v>43075</c:v>
                </c:pt>
                <c:pt idx="262">
                  <c:v>43078</c:v>
                </c:pt>
                <c:pt idx="263">
                  <c:v>43080</c:v>
                </c:pt>
                <c:pt idx="264">
                  <c:v>43085</c:v>
                </c:pt>
                <c:pt idx="265">
                  <c:v>43086</c:v>
                </c:pt>
                <c:pt idx="266">
                  <c:v>43095</c:v>
                </c:pt>
                <c:pt idx="267">
                  <c:v>43102</c:v>
                </c:pt>
                <c:pt idx="268">
                  <c:v>43105</c:v>
                </c:pt>
                <c:pt idx="269">
                  <c:v>43110</c:v>
                </c:pt>
                <c:pt idx="270">
                  <c:v>43115</c:v>
                </c:pt>
                <c:pt idx="271">
                  <c:v>43118</c:v>
                </c:pt>
                <c:pt idx="272">
                  <c:v>43120</c:v>
                </c:pt>
                <c:pt idx="273">
                  <c:v>43125</c:v>
                </c:pt>
                <c:pt idx="274">
                  <c:v>43126</c:v>
                </c:pt>
                <c:pt idx="275">
                  <c:v>43134</c:v>
                </c:pt>
                <c:pt idx="276">
                  <c:v>43135</c:v>
                </c:pt>
                <c:pt idx="277">
                  <c:v>43140</c:v>
                </c:pt>
                <c:pt idx="278">
                  <c:v>43150</c:v>
                </c:pt>
                <c:pt idx="279">
                  <c:v>43150</c:v>
                </c:pt>
                <c:pt idx="280">
                  <c:v>43158</c:v>
                </c:pt>
                <c:pt idx="281">
                  <c:v>43160</c:v>
                </c:pt>
                <c:pt idx="282">
                  <c:v>43165</c:v>
                </c:pt>
                <c:pt idx="283">
                  <c:v>43166</c:v>
                </c:pt>
                <c:pt idx="284">
                  <c:v>43170</c:v>
                </c:pt>
                <c:pt idx="285">
                  <c:v>43174</c:v>
                </c:pt>
                <c:pt idx="286">
                  <c:v>43175</c:v>
                </c:pt>
                <c:pt idx="287">
                  <c:v>43180</c:v>
                </c:pt>
                <c:pt idx="288">
                  <c:v>43182</c:v>
                </c:pt>
                <c:pt idx="289">
                  <c:v>43185</c:v>
                </c:pt>
                <c:pt idx="290">
                  <c:v>43190</c:v>
                </c:pt>
                <c:pt idx="291">
                  <c:v>43190</c:v>
                </c:pt>
                <c:pt idx="292">
                  <c:v>43195</c:v>
                </c:pt>
                <c:pt idx="293">
                  <c:v>43198</c:v>
                </c:pt>
                <c:pt idx="294">
                  <c:v>43205</c:v>
                </c:pt>
                <c:pt idx="295">
                  <c:v>43206</c:v>
                </c:pt>
                <c:pt idx="296">
                  <c:v>43210</c:v>
                </c:pt>
                <c:pt idx="297">
                  <c:v>43214</c:v>
                </c:pt>
                <c:pt idx="298">
                  <c:v>43215</c:v>
                </c:pt>
                <c:pt idx="299">
                  <c:v>43220</c:v>
                </c:pt>
                <c:pt idx="300">
                  <c:v>43222</c:v>
                </c:pt>
                <c:pt idx="301">
                  <c:v>43230</c:v>
                </c:pt>
                <c:pt idx="302">
                  <c:v>43235</c:v>
                </c:pt>
                <c:pt idx="303">
                  <c:v>43270</c:v>
                </c:pt>
                <c:pt idx="304">
                  <c:v>43278</c:v>
                </c:pt>
                <c:pt idx="305">
                  <c:v>43294</c:v>
                </c:pt>
                <c:pt idx="306">
                  <c:v>43302</c:v>
                </c:pt>
                <c:pt idx="307">
                  <c:v>43310</c:v>
                </c:pt>
                <c:pt idx="308">
                  <c:v>43310</c:v>
                </c:pt>
                <c:pt idx="309">
                  <c:v>43330</c:v>
                </c:pt>
                <c:pt idx="310">
                  <c:v>43334</c:v>
                </c:pt>
                <c:pt idx="311">
                  <c:v>43345</c:v>
                </c:pt>
                <c:pt idx="312">
                  <c:v>43350</c:v>
                </c:pt>
                <c:pt idx="313">
                  <c:v>43350</c:v>
                </c:pt>
                <c:pt idx="314">
                  <c:v>43358</c:v>
                </c:pt>
                <c:pt idx="315">
                  <c:v>43360</c:v>
                </c:pt>
                <c:pt idx="316">
                  <c:v>43365</c:v>
                </c:pt>
                <c:pt idx="317">
                  <c:v>43366</c:v>
                </c:pt>
                <c:pt idx="318">
                  <c:v>43370</c:v>
                </c:pt>
                <c:pt idx="319">
                  <c:v>43374</c:v>
                </c:pt>
                <c:pt idx="320">
                  <c:v>43375</c:v>
                </c:pt>
                <c:pt idx="321">
                  <c:v>43380</c:v>
                </c:pt>
                <c:pt idx="322">
                  <c:v>43382</c:v>
                </c:pt>
                <c:pt idx="323">
                  <c:v>43385</c:v>
                </c:pt>
                <c:pt idx="324">
                  <c:v>43390</c:v>
                </c:pt>
                <c:pt idx="325">
                  <c:v>43390</c:v>
                </c:pt>
                <c:pt idx="326">
                  <c:v>43395</c:v>
                </c:pt>
                <c:pt idx="327">
                  <c:v>43398</c:v>
                </c:pt>
                <c:pt idx="328">
                  <c:v>43400</c:v>
                </c:pt>
                <c:pt idx="329">
                  <c:v>43405</c:v>
                </c:pt>
                <c:pt idx="330">
                  <c:v>43406</c:v>
                </c:pt>
                <c:pt idx="331">
                  <c:v>43410</c:v>
                </c:pt>
                <c:pt idx="332">
                  <c:v>43414</c:v>
                </c:pt>
                <c:pt idx="333">
                  <c:v>43415</c:v>
                </c:pt>
                <c:pt idx="334">
                  <c:v>43420</c:v>
                </c:pt>
                <c:pt idx="335">
                  <c:v>43425</c:v>
                </c:pt>
                <c:pt idx="336">
                  <c:v>43430</c:v>
                </c:pt>
                <c:pt idx="337">
                  <c:v>43430</c:v>
                </c:pt>
                <c:pt idx="338">
                  <c:v>43435</c:v>
                </c:pt>
                <c:pt idx="339">
                  <c:v>43438</c:v>
                </c:pt>
                <c:pt idx="340">
                  <c:v>43440</c:v>
                </c:pt>
                <c:pt idx="341">
                  <c:v>43445</c:v>
                </c:pt>
                <c:pt idx="342">
                  <c:v>43450</c:v>
                </c:pt>
                <c:pt idx="343">
                  <c:v>43454</c:v>
                </c:pt>
                <c:pt idx="344">
                  <c:v>43455</c:v>
                </c:pt>
                <c:pt idx="345">
                  <c:v>43460</c:v>
                </c:pt>
                <c:pt idx="346">
                  <c:v>43462</c:v>
                </c:pt>
                <c:pt idx="347">
                  <c:v>43465</c:v>
                </c:pt>
                <c:pt idx="348">
                  <c:v>43470</c:v>
                </c:pt>
                <c:pt idx="349">
                  <c:v>43470</c:v>
                </c:pt>
                <c:pt idx="350">
                  <c:v>43478</c:v>
                </c:pt>
                <c:pt idx="351">
                  <c:v>43480</c:v>
                </c:pt>
                <c:pt idx="352">
                  <c:v>43485</c:v>
                </c:pt>
                <c:pt idx="353">
                  <c:v>43486</c:v>
                </c:pt>
                <c:pt idx="354">
                  <c:v>43490</c:v>
                </c:pt>
                <c:pt idx="355">
                  <c:v>43493</c:v>
                </c:pt>
                <c:pt idx="356">
                  <c:v>43502</c:v>
                </c:pt>
                <c:pt idx="357">
                  <c:v>43505</c:v>
                </c:pt>
                <c:pt idx="358">
                  <c:v>43510</c:v>
                </c:pt>
                <c:pt idx="359">
                  <c:v>43510</c:v>
                </c:pt>
                <c:pt idx="360">
                  <c:v>43520</c:v>
                </c:pt>
                <c:pt idx="361">
                  <c:v>43526</c:v>
                </c:pt>
                <c:pt idx="362">
                  <c:v>43530</c:v>
                </c:pt>
                <c:pt idx="363">
                  <c:v>43534</c:v>
                </c:pt>
                <c:pt idx="364">
                  <c:v>43535</c:v>
                </c:pt>
                <c:pt idx="365">
                  <c:v>43545</c:v>
                </c:pt>
                <c:pt idx="366">
                  <c:v>43550</c:v>
                </c:pt>
                <c:pt idx="367">
                  <c:v>43555</c:v>
                </c:pt>
                <c:pt idx="368">
                  <c:v>43558</c:v>
                </c:pt>
                <c:pt idx="369">
                  <c:v>43560</c:v>
                </c:pt>
                <c:pt idx="370">
                  <c:v>43566</c:v>
                </c:pt>
                <c:pt idx="371">
                  <c:v>43570</c:v>
                </c:pt>
                <c:pt idx="372">
                  <c:v>43574</c:v>
                </c:pt>
                <c:pt idx="373">
                  <c:v>43575</c:v>
                </c:pt>
                <c:pt idx="374">
                  <c:v>43580</c:v>
                </c:pt>
                <c:pt idx="375">
                  <c:v>43582</c:v>
                </c:pt>
                <c:pt idx="376">
                  <c:v>43585</c:v>
                </c:pt>
                <c:pt idx="377">
                  <c:v>43590</c:v>
                </c:pt>
                <c:pt idx="378">
                  <c:v>43590</c:v>
                </c:pt>
                <c:pt idx="379">
                  <c:v>43595</c:v>
                </c:pt>
                <c:pt idx="380">
                  <c:v>43598</c:v>
                </c:pt>
                <c:pt idx="381">
                  <c:v>43600</c:v>
                </c:pt>
                <c:pt idx="382">
                  <c:v>43606</c:v>
                </c:pt>
                <c:pt idx="383">
                  <c:v>43610</c:v>
                </c:pt>
                <c:pt idx="384">
                  <c:v>43614</c:v>
                </c:pt>
                <c:pt idx="385">
                  <c:v>43615</c:v>
                </c:pt>
                <c:pt idx="386">
                  <c:v>43620</c:v>
                </c:pt>
                <c:pt idx="387">
                  <c:v>43622</c:v>
                </c:pt>
                <c:pt idx="388">
                  <c:v>43625</c:v>
                </c:pt>
                <c:pt idx="389">
                  <c:v>43630</c:v>
                </c:pt>
                <c:pt idx="390">
                  <c:v>43630</c:v>
                </c:pt>
                <c:pt idx="391">
                  <c:v>43635</c:v>
                </c:pt>
                <c:pt idx="392">
                  <c:v>43640</c:v>
                </c:pt>
                <c:pt idx="393">
                  <c:v>43645</c:v>
                </c:pt>
                <c:pt idx="394">
                  <c:v>43646</c:v>
                </c:pt>
                <c:pt idx="395">
                  <c:v>43650</c:v>
                </c:pt>
                <c:pt idx="396">
                  <c:v>43654</c:v>
                </c:pt>
                <c:pt idx="397">
                  <c:v>43655</c:v>
                </c:pt>
                <c:pt idx="398">
                  <c:v>43665</c:v>
                </c:pt>
                <c:pt idx="399">
                  <c:v>43678</c:v>
                </c:pt>
                <c:pt idx="400">
                  <c:v>43680</c:v>
                </c:pt>
                <c:pt idx="401">
                  <c:v>43686</c:v>
                </c:pt>
                <c:pt idx="402">
                  <c:v>43690</c:v>
                </c:pt>
                <c:pt idx="403">
                  <c:v>43694</c:v>
                </c:pt>
                <c:pt idx="404">
                  <c:v>43695</c:v>
                </c:pt>
                <c:pt idx="405">
                  <c:v>43700</c:v>
                </c:pt>
                <c:pt idx="406">
                  <c:v>43702</c:v>
                </c:pt>
                <c:pt idx="407">
                  <c:v>43705</c:v>
                </c:pt>
                <c:pt idx="408">
                  <c:v>43710</c:v>
                </c:pt>
                <c:pt idx="409">
                  <c:v>43715</c:v>
                </c:pt>
                <c:pt idx="410">
                  <c:v>43718</c:v>
                </c:pt>
                <c:pt idx="411">
                  <c:v>43720</c:v>
                </c:pt>
                <c:pt idx="412">
                  <c:v>43725</c:v>
                </c:pt>
                <c:pt idx="413">
                  <c:v>43726</c:v>
                </c:pt>
                <c:pt idx="414">
                  <c:v>43730</c:v>
                </c:pt>
                <c:pt idx="415">
                  <c:v>43734</c:v>
                </c:pt>
                <c:pt idx="416">
                  <c:v>43735</c:v>
                </c:pt>
                <c:pt idx="417">
                  <c:v>43740</c:v>
                </c:pt>
                <c:pt idx="418">
                  <c:v>43742</c:v>
                </c:pt>
                <c:pt idx="419">
                  <c:v>43750</c:v>
                </c:pt>
                <c:pt idx="420">
                  <c:v>43750</c:v>
                </c:pt>
                <c:pt idx="421">
                  <c:v>43755</c:v>
                </c:pt>
                <c:pt idx="422">
                  <c:v>43758</c:v>
                </c:pt>
                <c:pt idx="423">
                  <c:v>43760</c:v>
                </c:pt>
                <c:pt idx="424">
                  <c:v>43765</c:v>
                </c:pt>
                <c:pt idx="425">
                  <c:v>43766</c:v>
                </c:pt>
                <c:pt idx="426">
                  <c:v>43770</c:v>
                </c:pt>
                <c:pt idx="427">
                  <c:v>43774</c:v>
                </c:pt>
                <c:pt idx="428">
                  <c:v>43775</c:v>
                </c:pt>
                <c:pt idx="429">
                  <c:v>43780</c:v>
                </c:pt>
                <c:pt idx="430">
                  <c:v>43782</c:v>
                </c:pt>
                <c:pt idx="431">
                  <c:v>43785</c:v>
                </c:pt>
                <c:pt idx="432">
                  <c:v>43798</c:v>
                </c:pt>
                <c:pt idx="433">
                  <c:v>43800</c:v>
                </c:pt>
                <c:pt idx="434">
                  <c:v>43805</c:v>
                </c:pt>
                <c:pt idx="435">
                  <c:v>43814</c:v>
                </c:pt>
                <c:pt idx="436">
                  <c:v>43815</c:v>
                </c:pt>
                <c:pt idx="437">
                  <c:v>43820</c:v>
                </c:pt>
                <c:pt idx="438">
                  <c:v>43822</c:v>
                </c:pt>
                <c:pt idx="439">
                  <c:v>43825</c:v>
                </c:pt>
                <c:pt idx="440">
                  <c:v>43830</c:v>
                </c:pt>
                <c:pt idx="441">
                  <c:v>43830</c:v>
                </c:pt>
                <c:pt idx="442">
                  <c:v>43838</c:v>
                </c:pt>
                <c:pt idx="443">
                  <c:v>43846</c:v>
                </c:pt>
                <c:pt idx="444">
                  <c:v>43850</c:v>
                </c:pt>
                <c:pt idx="445">
                  <c:v>43855</c:v>
                </c:pt>
                <c:pt idx="446">
                  <c:v>43860</c:v>
                </c:pt>
                <c:pt idx="447">
                  <c:v>43862</c:v>
                </c:pt>
                <c:pt idx="448">
                  <c:v>43865</c:v>
                </c:pt>
                <c:pt idx="449">
                  <c:v>43870</c:v>
                </c:pt>
                <c:pt idx="450">
                  <c:v>43870</c:v>
                </c:pt>
                <c:pt idx="451">
                  <c:v>43875</c:v>
                </c:pt>
                <c:pt idx="452">
                  <c:v>43878</c:v>
                </c:pt>
                <c:pt idx="453">
                  <c:v>43880</c:v>
                </c:pt>
                <c:pt idx="454">
                  <c:v>43885</c:v>
                </c:pt>
                <c:pt idx="455">
                  <c:v>43890</c:v>
                </c:pt>
                <c:pt idx="456">
                  <c:v>43894</c:v>
                </c:pt>
                <c:pt idx="457">
                  <c:v>43895</c:v>
                </c:pt>
                <c:pt idx="458">
                  <c:v>43900</c:v>
                </c:pt>
                <c:pt idx="459">
                  <c:v>43902</c:v>
                </c:pt>
                <c:pt idx="460">
                  <c:v>43910</c:v>
                </c:pt>
                <c:pt idx="461">
                  <c:v>43910</c:v>
                </c:pt>
                <c:pt idx="462">
                  <c:v>43915</c:v>
                </c:pt>
                <c:pt idx="463">
                  <c:v>43918</c:v>
                </c:pt>
                <c:pt idx="464">
                  <c:v>43920</c:v>
                </c:pt>
                <c:pt idx="465">
                  <c:v>43925</c:v>
                </c:pt>
                <c:pt idx="466">
                  <c:v>43926</c:v>
                </c:pt>
                <c:pt idx="467">
                  <c:v>43930</c:v>
                </c:pt>
                <c:pt idx="468">
                  <c:v>43934</c:v>
                </c:pt>
                <c:pt idx="469">
                  <c:v>43935</c:v>
                </c:pt>
                <c:pt idx="470">
                  <c:v>43940</c:v>
                </c:pt>
                <c:pt idx="471">
                  <c:v>43942</c:v>
                </c:pt>
                <c:pt idx="472">
                  <c:v>43945</c:v>
                </c:pt>
                <c:pt idx="473">
                  <c:v>43950</c:v>
                </c:pt>
                <c:pt idx="474">
                  <c:v>43950</c:v>
                </c:pt>
                <c:pt idx="475">
                  <c:v>43955</c:v>
                </c:pt>
                <c:pt idx="476">
                  <c:v>43958</c:v>
                </c:pt>
                <c:pt idx="477">
                  <c:v>43960</c:v>
                </c:pt>
                <c:pt idx="478">
                  <c:v>43965</c:v>
                </c:pt>
                <c:pt idx="479">
                  <c:v>43966</c:v>
                </c:pt>
                <c:pt idx="480">
                  <c:v>43974</c:v>
                </c:pt>
                <c:pt idx="481">
                  <c:v>43975</c:v>
                </c:pt>
                <c:pt idx="482">
                  <c:v>43980</c:v>
                </c:pt>
                <c:pt idx="483">
                  <c:v>43982</c:v>
                </c:pt>
                <c:pt idx="484">
                  <c:v>43985</c:v>
                </c:pt>
                <c:pt idx="485">
                  <c:v>43995</c:v>
                </c:pt>
                <c:pt idx="486">
                  <c:v>43998</c:v>
                </c:pt>
                <c:pt idx="487">
                  <c:v>44000</c:v>
                </c:pt>
                <c:pt idx="488">
                  <c:v>44005</c:v>
                </c:pt>
                <c:pt idx="489">
                  <c:v>44006</c:v>
                </c:pt>
                <c:pt idx="490">
                  <c:v>44010</c:v>
                </c:pt>
                <c:pt idx="491">
                  <c:v>44014</c:v>
                </c:pt>
                <c:pt idx="492">
                  <c:v>44015</c:v>
                </c:pt>
                <c:pt idx="493">
                  <c:v>44022</c:v>
                </c:pt>
                <c:pt idx="494">
                  <c:v>44025</c:v>
                </c:pt>
                <c:pt idx="495">
                  <c:v>44030</c:v>
                </c:pt>
                <c:pt idx="496">
                  <c:v>44030</c:v>
                </c:pt>
                <c:pt idx="497">
                  <c:v>44038</c:v>
                </c:pt>
                <c:pt idx="498">
                  <c:v>44040</c:v>
                </c:pt>
                <c:pt idx="499">
                  <c:v>44045</c:v>
                </c:pt>
                <c:pt idx="500">
                  <c:v>44046</c:v>
                </c:pt>
                <c:pt idx="501">
                  <c:v>44060</c:v>
                </c:pt>
                <c:pt idx="502">
                  <c:v>44065</c:v>
                </c:pt>
                <c:pt idx="503">
                  <c:v>44075</c:v>
                </c:pt>
                <c:pt idx="504">
                  <c:v>44078</c:v>
                </c:pt>
                <c:pt idx="505">
                  <c:v>44080</c:v>
                </c:pt>
                <c:pt idx="506">
                  <c:v>44085</c:v>
                </c:pt>
                <c:pt idx="507">
                  <c:v>44086</c:v>
                </c:pt>
                <c:pt idx="508">
                  <c:v>44090</c:v>
                </c:pt>
                <c:pt idx="509">
                  <c:v>44094</c:v>
                </c:pt>
                <c:pt idx="510">
                  <c:v>44095</c:v>
                </c:pt>
                <c:pt idx="511">
                  <c:v>44100</c:v>
                </c:pt>
                <c:pt idx="512">
                  <c:v>44102</c:v>
                </c:pt>
                <c:pt idx="513">
                  <c:v>44105</c:v>
                </c:pt>
                <c:pt idx="514">
                  <c:v>44110</c:v>
                </c:pt>
                <c:pt idx="515">
                  <c:v>44115</c:v>
                </c:pt>
                <c:pt idx="516">
                  <c:v>44118</c:v>
                </c:pt>
                <c:pt idx="517">
                  <c:v>44120</c:v>
                </c:pt>
                <c:pt idx="518">
                  <c:v>44125</c:v>
                </c:pt>
                <c:pt idx="519">
                  <c:v>44126</c:v>
                </c:pt>
                <c:pt idx="520">
                  <c:v>44130</c:v>
                </c:pt>
                <c:pt idx="521">
                  <c:v>44134</c:v>
                </c:pt>
                <c:pt idx="522">
                  <c:v>44135</c:v>
                </c:pt>
                <c:pt idx="523">
                  <c:v>44140</c:v>
                </c:pt>
                <c:pt idx="524">
                  <c:v>44145</c:v>
                </c:pt>
                <c:pt idx="525">
                  <c:v>44150</c:v>
                </c:pt>
                <c:pt idx="526">
                  <c:v>44150</c:v>
                </c:pt>
                <c:pt idx="527">
                  <c:v>44155</c:v>
                </c:pt>
                <c:pt idx="528">
                  <c:v>44158</c:v>
                </c:pt>
                <c:pt idx="529">
                  <c:v>44160</c:v>
                </c:pt>
                <c:pt idx="530">
                  <c:v>44165</c:v>
                </c:pt>
                <c:pt idx="531">
                  <c:v>44166</c:v>
                </c:pt>
                <c:pt idx="532">
                  <c:v>44170</c:v>
                </c:pt>
                <c:pt idx="533">
                  <c:v>44174</c:v>
                </c:pt>
                <c:pt idx="534">
                  <c:v>44175</c:v>
                </c:pt>
                <c:pt idx="535">
                  <c:v>44180</c:v>
                </c:pt>
                <c:pt idx="536">
                  <c:v>44182</c:v>
                </c:pt>
                <c:pt idx="537">
                  <c:v>44185</c:v>
                </c:pt>
                <c:pt idx="538">
                  <c:v>44190</c:v>
                </c:pt>
                <c:pt idx="539">
                  <c:v>44198</c:v>
                </c:pt>
                <c:pt idx="540">
                  <c:v>44200</c:v>
                </c:pt>
                <c:pt idx="541">
                  <c:v>44205</c:v>
                </c:pt>
                <c:pt idx="542">
                  <c:v>44206</c:v>
                </c:pt>
                <c:pt idx="543">
                  <c:v>44210</c:v>
                </c:pt>
                <c:pt idx="544">
                  <c:v>44214</c:v>
                </c:pt>
                <c:pt idx="545">
                  <c:v>44215</c:v>
                </c:pt>
                <c:pt idx="546">
                  <c:v>44220</c:v>
                </c:pt>
                <c:pt idx="547">
                  <c:v>44222</c:v>
                </c:pt>
                <c:pt idx="548">
                  <c:v>44225</c:v>
                </c:pt>
                <c:pt idx="549">
                  <c:v>44230</c:v>
                </c:pt>
                <c:pt idx="550">
                  <c:v>44230</c:v>
                </c:pt>
                <c:pt idx="551">
                  <c:v>44235</c:v>
                </c:pt>
                <c:pt idx="552">
                  <c:v>44240</c:v>
                </c:pt>
                <c:pt idx="553">
                  <c:v>44245</c:v>
                </c:pt>
                <c:pt idx="554">
                  <c:v>44246</c:v>
                </c:pt>
                <c:pt idx="555">
                  <c:v>44250</c:v>
                </c:pt>
                <c:pt idx="556">
                  <c:v>44254</c:v>
                </c:pt>
                <c:pt idx="557">
                  <c:v>44255</c:v>
                </c:pt>
                <c:pt idx="558">
                  <c:v>44260</c:v>
                </c:pt>
                <c:pt idx="559">
                  <c:v>44262</c:v>
                </c:pt>
                <c:pt idx="560">
                  <c:v>44265</c:v>
                </c:pt>
                <c:pt idx="561">
                  <c:v>44270</c:v>
                </c:pt>
                <c:pt idx="562">
                  <c:v>44270</c:v>
                </c:pt>
                <c:pt idx="563">
                  <c:v>44275</c:v>
                </c:pt>
                <c:pt idx="564">
                  <c:v>44278</c:v>
                </c:pt>
                <c:pt idx="565">
                  <c:v>44280</c:v>
                </c:pt>
                <c:pt idx="566">
                  <c:v>44285</c:v>
                </c:pt>
                <c:pt idx="567">
                  <c:v>44286</c:v>
                </c:pt>
                <c:pt idx="568">
                  <c:v>44290</c:v>
                </c:pt>
                <c:pt idx="569">
                  <c:v>44294</c:v>
                </c:pt>
                <c:pt idx="570">
                  <c:v>44295</c:v>
                </c:pt>
                <c:pt idx="571">
                  <c:v>44300</c:v>
                </c:pt>
                <c:pt idx="572">
                  <c:v>44302</c:v>
                </c:pt>
                <c:pt idx="573">
                  <c:v>44310</c:v>
                </c:pt>
                <c:pt idx="574">
                  <c:v>44310</c:v>
                </c:pt>
                <c:pt idx="575">
                  <c:v>44315</c:v>
                </c:pt>
                <c:pt idx="576">
                  <c:v>44320</c:v>
                </c:pt>
                <c:pt idx="577">
                  <c:v>44325</c:v>
                </c:pt>
                <c:pt idx="578">
                  <c:v>44326</c:v>
                </c:pt>
                <c:pt idx="579">
                  <c:v>44330</c:v>
                </c:pt>
                <c:pt idx="580">
                  <c:v>44334</c:v>
                </c:pt>
                <c:pt idx="581">
                  <c:v>44335</c:v>
                </c:pt>
                <c:pt idx="582">
                  <c:v>44340</c:v>
                </c:pt>
                <c:pt idx="583">
                  <c:v>44342</c:v>
                </c:pt>
                <c:pt idx="584">
                  <c:v>44345</c:v>
                </c:pt>
                <c:pt idx="585">
                  <c:v>44350</c:v>
                </c:pt>
                <c:pt idx="586">
                  <c:v>44350</c:v>
                </c:pt>
                <c:pt idx="587">
                  <c:v>44365</c:v>
                </c:pt>
                <c:pt idx="588">
                  <c:v>44366</c:v>
                </c:pt>
                <c:pt idx="589">
                  <c:v>44370</c:v>
                </c:pt>
                <c:pt idx="590">
                  <c:v>44375</c:v>
                </c:pt>
                <c:pt idx="591">
                  <c:v>44380</c:v>
                </c:pt>
                <c:pt idx="592">
                  <c:v>44385</c:v>
                </c:pt>
                <c:pt idx="593">
                  <c:v>44390</c:v>
                </c:pt>
                <c:pt idx="594">
                  <c:v>44398</c:v>
                </c:pt>
                <c:pt idx="595">
                  <c:v>44400</c:v>
                </c:pt>
                <c:pt idx="596">
                  <c:v>44406</c:v>
                </c:pt>
                <c:pt idx="597">
                  <c:v>44410</c:v>
                </c:pt>
                <c:pt idx="598">
                  <c:v>44414</c:v>
                </c:pt>
                <c:pt idx="599">
                  <c:v>44415</c:v>
                </c:pt>
                <c:pt idx="600">
                  <c:v>44420</c:v>
                </c:pt>
                <c:pt idx="601">
                  <c:v>44425</c:v>
                </c:pt>
                <c:pt idx="602">
                  <c:v>44430</c:v>
                </c:pt>
                <c:pt idx="603">
                  <c:v>44430</c:v>
                </c:pt>
                <c:pt idx="604">
                  <c:v>44435</c:v>
                </c:pt>
                <c:pt idx="605">
                  <c:v>44438</c:v>
                </c:pt>
                <c:pt idx="606">
                  <c:v>44440</c:v>
                </c:pt>
                <c:pt idx="607">
                  <c:v>44445</c:v>
                </c:pt>
                <c:pt idx="608">
                  <c:v>44446</c:v>
                </c:pt>
                <c:pt idx="609">
                  <c:v>44450</c:v>
                </c:pt>
                <c:pt idx="610">
                  <c:v>44454</c:v>
                </c:pt>
                <c:pt idx="611">
                  <c:v>44455</c:v>
                </c:pt>
                <c:pt idx="612">
                  <c:v>44460</c:v>
                </c:pt>
                <c:pt idx="613">
                  <c:v>44465</c:v>
                </c:pt>
                <c:pt idx="614">
                  <c:v>44475</c:v>
                </c:pt>
                <c:pt idx="615">
                  <c:v>44478</c:v>
                </c:pt>
                <c:pt idx="616">
                  <c:v>44480</c:v>
                </c:pt>
                <c:pt idx="617">
                  <c:v>44485</c:v>
                </c:pt>
                <c:pt idx="618">
                  <c:v>44486</c:v>
                </c:pt>
                <c:pt idx="619">
                  <c:v>44494</c:v>
                </c:pt>
                <c:pt idx="620">
                  <c:v>44495</c:v>
                </c:pt>
                <c:pt idx="621">
                  <c:v>44500</c:v>
                </c:pt>
                <c:pt idx="622">
                  <c:v>44502</c:v>
                </c:pt>
                <c:pt idx="623">
                  <c:v>44505</c:v>
                </c:pt>
                <c:pt idx="624">
                  <c:v>44510</c:v>
                </c:pt>
                <c:pt idx="625">
                  <c:v>44515</c:v>
                </c:pt>
                <c:pt idx="626">
                  <c:v>44518</c:v>
                </c:pt>
                <c:pt idx="627">
                  <c:v>44520</c:v>
                </c:pt>
                <c:pt idx="628">
                  <c:v>44525</c:v>
                </c:pt>
                <c:pt idx="629">
                  <c:v>44526</c:v>
                </c:pt>
                <c:pt idx="630">
                  <c:v>44530</c:v>
                </c:pt>
                <c:pt idx="631">
                  <c:v>44534</c:v>
                </c:pt>
                <c:pt idx="632">
                  <c:v>44535</c:v>
                </c:pt>
                <c:pt idx="633">
                  <c:v>44540</c:v>
                </c:pt>
                <c:pt idx="634">
                  <c:v>44542</c:v>
                </c:pt>
                <c:pt idx="635">
                  <c:v>44550</c:v>
                </c:pt>
                <c:pt idx="636">
                  <c:v>44555</c:v>
                </c:pt>
                <c:pt idx="637">
                  <c:v>44558</c:v>
                </c:pt>
                <c:pt idx="638">
                  <c:v>44570</c:v>
                </c:pt>
                <c:pt idx="639">
                  <c:v>44575</c:v>
                </c:pt>
                <c:pt idx="640">
                  <c:v>44585</c:v>
                </c:pt>
                <c:pt idx="641">
                  <c:v>44620</c:v>
                </c:pt>
                <c:pt idx="642">
                  <c:v>44630</c:v>
                </c:pt>
                <c:pt idx="643">
                  <c:v>44635</c:v>
                </c:pt>
                <c:pt idx="644">
                  <c:v>44655</c:v>
                </c:pt>
                <c:pt idx="645">
                  <c:v>44660</c:v>
                </c:pt>
                <c:pt idx="646">
                  <c:v>44665</c:v>
                </c:pt>
                <c:pt idx="647">
                  <c:v>44670</c:v>
                </c:pt>
                <c:pt idx="648">
                  <c:v>44675</c:v>
                </c:pt>
                <c:pt idx="649">
                  <c:v>44680</c:v>
                </c:pt>
                <c:pt idx="650">
                  <c:v>44685</c:v>
                </c:pt>
                <c:pt idx="651">
                  <c:v>44690</c:v>
                </c:pt>
                <c:pt idx="652">
                  <c:v>44695</c:v>
                </c:pt>
                <c:pt idx="653">
                  <c:v>44700</c:v>
                </c:pt>
                <c:pt idx="654">
                  <c:v>44705</c:v>
                </c:pt>
                <c:pt idx="655">
                  <c:v>44710</c:v>
                </c:pt>
                <c:pt idx="656">
                  <c:v>44715</c:v>
                </c:pt>
                <c:pt idx="657">
                  <c:v>44720</c:v>
                </c:pt>
                <c:pt idx="658">
                  <c:v>44725</c:v>
                </c:pt>
                <c:pt idx="659">
                  <c:v>44730</c:v>
                </c:pt>
                <c:pt idx="660">
                  <c:v>44735</c:v>
                </c:pt>
                <c:pt idx="661">
                  <c:v>44740</c:v>
                </c:pt>
                <c:pt idx="662">
                  <c:v>44745</c:v>
                </c:pt>
                <c:pt idx="663">
                  <c:v>44755</c:v>
                </c:pt>
                <c:pt idx="664">
                  <c:v>44760</c:v>
                </c:pt>
                <c:pt idx="665">
                  <c:v>44780</c:v>
                </c:pt>
                <c:pt idx="666">
                  <c:v>44790</c:v>
                </c:pt>
                <c:pt idx="667">
                  <c:v>44795</c:v>
                </c:pt>
                <c:pt idx="668">
                  <c:v>44800</c:v>
                </c:pt>
                <c:pt idx="669">
                  <c:v>44805</c:v>
                </c:pt>
                <c:pt idx="670">
                  <c:v>44810</c:v>
                </c:pt>
                <c:pt idx="671">
                  <c:v>44815</c:v>
                </c:pt>
                <c:pt idx="672">
                  <c:v>44820</c:v>
                </c:pt>
                <c:pt idx="673">
                  <c:v>44825</c:v>
                </c:pt>
                <c:pt idx="674">
                  <c:v>44830</c:v>
                </c:pt>
                <c:pt idx="675">
                  <c:v>44835</c:v>
                </c:pt>
                <c:pt idx="676">
                  <c:v>44840</c:v>
                </c:pt>
                <c:pt idx="677">
                  <c:v>44845</c:v>
                </c:pt>
                <c:pt idx="678">
                  <c:v>44850</c:v>
                </c:pt>
                <c:pt idx="679">
                  <c:v>44855</c:v>
                </c:pt>
                <c:pt idx="680">
                  <c:v>44860</c:v>
                </c:pt>
                <c:pt idx="681">
                  <c:v>44865</c:v>
                </c:pt>
                <c:pt idx="682">
                  <c:v>44870</c:v>
                </c:pt>
                <c:pt idx="683">
                  <c:v>44875</c:v>
                </c:pt>
                <c:pt idx="684">
                  <c:v>44880</c:v>
                </c:pt>
                <c:pt idx="685">
                  <c:v>44885</c:v>
                </c:pt>
                <c:pt idx="686">
                  <c:v>44890</c:v>
                </c:pt>
                <c:pt idx="687">
                  <c:v>44895</c:v>
                </c:pt>
                <c:pt idx="688">
                  <c:v>44900</c:v>
                </c:pt>
                <c:pt idx="689">
                  <c:v>44905</c:v>
                </c:pt>
                <c:pt idx="690">
                  <c:v>44910</c:v>
                </c:pt>
                <c:pt idx="691">
                  <c:v>44915</c:v>
                </c:pt>
                <c:pt idx="692">
                  <c:v>44920</c:v>
                </c:pt>
                <c:pt idx="693">
                  <c:v>44925</c:v>
                </c:pt>
                <c:pt idx="694">
                  <c:v>44930</c:v>
                </c:pt>
                <c:pt idx="695">
                  <c:v>44935</c:v>
                </c:pt>
                <c:pt idx="696">
                  <c:v>44940</c:v>
                </c:pt>
                <c:pt idx="697">
                  <c:v>44945</c:v>
                </c:pt>
                <c:pt idx="698">
                  <c:v>44950</c:v>
                </c:pt>
                <c:pt idx="699">
                  <c:v>44955</c:v>
                </c:pt>
                <c:pt idx="700">
                  <c:v>44960</c:v>
                </c:pt>
                <c:pt idx="701">
                  <c:v>44965</c:v>
                </c:pt>
                <c:pt idx="702">
                  <c:v>44970</c:v>
                </c:pt>
                <c:pt idx="703">
                  <c:v>44975</c:v>
                </c:pt>
                <c:pt idx="704">
                  <c:v>44980</c:v>
                </c:pt>
                <c:pt idx="705">
                  <c:v>44985</c:v>
                </c:pt>
                <c:pt idx="706">
                  <c:v>44990</c:v>
                </c:pt>
                <c:pt idx="707">
                  <c:v>44990</c:v>
                </c:pt>
                <c:pt idx="708">
                  <c:v>44995</c:v>
                </c:pt>
                <c:pt idx="709">
                  <c:v>45000</c:v>
                </c:pt>
                <c:pt idx="710">
                  <c:v>45005</c:v>
                </c:pt>
                <c:pt idx="711">
                  <c:v>45005</c:v>
                </c:pt>
                <c:pt idx="712">
                  <c:v>45010</c:v>
                </c:pt>
                <c:pt idx="713">
                  <c:v>45015</c:v>
                </c:pt>
                <c:pt idx="714">
                  <c:v>45020</c:v>
                </c:pt>
                <c:pt idx="715">
                  <c:v>45025</c:v>
                </c:pt>
                <c:pt idx="716">
                  <c:v>45030</c:v>
                </c:pt>
                <c:pt idx="717">
                  <c:v>45035</c:v>
                </c:pt>
                <c:pt idx="718">
                  <c:v>45040</c:v>
                </c:pt>
                <c:pt idx="719">
                  <c:v>45050</c:v>
                </c:pt>
                <c:pt idx="720">
                  <c:v>45055</c:v>
                </c:pt>
                <c:pt idx="721">
                  <c:v>45060</c:v>
                </c:pt>
                <c:pt idx="722">
                  <c:v>45070</c:v>
                </c:pt>
                <c:pt idx="723">
                  <c:v>45080</c:v>
                </c:pt>
                <c:pt idx="724">
                  <c:v>45085</c:v>
                </c:pt>
                <c:pt idx="725">
                  <c:v>45090</c:v>
                </c:pt>
                <c:pt idx="726">
                  <c:v>45095</c:v>
                </c:pt>
                <c:pt idx="727">
                  <c:v>45100</c:v>
                </c:pt>
                <c:pt idx="728">
                  <c:v>45105</c:v>
                </c:pt>
                <c:pt idx="729">
                  <c:v>45110</c:v>
                </c:pt>
                <c:pt idx="730">
                  <c:v>45115</c:v>
                </c:pt>
                <c:pt idx="731">
                  <c:v>45120</c:v>
                </c:pt>
                <c:pt idx="732">
                  <c:v>45125</c:v>
                </c:pt>
                <c:pt idx="733">
                  <c:v>45150</c:v>
                </c:pt>
                <c:pt idx="734">
                  <c:v>45155</c:v>
                </c:pt>
                <c:pt idx="735">
                  <c:v>45160</c:v>
                </c:pt>
                <c:pt idx="736">
                  <c:v>45165</c:v>
                </c:pt>
                <c:pt idx="737">
                  <c:v>45175</c:v>
                </c:pt>
                <c:pt idx="738">
                  <c:v>45180</c:v>
                </c:pt>
                <c:pt idx="739">
                  <c:v>45185</c:v>
                </c:pt>
                <c:pt idx="740">
                  <c:v>45190</c:v>
                </c:pt>
                <c:pt idx="741">
                  <c:v>45195</c:v>
                </c:pt>
                <c:pt idx="742">
                  <c:v>45200</c:v>
                </c:pt>
                <c:pt idx="743">
                  <c:v>45205</c:v>
                </c:pt>
                <c:pt idx="744">
                  <c:v>45210</c:v>
                </c:pt>
                <c:pt idx="745">
                  <c:v>45215</c:v>
                </c:pt>
                <c:pt idx="746">
                  <c:v>45220</c:v>
                </c:pt>
                <c:pt idx="747">
                  <c:v>45225</c:v>
                </c:pt>
                <c:pt idx="748">
                  <c:v>45230</c:v>
                </c:pt>
                <c:pt idx="749">
                  <c:v>45235</c:v>
                </c:pt>
                <c:pt idx="750">
                  <c:v>45240</c:v>
                </c:pt>
                <c:pt idx="751">
                  <c:v>45245</c:v>
                </c:pt>
                <c:pt idx="752">
                  <c:v>45250</c:v>
                </c:pt>
                <c:pt idx="753">
                  <c:v>45260</c:v>
                </c:pt>
                <c:pt idx="754">
                  <c:v>45270</c:v>
                </c:pt>
                <c:pt idx="755">
                  <c:v>45275</c:v>
                </c:pt>
                <c:pt idx="756">
                  <c:v>45280</c:v>
                </c:pt>
                <c:pt idx="757">
                  <c:v>45285</c:v>
                </c:pt>
                <c:pt idx="758">
                  <c:v>45290</c:v>
                </c:pt>
                <c:pt idx="759">
                  <c:v>45295</c:v>
                </c:pt>
                <c:pt idx="760">
                  <c:v>45300</c:v>
                </c:pt>
                <c:pt idx="761">
                  <c:v>45305</c:v>
                </c:pt>
                <c:pt idx="762">
                  <c:v>45310</c:v>
                </c:pt>
                <c:pt idx="763">
                  <c:v>45315</c:v>
                </c:pt>
                <c:pt idx="764">
                  <c:v>45320</c:v>
                </c:pt>
                <c:pt idx="765">
                  <c:v>45325</c:v>
                </c:pt>
                <c:pt idx="766">
                  <c:v>45330</c:v>
                </c:pt>
                <c:pt idx="767">
                  <c:v>45335</c:v>
                </c:pt>
                <c:pt idx="768">
                  <c:v>45340</c:v>
                </c:pt>
                <c:pt idx="769">
                  <c:v>45345</c:v>
                </c:pt>
                <c:pt idx="770">
                  <c:v>45355</c:v>
                </c:pt>
                <c:pt idx="771">
                  <c:v>45360</c:v>
                </c:pt>
                <c:pt idx="772">
                  <c:v>45365</c:v>
                </c:pt>
                <c:pt idx="773">
                  <c:v>45370</c:v>
                </c:pt>
                <c:pt idx="774">
                  <c:v>45375</c:v>
                </c:pt>
                <c:pt idx="775">
                  <c:v>45380</c:v>
                </c:pt>
                <c:pt idx="776">
                  <c:v>45385</c:v>
                </c:pt>
                <c:pt idx="777">
                  <c:v>45390</c:v>
                </c:pt>
                <c:pt idx="778">
                  <c:v>45400</c:v>
                </c:pt>
                <c:pt idx="779">
                  <c:v>45405</c:v>
                </c:pt>
                <c:pt idx="780">
                  <c:v>45410</c:v>
                </c:pt>
                <c:pt idx="781">
                  <c:v>45415</c:v>
                </c:pt>
                <c:pt idx="782">
                  <c:v>45420</c:v>
                </c:pt>
                <c:pt idx="783">
                  <c:v>45425</c:v>
                </c:pt>
                <c:pt idx="784">
                  <c:v>45430</c:v>
                </c:pt>
                <c:pt idx="785">
                  <c:v>45435</c:v>
                </c:pt>
                <c:pt idx="786">
                  <c:v>45440</c:v>
                </c:pt>
                <c:pt idx="787">
                  <c:v>45450</c:v>
                </c:pt>
                <c:pt idx="788">
                  <c:v>45454</c:v>
                </c:pt>
                <c:pt idx="789">
                  <c:v>45455</c:v>
                </c:pt>
                <c:pt idx="790">
                  <c:v>45460</c:v>
                </c:pt>
                <c:pt idx="791">
                  <c:v>45465</c:v>
                </c:pt>
                <c:pt idx="792">
                  <c:v>45470</c:v>
                </c:pt>
                <c:pt idx="793">
                  <c:v>45475</c:v>
                </c:pt>
                <c:pt idx="794">
                  <c:v>45480</c:v>
                </c:pt>
                <c:pt idx="795">
                  <c:v>45485</c:v>
                </c:pt>
                <c:pt idx="796">
                  <c:v>45486</c:v>
                </c:pt>
                <c:pt idx="797">
                  <c:v>45490</c:v>
                </c:pt>
                <c:pt idx="798">
                  <c:v>45495</c:v>
                </c:pt>
                <c:pt idx="799">
                  <c:v>45500</c:v>
                </c:pt>
                <c:pt idx="800">
                  <c:v>45502</c:v>
                </c:pt>
                <c:pt idx="801">
                  <c:v>45505</c:v>
                </c:pt>
                <c:pt idx="802">
                  <c:v>45530</c:v>
                </c:pt>
                <c:pt idx="803">
                  <c:v>45535</c:v>
                </c:pt>
                <c:pt idx="804">
                  <c:v>45540</c:v>
                </c:pt>
                <c:pt idx="805">
                  <c:v>45545</c:v>
                </c:pt>
                <c:pt idx="806">
                  <c:v>45550</c:v>
                </c:pt>
                <c:pt idx="807">
                  <c:v>45555</c:v>
                </c:pt>
                <c:pt idx="808">
                  <c:v>45560</c:v>
                </c:pt>
                <c:pt idx="809">
                  <c:v>45565</c:v>
                </c:pt>
                <c:pt idx="810">
                  <c:v>45566</c:v>
                </c:pt>
                <c:pt idx="811">
                  <c:v>45570</c:v>
                </c:pt>
                <c:pt idx="812">
                  <c:v>45575</c:v>
                </c:pt>
                <c:pt idx="813">
                  <c:v>45582</c:v>
                </c:pt>
                <c:pt idx="814">
                  <c:v>45585</c:v>
                </c:pt>
                <c:pt idx="815">
                  <c:v>45590</c:v>
                </c:pt>
                <c:pt idx="816">
                  <c:v>45595</c:v>
                </c:pt>
                <c:pt idx="817">
                  <c:v>45598</c:v>
                </c:pt>
                <c:pt idx="818">
                  <c:v>45600</c:v>
                </c:pt>
                <c:pt idx="819">
                  <c:v>45610</c:v>
                </c:pt>
                <c:pt idx="820">
                  <c:v>45614</c:v>
                </c:pt>
                <c:pt idx="821">
                  <c:v>45615</c:v>
                </c:pt>
                <c:pt idx="822">
                  <c:v>45620</c:v>
                </c:pt>
                <c:pt idx="823">
                  <c:v>45625</c:v>
                </c:pt>
                <c:pt idx="824">
                  <c:v>45630</c:v>
                </c:pt>
                <c:pt idx="825">
                  <c:v>45635</c:v>
                </c:pt>
                <c:pt idx="826">
                  <c:v>45640</c:v>
                </c:pt>
                <c:pt idx="827">
                  <c:v>45645</c:v>
                </c:pt>
                <c:pt idx="828">
                  <c:v>45650</c:v>
                </c:pt>
                <c:pt idx="829">
                  <c:v>45655</c:v>
                </c:pt>
                <c:pt idx="830">
                  <c:v>45660</c:v>
                </c:pt>
                <c:pt idx="831">
                  <c:v>45662</c:v>
                </c:pt>
                <c:pt idx="832">
                  <c:v>45665</c:v>
                </c:pt>
                <c:pt idx="833">
                  <c:v>45670</c:v>
                </c:pt>
                <c:pt idx="834">
                  <c:v>45678</c:v>
                </c:pt>
                <c:pt idx="835">
                  <c:v>45680</c:v>
                </c:pt>
                <c:pt idx="836">
                  <c:v>45690</c:v>
                </c:pt>
                <c:pt idx="837">
                  <c:v>45694</c:v>
                </c:pt>
                <c:pt idx="838">
                  <c:v>45695</c:v>
                </c:pt>
                <c:pt idx="839">
                  <c:v>45700</c:v>
                </c:pt>
                <c:pt idx="840">
                  <c:v>45710</c:v>
                </c:pt>
                <c:pt idx="841">
                  <c:v>45720</c:v>
                </c:pt>
                <c:pt idx="842">
                  <c:v>45725</c:v>
                </c:pt>
                <c:pt idx="843">
                  <c:v>45730</c:v>
                </c:pt>
                <c:pt idx="844">
                  <c:v>45735</c:v>
                </c:pt>
                <c:pt idx="845">
                  <c:v>45740</c:v>
                </c:pt>
                <c:pt idx="846">
                  <c:v>45742</c:v>
                </c:pt>
                <c:pt idx="847">
                  <c:v>45745</c:v>
                </c:pt>
                <c:pt idx="848">
                  <c:v>45750</c:v>
                </c:pt>
                <c:pt idx="849">
                  <c:v>45758</c:v>
                </c:pt>
                <c:pt idx="850">
                  <c:v>45760</c:v>
                </c:pt>
                <c:pt idx="851">
                  <c:v>45762</c:v>
                </c:pt>
                <c:pt idx="852">
                  <c:v>45770</c:v>
                </c:pt>
                <c:pt idx="853">
                  <c:v>45775</c:v>
                </c:pt>
                <c:pt idx="854">
                  <c:v>45780</c:v>
                </c:pt>
                <c:pt idx="855">
                  <c:v>45782</c:v>
                </c:pt>
                <c:pt idx="856">
                  <c:v>45785</c:v>
                </c:pt>
                <c:pt idx="857">
                  <c:v>45790</c:v>
                </c:pt>
                <c:pt idx="858">
                  <c:v>45795</c:v>
                </c:pt>
                <c:pt idx="859">
                  <c:v>45800</c:v>
                </c:pt>
                <c:pt idx="860">
                  <c:v>45802</c:v>
                </c:pt>
                <c:pt idx="861">
                  <c:v>45805</c:v>
                </c:pt>
                <c:pt idx="862">
                  <c:v>45810</c:v>
                </c:pt>
                <c:pt idx="863">
                  <c:v>45813</c:v>
                </c:pt>
                <c:pt idx="864">
                  <c:v>45815</c:v>
                </c:pt>
                <c:pt idx="865">
                  <c:v>45820</c:v>
                </c:pt>
                <c:pt idx="866">
                  <c:v>45822</c:v>
                </c:pt>
                <c:pt idx="867">
                  <c:v>45825</c:v>
                </c:pt>
                <c:pt idx="868">
                  <c:v>45835</c:v>
                </c:pt>
              </c:numCache>
            </c:numRef>
          </c:cat>
          <c:val>
            <c:numRef>
              <c:f>Calcs!$D$5:$D$873</c:f>
              <c:numCache>
                <c:formatCode>General</c:formatCode>
                <c:ptCount val="869"/>
                <c:pt idx="0">
                  <c:v>15.42</c:v>
                </c:pt>
                <c:pt idx="1">
                  <c:v>14.6</c:v>
                </c:pt>
                <c:pt idx="2">
                  <c:v>15.72</c:v>
                </c:pt>
                <c:pt idx="3">
                  <c:v>32.56</c:v>
                </c:pt>
                <c:pt idx="4">
                  <c:v>31.8</c:v>
                </c:pt>
                <c:pt idx="5">
                  <c:v>31.49</c:v>
                </c:pt>
                <c:pt idx="6">
                  <c:v>61</c:v>
                </c:pt>
                <c:pt idx="7">
                  <c:v>59.72</c:v>
                </c:pt>
                <c:pt idx="8">
                  <c:v>58.55</c:v>
                </c:pt>
                <c:pt idx="9">
                  <c:v>57.62</c:v>
                </c:pt>
                <c:pt idx="10">
                  <c:v>56.13</c:v>
                </c:pt>
                <c:pt idx="11">
                  <c:v>60.93</c:v>
                </c:pt>
                <c:pt idx="12">
                  <c:v>59.01</c:v>
                </c:pt>
                <c:pt idx="13">
                  <c:v>58.94</c:v>
                </c:pt>
                <c:pt idx="14">
                  <c:v>58.78</c:v>
                </c:pt>
                <c:pt idx="15">
                  <c:v>57.1</c:v>
                </c:pt>
                <c:pt idx="16">
                  <c:v>53.81</c:v>
                </c:pt>
                <c:pt idx="17">
                  <c:v>52.9</c:v>
                </c:pt>
                <c:pt idx="18">
                  <c:v>49.63</c:v>
                </c:pt>
                <c:pt idx="19">
                  <c:v>58.01</c:v>
                </c:pt>
                <c:pt idx="20">
                  <c:v>55.32</c:v>
                </c:pt>
                <c:pt idx="21">
                  <c:v>54.47</c:v>
                </c:pt>
                <c:pt idx="22">
                  <c:v>49.75</c:v>
                </c:pt>
                <c:pt idx="23">
                  <c:v>51.23</c:v>
                </c:pt>
                <c:pt idx="24">
                  <c:v>49.75</c:v>
                </c:pt>
                <c:pt idx="25">
                  <c:v>47.87</c:v>
                </c:pt>
                <c:pt idx="26">
                  <c:v>46.89</c:v>
                </c:pt>
                <c:pt idx="27">
                  <c:v>54.84</c:v>
                </c:pt>
                <c:pt idx="28">
                  <c:v>56.55</c:v>
                </c:pt>
                <c:pt idx="29">
                  <c:v>56.51</c:v>
                </c:pt>
                <c:pt idx="30">
                  <c:v>54.1</c:v>
                </c:pt>
                <c:pt idx="31">
                  <c:v>52.22</c:v>
                </c:pt>
                <c:pt idx="32">
                  <c:v>49.16</c:v>
                </c:pt>
                <c:pt idx="33">
                  <c:v>36.68</c:v>
                </c:pt>
                <c:pt idx="34">
                  <c:v>36.64</c:v>
                </c:pt>
                <c:pt idx="35">
                  <c:v>36.67</c:v>
                </c:pt>
                <c:pt idx="36">
                  <c:v>35.46</c:v>
                </c:pt>
                <c:pt idx="37">
                  <c:v>33.94</c:v>
                </c:pt>
                <c:pt idx="38">
                  <c:v>58.75</c:v>
                </c:pt>
                <c:pt idx="39">
                  <c:v>57.31</c:v>
                </c:pt>
                <c:pt idx="40">
                  <c:v>54.29</c:v>
                </c:pt>
                <c:pt idx="41">
                  <c:v>52.69</c:v>
                </c:pt>
                <c:pt idx="42">
                  <c:v>55.99</c:v>
                </c:pt>
                <c:pt idx="43">
                  <c:v>55.37</c:v>
                </c:pt>
                <c:pt idx="44">
                  <c:v>42.53</c:v>
                </c:pt>
                <c:pt idx="45">
                  <c:v>42.06</c:v>
                </c:pt>
                <c:pt idx="46">
                  <c:v>54.51</c:v>
                </c:pt>
                <c:pt idx="47">
                  <c:v>55.23</c:v>
                </c:pt>
                <c:pt idx="48">
                  <c:v>48.72</c:v>
                </c:pt>
                <c:pt idx="49">
                  <c:v>46.22</c:v>
                </c:pt>
                <c:pt idx="50">
                  <c:v>42.34</c:v>
                </c:pt>
                <c:pt idx="51">
                  <c:v>47.77</c:v>
                </c:pt>
                <c:pt idx="52">
                  <c:v>42.73</c:v>
                </c:pt>
                <c:pt idx="53">
                  <c:v>42.05</c:v>
                </c:pt>
                <c:pt idx="54">
                  <c:v>38.799999999999997</c:v>
                </c:pt>
                <c:pt idx="55">
                  <c:v>39.270000000000003</c:v>
                </c:pt>
                <c:pt idx="56">
                  <c:v>36.380000000000003</c:v>
                </c:pt>
                <c:pt idx="57">
                  <c:v>37.42</c:v>
                </c:pt>
                <c:pt idx="58">
                  <c:v>36.380000000000003</c:v>
                </c:pt>
                <c:pt idx="59">
                  <c:v>34.03</c:v>
                </c:pt>
                <c:pt idx="60">
                  <c:v>32.76</c:v>
                </c:pt>
                <c:pt idx="61">
                  <c:v>31.34</c:v>
                </c:pt>
                <c:pt idx="62">
                  <c:v>27.03</c:v>
                </c:pt>
                <c:pt idx="63">
                  <c:v>26.88</c:v>
                </c:pt>
                <c:pt idx="64">
                  <c:v>26.47</c:v>
                </c:pt>
                <c:pt idx="65">
                  <c:v>38.61</c:v>
                </c:pt>
                <c:pt idx="66">
                  <c:v>38.130000000000003</c:v>
                </c:pt>
                <c:pt idx="67">
                  <c:v>37.549999999999997</c:v>
                </c:pt>
                <c:pt idx="68">
                  <c:v>61.19</c:v>
                </c:pt>
                <c:pt idx="69">
                  <c:v>58.23</c:v>
                </c:pt>
                <c:pt idx="70">
                  <c:v>58.08</c:v>
                </c:pt>
                <c:pt idx="71">
                  <c:v>56.6</c:v>
                </c:pt>
                <c:pt idx="72">
                  <c:v>56.34</c:v>
                </c:pt>
                <c:pt idx="73">
                  <c:v>53.37</c:v>
                </c:pt>
                <c:pt idx="74">
                  <c:v>59.08</c:v>
                </c:pt>
                <c:pt idx="75">
                  <c:v>56.9</c:v>
                </c:pt>
                <c:pt idx="76">
                  <c:v>56.76</c:v>
                </c:pt>
                <c:pt idx="77">
                  <c:v>55.4</c:v>
                </c:pt>
                <c:pt idx="78">
                  <c:v>53.1</c:v>
                </c:pt>
                <c:pt idx="79">
                  <c:v>52.71</c:v>
                </c:pt>
                <c:pt idx="80">
                  <c:v>51.99</c:v>
                </c:pt>
                <c:pt idx="81">
                  <c:v>51.3</c:v>
                </c:pt>
                <c:pt idx="82">
                  <c:v>58.96</c:v>
                </c:pt>
                <c:pt idx="83">
                  <c:v>58.28</c:v>
                </c:pt>
                <c:pt idx="84">
                  <c:v>57.36</c:v>
                </c:pt>
                <c:pt idx="85">
                  <c:v>57.07</c:v>
                </c:pt>
                <c:pt idx="86">
                  <c:v>56.3</c:v>
                </c:pt>
                <c:pt idx="87">
                  <c:v>52.41</c:v>
                </c:pt>
                <c:pt idx="88">
                  <c:v>57.3</c:v>
                </c:pt>
                <c:pt idx="89">
                  <c:v>57.83</c:v>
                </c:pt>
                <c:pt idx="90">
                  <c:v>57.51</c:v>
                </c:pt>
                <c:pt idx="91">
                  <c:v>59.64</c:v>
                </c:pt>
                <c:pt idx="92">
                  <c:v>57.79</c:v>
                </c:pt>
                <c:pt idx="93">
                  <c:v>57.98</c:v>
                </c:pt>
                <c:pt idx="94">
                  <c:v>59.4</c:v>
                </c:pt>
                <c:pt idx="95">
                  <c:v>59.51</c:v>
                </c:pt>
                <c:pt idx="96">
                  <c:v>58.28</c:v>
                </c:pt>
                <c:pt idx="97">
                  <c:v>57.65</c:v>
                </c:pt>
                <c:pt idx="98">
                  <c:v>57.71</c:v>
                </c:pt>
                <c:pt idx="99">
                  <c:v>57.35</c:v>
                </c:pt>
                <c:pt idx="100">
                  <c:v>56.75</c:v>
                </c:pt>
                <c:pt idx="101">
                  <c:v>58.44</c:v>
                </c:pt>
                <c:pt idx="102">
                  <c:v>58.27</c:v>
                </c:pt>
                <c:pt idx="103">
                  <c:v>56.47</c:v>
                </c:pt>
                <c:pt idx="104">
                  <c:v>58.18</c:v>
                </c:pt>
                <c:pt idx="105">
                  <c:v>56.08</c:v>
                </c:pt>
                <c:pt idx="106">
                  <c:v>54.16</c:v>
                </c:pt>
                <c:pt idx="107">
                  <c:v>54.2</c:v>
                </c:pt>
                <c:pt idx="108">
                  <c:v>50.32</c:v>
                </c:pt>
                <c:pt idx="109">
                  <c:v>48.95</c:v>
                </c:pt>
                <c:pt idx="110">
                  <c:v>46.41</c:v>
                </c:pt>
                <c:pt idx="111">
                  <c:v>46.54</c:v>
                </c:pt>
                <c:pt idx="112">
                  <c:v>43.54</c:v>
                </c:pt>
                <c:pt idx="113">
                  <c:v>43.79</c:v>
                </c:pt>
                <c:pt idx="114">
                  <c:v>41.09</c:v>
                </c:pt>
                <c:pt idx="115">
                  <c:v>40.64</c:v>
                </c:pt>
                <c:pt idx="116">
                  <c:v>40.47</c:v>
                </c:pt>
                <c:pt idx="117">
                  <c:v>39.65</c:v>
                </c:pt>
                <c:pt idx="118">
                  <c:v>39.880000000000003</c:v>
                </c:pt>
                <c:pt idx="119">
                  <c:v>37.159999999999997</c:v>
                </c:pt>
                <c:pt idx="120">
                  <c:v>37.25</c:v>
                </c:pt>
                <c:pt idx="121">
                  <c:v>36.39</c:v>
                </c:pt>
                <c:pt idx="122">
                  <c:v>35.75</c:v>
                </c:pt>
                <c:pt idx="123">
                  <c:v>36.19</c:v>
                </c:pt>
                <c:pt idx="124">
                  <c:v>35.549999999999997</c:v>
                </c:pt>
                <c:pt idx="125">
                  <c:v>33.68</c:v>
                </c:pt>
                <c:pt idx="126">
                  <c:v>40.6</c:v>
                </c:pt>
                <c:pt idx="127">
                  <c:v>40.69</c:v>
                </c:pt>
                <c:pt idx="128">
                  <c:v>40.53</c:v>
                </c:pt>
                <c:pt idx="129">
                  <c:v>46.45</c:v>
                </c:pt>
                <c:pt idx="130">
                  <c:v>46.07</c:v>
                </c:pt>
                <c:pt idx="131">
                  <c:v>46.6</c:v>
                </c:pt>
                <c:pt idx="132">
                  <c:v>45.95</c:v>
                </c:pt>
                <c:pt idx="133">
                  <c:v>46.09</c:v>
                </c:pt>
                <c:pt idx="134">
                  <c:v>43.18</c:v>
                </c:pt>
                <c:pt idx="135">
                  <c:v>40.770000000000003</c:v>
                </c:pt>
                <c:pt idx="136">
                  <c:v>39.67</c:v>
                </c:pt>
                <c:pt idx="137">
                  <c:v>38.159999999999997</c:v>
                </c:pt>
                <c:pt idx="138">
                  <c:v>36.520000000000003</c:v>
                </c:pt>
                <c:pt idx="139">
                  <c:v>36.380000000000003</c:v>
                </c:pt>
                <c:pt idx="140">
                  <c:v>35.229999999999997</c:v>
                </c:pt>
                <c:pt idx="141">
                  <c:v>33.090000000000003</c:v>
                </c:pt>
                <c:pt idx="142">
                  <c:v>30.67</c:v>
                </c:pt>
                <c:pt idx="143">
                  <c:v>29.53</c:v>
                </c:pt>
                <c:pt idx="144">
                  <c:v>30</c:v>
                </c:pt>
                <c:pt idx="145">
                  <c:v>28.94</c:v>
                </c:pt>
                <c:pt idx="146">
                  <c:v>27.82</c:v>
                </c:pt>
                <c:pt idx="147">
                  <c:v>26.54</c:v>
                </c:pt>
                <c:pt idx="148">
                  <c:v>25.94</c:v>
                </c:pt>
                <c:pt idx="149">
                  <c:v>25.19</c:v>
                </c:pt>
                <c:pt idx="150">
                  <c:v>25.99</c:v>
                </c:pt>
                <c:pt idx="151">
                  <c:v>25.18</c:v>
                </c:pt>
                <c:pt idx="152">
                  <c:v>23.9</c:v>
                </c:pt>
                <c:pt idx="153">
                  <c:v>23.83</c:v>
                </c:pt>
                <c:pt idx="154">
                  <c:v>23.67</c:v>
                </c:pt>
                <c:pt idx="155">
                  <c:v>23.62</c:v>
                </c:pt>
                <c:pt idx="156">
                  <c:v>22.17</c:v>
                </c:pt>
                <c:pt idx="157">
                  <c:v>22.06</c:v>
                </c:pt>
                <c:pt idx="158">
                  <c:v>21.88</c:v>
                </c:pt>
                <c:pt idx="159">
                  <c:v>20.57</c:v>
                </c:pt>
                <c:pt idx="160">
                  <c:v>20.99</c:v>
                </c:pt>
                <c:pt idx="161">
                  <c:v>31.81</c:v>
                </c:pt>
                <c:pt idx="162">
                  <c:v>43.09</c:v>
                </c:pt>
                <c:pt idx="163">
                  <c:v>42.1</c:v>
                </c:pt>
                <c:pt idx="164">
                  <c:v>40.33</c:v>
                </c:pt>
                <c:pt idx="165">
                  <c:v>40.74</c:v>
                </c:pt>
                <c:pt idx="166">
                  <c:v>40.28</c:v>
                </c:pt>
                <c:pt idx="167">
                  <c:v>38.76</c:v>
                </c:pt>
                <c:pt idx="168">
                  <c:v>37.799999999999997</c:v>
                </c:pt>
                <c:pt idx="169">
                  <c:v>36.340000000000003</c:v>
                </c:pt>
                <c:pt idx="170">
                  <c:v>35.67</c:v>
                </c:pt>
                <c:pt idx="171">
                  <c:v>36.18</c:v>
                </c:pt>
                <c:pt idx="172">
                  <c:v>35.99</c:v>
                </c:pt>
                <c:pt idx="173">
                  <c:v>33.950000000000003</c:v>
                </c:pt>
                <c:pt idx="174">
                  <c:v>33.29</c:v>
                </c:pt>
                <c:pt idx="175">
                  <c:v>32.83</c:v>
                </c:pt>
                <c:pt idx="176">
                  <c:v>32.58</c:v>
                </c:pt>
                <c:pt idx="177">
                  <c:v>35.729999999999997</c:v>
                </c:pt>
                <c:pt idx="178">
                  <c:v>35.64</c:v>
                </c:pt>
                <c:pt idx="179">
                  <c:v>32.78</c:v>
                </c:pt>
                <c:pt idx="180">
                  <c:v>30.91</c:v>
                </c:pt>
                <c:pt idx="181">
                  <c:v>30.82</c:v>
                </c:pt>
                <c:pt idx="182">
                  <c:v>30.13</c:v>
                </c:pt>
                <c:pt idx="183">
                  <c:v>29.9</c:v>
                </c:pt>
                <c:pt idx="184">
                  <c:v>29.67</c:v>
                </c:pt>
                <c:pt idx="185">
                  <c:v>28.05</c:v>
                </c:pt>
                <c:pt idx="186">
                  <c:v>27.02</c:v>
                </c:pt>
                <c:pt idx="187">
                  <c:v>26.68</c:v>
                </c:pt>
                <c:pt idx="188">
                  <c:v>26.09</c:v>
                </c:pt>
                <c:pt idx="189">
                  <c:v>25.93</c:v>
                </c:pt>
                <c:pt idx="190">
                  <c:v>25.94</c:v>
                </c:pt>
                <c:pt idx="191">
                  <c:v>26.45</c:v>
                </c:pt>
                <c:pt idx="192">
                  <c:v>24.73</c:v>
                </c:pt>
                <c:pt idx="193">
                  <c:v>24.14</c:v>
                </c:pt>
                <c:pt idx="194">
                  <c:v>24.48</c:v>
                </c:pt>
                <c:pt idx="195">
                  <c:v>23.98</c:v>
                </c:pt>
                <c:pt idx="196">
                  <c:v>23.96</c:v>
                </c:pt>
                <c:pt idx="197">
                  <c:v>24.44</c:v>
                </c:pt>
                <c:pt idx="198">
                  <c:v>23.9</c:v>
                </c:pt>
                <c:pt idx="199">
                  <c:v>23.83</c:v>
                </c:pt>
                <c:pt idx="200">
                  <c:v>24.39</c:v>
                </c:pt>
                <c:pt idx="201">
                  <c:v>23.63</c:v>
                </c:pt>
                <c:pt idx="202">
                  <c:v>23.69</c:v>
                </c:pt>
                <c:pt idx="203">
                  <c:v>24.61</c:v>
                </c:pt>
                <c:pt idx="204">
                  <c:v>23.48</c:v>
                </c:pt>
                <c:pt idx="205">
                  <c:v>23.67</c:v>
                </c:pt>
                <c:pt idx="206">
                  <c:v>22.45</c:v>
                </c:pt>
                <c:pt idx="207">
                  <c:v>23.88</c:v>
                </c:pt>
                <c:pt idx="208">
                  <c:v>23.79</c:v>
                </c:pt>
                <c:pt idx="209">
                  <c:v>23.54</c:v>
                </c:pt>
                <c:pt idx="210">
                  <c:v>22.06</c:v>
                </c:pt>
                <c:pt idx="211">
                  <c:v>22.03</c:v>
                </c:pt>
                <c:pt idx="212">
                  <c:v>22.06</c:v>
                </c:pt>
                <c:pt idx="213">
                  <c:v>23.89</c:v>
                </c:pt>
                <c:pt idx="214">
                  <c:v>23.77</c:v>
                </c:pt>
                <c:pt idx="215">
                  <c:v>23.44</c:v>
                </c:pt>
                <c:pt idx="216">
                  <c:v>22.2</c:v>
                </c:pt>
                <c:pt idx="217">
                  <c:v>21.93</c:v>
                </c:pt>
                <c:pt idx="218">
                  <c:v>22.06</c:v>
                </c:pt>
                <c:pt idx="219">
                  <c:v>21.94</c:v>
                </c:pt>
                <c:pt idx="220">
                  <c:v>21.09</c:v>
                </c:pt>
                <c:pt idx="221">
                  <c:v>20.71</c:v>
                </c:pt>
                <c:pt idx="222">
                  <c:v>20.51</c:v>
                </c:pt>
                <c:pt idx="223">
                  <c:v>23.69</c:v>
                </c:pt>
                <c:pt idx="224">
                  <c:v>23.51</c:v>
                </c:pt>
                <c:pt idx="225">
                  <c:v>22.62</c:v>
                </c:pt>
                <c:pt idx="226">
                  <c:v>22.09</c:v>
                </c:pt>
                <c:pt idx="227">
                  <c:v>22.03</c:v>
                </c:pt>
                <c:pt idx="228">
                  <c:v>22.08</c:v>
                </c:pt>
                <c:pt idx="229">
                  <c:v>21.8</c:v>
                </c:pt>
                <c:pt idx="230">
                  <c:v>21.05</c:v>
                </c:pt>
                <c:pt idx="231">
                  <c:v>20.309999999999999</c:v>
                </c:pt>
                <c:pt idx="232">
                  <c:v>20.56</c:v>
                </c:pt>
                <c:pt idx="233">
                  <c:v>18.98</c:v>
                </c:pt>
                <c:pt idx="234">
                  <c:v>18.54</c:v>
                </c:pt>
                <c:pt idx="235">
                  <c:v>18.5</c:v>
                </c:pt>
                <c:pt idx="236">
                  <c:v>18.21</c:v>
                </c:pt>
                <c:pt idx="237">
                  <c:v>18.059999999999999</c:v>
                </c:pt>
                <c:pt idx="238">
                  <c:v>18.03</c:v>
                </c:pt>
                <c:pt idx="239">
                  <c:v>17.98</c:v>
                </c:pt>
                <c:pt idx="240">
                  <c:v>17.73</c:v>
                </c:pt>
                <c:pt idx="241">
                  <c:v>17.04</c:v>
                </c:pt>
                <c:pt idx="242">
                  <c:v>16.89</c:v>
                </c:pt>
                <c:pt idx="243">
                  <c:v>16.89</c:v>
                </c:pt>
                <c:pt idx="244">
                  <c:v>16.82</c:v>
                </c:pt>
                <c:pt idx="245">
                  <c:v>16.86</c:v>
                </c:pt>
                <c:pt idx="246">
                  <c:v>16.79</c:v>
                </c:pt>
                <c:pt idx="247">
                  <c:v>16.77</c:v>
                </c:pt>
                <c:pt idx="248">
                  <c:v>16.72</c:v>
                </c:pt>
                <c:pt idx="249">
                  <c:v>15.88</c:v>
                </c:pt>
                <c:pt idx="250">
                  <c:v>15.9</c:v>
                </c:pt>
                <c:pt idx="251">
                  <c:v>15.89</c:v>
                </c:pt>
                <c:pt idx="252">
                  <c:v>15.83</c:v>
                </c:pt>
                <c:pt idx="253">
                  <c:v>15.77</c:v>
                </c:pt>
                <c:pt idx="254">
                  <c:v>15.75</c:v>
                </c:pt>
                <c:pt idx="255">
                  <c:v>15.72</c:v>
                </c:pt>
                <c:pt idx="256">
                  <c:v>15.65</c:v>
                </c:pt>
                <c:pt idx="257">
                  <c:v>15.67</c:v>
                </c:pt>
                <c:pt idx="258">
                  <c:v>16.53</c:v>
                </c:pt>
                <c:pt idx="259">
                  <c:v>15.63</c:v>
                </c:pt>
                <c:pt idx="260">
                  <c:v>15.62</c:v>
                </c:pt>
                <c:pt idx="261">
                  <c:v>15.5</c:v>
                </c:pt>
                <c:pt idx="262">
                  <c:v>16.16</c:v>
                </c:pt>
                <c:pt idx="263">
                  <c:v>15.14</c:v>
                </c:pt>
                <c:pt idx="264">
                  <c:v>15.49</c:v>
                </c:pt>
                <c:pt idx="265">
                  <c:v>16.27</c:v>
                </c:pt>
                <c:pt idx="266">
                  <c:v>15.11</c:v>
                </c:pt>
                <c:pt idx="267">
                  <c:v>15.9</c:v>
                </c:pt>
                <c:pt idx="268">
                  <c:v>15.03</c:v>
                </c:pt>
                <c:pt idx="269">
                  <c:v>15.93</c:v>
                </c:pt>
                <c:pt idx="270">
                  <c:v>14.93</c:v>
                </c:pt>
                <c:pt idx="271">
                  <c:v>15.81</c:v>
                </c:pt>
                <c:pt idx="272">
                  <c:v>14.95</c:v>
                </c:pt>
                <c:pt idx="273">
                  <c:v>14.62</c:v>
                </c:pt>
                <c:pt idx="274">
                  <c:v>14.95</c:v>
                </c:pt>
                <c:pt idx="275">
                  <c:v>14.83</c:v>
                </c:pt>
                <c:pt idx="276">
                  <c:v>14.46</c:v>
                </c:pt>
                <c:pt idx="277">
                  <c:v>14.47</c:v>
                </c:pt>
                <c:pt idx="278">
                  <c:v>14.47</c:v>
                </c:pt>
                <c:pt idx="279">
                  <c:v>14.49</c:v>
                </c:pt>
                <c:pt idx="280">
                  <c:v>15.59</c:v>
                </c:pt>
                <c:pt idx="281">
                  <c:v>14.44</c:v>
                </c:pt>
                <c:pt idx="282">
                  <c:v>15.03</c:v>
                </c:pt>
                <c:pt idx="283">
                  <c:v>15.81</c:v>
                </c:pt>
                <c:pt idx="284">
                  <c:v>14.68</c:v>
                </c:pt>
                <c:pt idx="285">
                  <c:v>14.93</c:v>
                </c:pt>
                <c:pt idx="286">
                  <c:v>14.63</c:v>
                </c:pt>
                <c:pt idx="287">
                  <c:v>14.56</c:v>
                </c:pt>
                <c:pt idx="288">
                  <c:v>14.53</c:v>
                </c:pt>
                <c:pt idx="289">
                  <c:v>14.24</c:v>
                </c:pt>
                <c:pt idx="290">
                  <c:v>14.47</c:v>
                </c:pt>
                <c:pt idx="291">
                  <c:v>14.44</c:v>
                </c:pt>
                <c:pt idx="292">
                  <c:v>14.32</c:v>
                </c:pt>
                <c:pt idx="293">
                  <c:v>14.35</c:v>
                </c:pt>
                <c:pt idx="294">
                  <c:v>14.01</c:v>
                </c:pt>
                <c:pt idx="295">
                  <c:v>14</c:v>
                </c:pt>
                <c:pt idx="296">
                  <c:v>15.87</c:v>
                </c:pt>
                <c:pt idx="297">
                  <c:v>15.07</c:v>
                </c:pt>
                <c:pt idx="298">
                  <c:v>14.68</c:v>
                </c:pt>
                <c:pt idx="299">
                  <c:v>14.75</c:v>
                </c:pt>
                <c:pt idx="300">
                  <c:v>14.6</c:v>
                </c:pt>
                <c:pt idx="301">
                  <c:v>14.41</c:v>
                </c:pt>
                <c:pt idx="302">
                  <c:v>14.38</c:v>
                </c:pt>
                <c:pt idx="303">
                  <c:v>13.28</c:v>
                </c:pt>
                <c:pt idx="304">
                  <c:v>13.3</c:v>
                </c:pt>
                <c:pt idx="305">
                  <c:v>12.97</c:v>
                </c:pt>
                <c:pt idx="306">
                  <c:v>13.18</c:v>
                </c:pt>
                <c:pt idx="307">
                  <c:v>14.36</c:v>
                </c:pt>
                <c:pt idx="308">
                  <c:v>14.18</c:v>
                </c:pt>
                <c:pt idx="309">
                  <c:v>14.68</c:v>
                </c:pt>
                <c:pt idx="310">
                  <c:v>14.65</c:v>
                </c:pt>
                <c:pt idx="311">
                  <c:v>14.04</c:v>
                </c:pt>
                <c:pt idx="312">
                  <c:v>13.94</c:v>
                </c:pt>
                <c:pt idx="313">
                  <c:v>13.96</c:v>
                </c:pt>
                <c:pt idx="314">
                  <c:v>13.95</c:v>
                </c:pt>
                <c:pt idx="315">
                  <c:v>13.5</c:v>
                </c:pt>
                <c:pt idx="316">
                  <c:v>13.46</c:v>
                </c:pt>
                <c:pt idx="317">
                  <c:v>13.36</c:v>
                </c:pt>
                <c:pt idx="318">
                  <c:v>13.44</c:v>
                </c:pt>
                <c:pt idx="319">
                  <c:v>14.43</c:v>
                </c:pt>
                <c:pt idx="320">
                  <c:v>14.34</c:v>
                </c:pt>
                <c:pt idx="321">
                  <c:v>14.03</c:v>
                </c:pt>
                <c:pt idx="322">
                  <c:v>14.42</c:v>
                </c:pt>
                <c:pt idx="323">
                  <c:v>14.16</c:v>
                </c:pt>
                <c:pt idx="324">
                  <c:v>14.85</c:v>
                </c:pt>
                <c:pt idx="325">
                  <c:v>14.34</c:v>
                </c:pt>
                <c:pt idx="326">
                  <c:v>13.94</c:v>
                </c:pt>
                <c:pt idx="327">
                  <c:v>14.23</c:v>
                </c:pt>
                <c:pt idx="328">
                  <c:v>14.17</c:v>
                </c:pt>
                <c:pt idx="329">
                  <c:v>13.95</c:v>
                </c:pt>
                <c:pt idx="330">
                  <c:v>14.09</c:v>
                </c:pt>
                <c:pt idx="331">
                  <c:v>13.42</c:v>
                </c:pt>
                <c:pt idx="332">
                  <c:v>13.64</c:v>
                </c:pt>
                <c:pt idx="333">
                  <c:v>13.85</c:v>
                </c:pt>
                <c:pt idx="334">
                  <c:v>13.35</c:v>
                </c:pt>
                <c:pt idx="335">
                  <c:v>13.75</c:v>
                </c:pt>
                <c:pt idx="336">
                  <c:v>14.49</c:v>
                </c:pt>
                <c:pt idx="337">
                  <c:v>14.09</c:v>
                </c:pt>
                <c:pt idx="338">
                  <c:v>13.92</c:v>
                </c:pt>
                <c:pt idx="339">
                  <c:v>14.37</c:v>
                </c:pt>
                <c:pt idx="340">
                  <c:v>13.76</c:v>
                </c:pt>
                <c:pt idx="341">
                  <c:v>13.85</c:v>
                </c:pt>
                <c:pt idx="342">
                  <c:v>13.89</c:v>
                </c:pt>
                <c:pt idx="343">
                  <c:v>14.16</c:v>
                </c:pt>
                <c:pt idx="344">
                  <c:v>13.72</c:v>
                </c:pt>
                <c:pt idx="345">
                  <c:v>13.26</c:v>
                </c:pt>
                <c:pt idx="346">
                  <c:v>14.17</c:v>
                </c:pt>
                <c:pt idx="347">
                  <c:v>14.11</c:v>
                </c:pt>
                <c:pt idx="348">
                  <c:v>13.8</c:v>
                </c:pt>
                <c:pt idx="349">
                  <c:v>13.17</c:v>
                </c:pt>
                <c:pt idx="350">
                  <c:v>13.82</c:v>
                </c:pt>
                <c:pt idx="351">
                  <c:v>14.85</c:v>
                </c:pt>
                <c:pt idx="352">
                  <c:v>12.92</c:v>
                </c:pt>
                <c:pt idx="353">
                  <c:v>13.3</c:v>
                </c:pt>
                <c:pt idx="354">
                  <c:v>13.13</c:v>
                </c:pt>
                <c:pt idx="355">
                  <c:v>14.32</c:v>
                </c:pt>
                <c:pt idx="356">
                  <c:v>27</c:v>
                </c:pt>
                <c:pt idx="357">
                  <c:v>26.16</c:v>
                </c:pt>
                <c:pt idx="358">
                  <c:v>26.69</c:v>
                </c:pt>
                <c:pt idx="359">
                  <c:v>26.45</c:v>
                </c:pt>
                <c:pt idx="360">
                  <c:v>46.64</c:v>
                </c:pt>
                <c:pt idx="361">
                  <c:v>49.97</c:v>
                </c:pt>
                <c:pt idx="362">
                  <c:v>63.01</c:v>
                </c:pt>
                <c:pt idx="363">
                  <c:v>60.42</c:v>
                </c:pt>
                <c:pt idx="364">
                  <c:v>59.85</c:v>
                </c:pt>
                <c:pt idx="365">
                  <c:v>58.17</c:v>
                </c:pt>
                <c:pt idx="366">
                  <c:v>62.91</c:v>
                </c:pt>
                <c:pt idx="367">
                  <c:v>55.99</c:v>
                </c:pt>
                <c:pt idx="368">
                  <c:v>55.16</c:v>
                </c:pt>
                <c:pt idx="369">
                  <c:v>55.99</c:v>
                </c:pt>
                <c:pt idx="370">
                  <c:v>55</c:v>
                </c:pt>
                <c:pt idx="371">
                  <c:v>56.55</c:v>
                </c:pt>
                <c:pt idx="372">
                  <c:v>58.79</c:v>
                </c:pt>
                <c:pt idx="373">
                  <c:v>59.32</c:v>
                </c:pt>
                <c:pt idx="374">
                  <c:v>59.82</c:v>
                </c:pt>
                <c:pt idx="375">
                  <c:v>59.24</c:v>
                </c:pt>
                <c:pt idx="376">
                  <c:v>58.54</c:v>
                </c:pt>
                <c:pt idx="377">
                  <c:v>57.14</c:v>
                </c:pt>
                <c:pt idx="378">
                  <c:v>57.71</c:v>
                </c:pt>
                <c:pt idx="379">
                  <c:v>57.7</c:v>
                </c:pt>
                <c:pt idx="380">
                  <c:v>57.78</c:v>
                </c:pt>
                <c:pt idx="381">
                  <c:v>57.66</c:v>
                </c:pt>
                <c:pt idx="382">
                  <c:v>61.28</c:v>
                </c:pt>
                <c:pt idx="383">
                  <c:v>59.69</c:v>
                </c:pt>
                <c:pt idx="384">
                  <c:v>58.91</c:v>
                </c:pt>
                <c:pt idx="385">
                  <c:v>58.69</c:v>
                </c:pt>
                <c:pt idx="386">
                  <c:v>58.1</c:v>
                </c:pt>
                <c:pt idx="387">
                  <c:v>57.37</c:v>
                </c:pt>
                <c:pt idx="388">
                  <c:v>57.5</c:v>
                </c:pt>
                <c:pt idx="389">
                  <c:v>56.87</c:v>
                </c:pt>
                <c:pt idx="390">
                  <c:v>56.82</c:v>
                </c:pt>
                <c:pt idx="391">
                  <c:v>56.42</c:v>
                </c:pt>
                <c:pt idx="392">
                  <c:v>55.96</c:v>
                </c:pt>
                <c:pt idx="393">
                  <c:v>55.45</c:v>
                </c:pt>
                <c:pt idx="394">
                  <c:v>55.68</c:v>
                </c:pt>
                <c:pt idx="395">
                  <c:v>55.61</c:v>
                </c:pt>
                <c:pt idx="396">
                  <c:v>54.29</c:v>
                </c:pt>
                <c:pt idx="397">
                  <c:v>53.92</c:v>
                </c:pt>
                <c:pt idx="398">
                  <c:v>52.7</c:v>
                </c:pt>
                <c:pt idx="399">
                  <c:v>53.14</c:v>
                </c:pt>
                <c:pt idx="400">
                  <c:v>56.86</c:v>
                </c:pt>
                <c:pt idx="401">
                  <c:v>57.19</c:v>
                </c:pt>
                <c:pt idx="402">
                  <c:v>54.11</c:v>
                </c:pt>
                <c:pt idx="403">
                  <c:v>54.3</c:v>
                </c:pt>
                <c:pt idx="404">
                  <c:v>53.55</c:v>
                </c:pt>
                <c:pt idx="405">
                  <c:v>52.6</c:v>
                </c:pt>
                <c:pt idx="406">
                  <c:v>53.15</c:v>
                </c:pt>
                <c:pt idx="407">
                  <c:v>52.29</c:v>
                </c:pt>
                <c:pt idx="408">
                  <c:v>51.61</c:v>
                </c:pt>
                <c:pt idx="409">
                  <c:v>50.33</c:v>
                </c:pt>
                <c:pt idx="410">
                  <c:v>50.73</c:v>
                </c:pt>
                <c:pt idx="411">
                  <c:v>49.94</c:v>
                </c:pt>
                <c:pt idx="412">
                  <c:v>47.88</c:v>
                </c:pt>
                <c:pt idx="413">
                  <c:v>48.46</c:v>
                </c:pt>
                <c:pt idx="414">
                  <c:v>47.83</c:v>
                </c:pt>
                <c:pt idx="415">
                  <c:v>47.56</c:v>
                </c:pt>
                <c:pt idx="416">
                  <c:v>49.23</c:v>
                </c:pt>
                <c:pt idx="417">
                  <c:v>49.44</c:v>
                </c:pt>
                <c:pt idx="418">
                  <c:v>51.9</c:v>
                </c:pt>
                <c:pt idx="419">
                  <c:v>54.47</c:v>
                </c:pt>
                <c:pt idx="420">
                  <c:v>54.7</c:v>
                </c:pt>
                <c:pt idx="421">
                  <c:v>53.95</c:v>
                </c:pt>
                <c:pt idx="422">
                  <c:v>53.97</c:v>
                </c:pt>
                <c:pt idx="423">
                  <c:v>53.2</c:v>
                </c:pt>
                <c:pt idx="424">
                  <c:v>53.13</c:v>
                </c:pt>
                <c:pt idx="425">
                  <c:v>53.41</c:v>
                </c:pt>
                <c:pt idx="426">
                  <c:v>52.15</c:v>
                </c:pt>
                <c:pt idx="427">
                  <c:v>52.59</c:v>
                </c:pt>
                <c:pt idx="428">
                  <c:v>51.66</c:v>
                </c:pt>
                <c:pt idx="429">
                  <c:v>50.34</c:v>
                </c:pt>
                <c:pt idx="430">
                  <c:v>50.96</c:v>
                </c:pt>
                <c:pt idx="431">
                  <c:v>50.29</c:v>
                </c:pt>
                <c:pt idx="432">
                  <c:v>59.09</c:v>
                </c:pt>
                <c:pt idx="433">
                  <c:v>58.37</c:v>
                </c:pt>
                <c:pt idx="434">
                  <c:v>57.96</c:v>
                </c:pt>
                <c:pt idx="435">
                  <c:v>57.67</c:v>
                </c:pt>
                <c:pt idx="436">
                  <c:v>55.98</c:v>
                </c:pt>
                <c:pt idx="437">
                  <c:v>57.36</c:v>
                </c:pt>
                <c:pt idx="438">
                  <c:v>57.33</c:v>
                </c:pt>
                <c:pt idx="439">
                  <c:v>57.05</c:v>
                </c:pt>
                <c:pt idx="440">
                  <c:v>56.56</c:v>
                </c:pt>
                <c:pt idx="441">
                  <c:v>56.83</c:v>
                </c:pt>
                <c:pt idx="442">
                  <c:v>61.08</c:v>
                </c:pt>
                <c:pt idx="443">
                  <c:v>62.54</c:v>
                </c:pt>
                <c:pt idx="444">
                  <c:v>59.49</c:v>
                </c:pt>
                <c:pt idx="445">
                  <c:v>58.13</c:v>
                </c:pt>
                <c:pt idx="446">
                  <c:v>57.57</c:v>
                </c:pt>
                <c:pt idx="447">
                  <c:v>57.56</c:v>
                </c:pt>
                <c:pt idx="448">
                  <c:v>57.63</c:v>
                </c:pt>
                <c:pt idx="449">
                  <c:v>57.38</c:v>
                </c:pt>
                <c:pt idx="450">
                  <c:v>57.29</c:v>
                </c:pt>
                <c:pt idx="451">
                  <c:v>57.05</c:v>
                </c:pt>
                <c:pt idx="452">
                  <c:v>56.55</c:v>
                </c:pt>
                <c:pt idx="453">
                  <c:v>57.79</c:v>
                </c:pt>
                <c:pt idx="454">
                  <c:v>56.35</c:v>
                </c:pt>
                <c:pt idx="455">
                  <c:v>56.28</c:v>
                </c:pt>
                <c:pt idx="456">
                  <c:v>56.37</c:v>
                </c:pt>
                <c:pt idx="457">
                  <c:v>56.73</c:v>
                </c:pt>
                <c:pt idx="458">
                  <c:v>55.45</c:v>
                </c:pt>
                <c:pt idx="459">
                  <c:v>55.39</c:v>
                </c:pt>
                <c:pt idx="460">
                  <c:v>54.77</c:v>
                </c:pt>
                <c:pt idx="461">
                  <c:v>54.87</c:v>
                </c:pt>
                <c:pt idx="462">
                  <c:v>60.78</c:v>
                </c:pt>
                <c:pt idx="463">
                  <c:v>58.99</c:v>
                </c:pt>
                <c:pt idx="464">
                  <c:v>54.63</c:v>
                </c:pt>
                <c:pt idx="465">
                  <c:v>58.52</c:v>
                </c:pt>
                <c:pt idx="466">
                  <c:v>58.27</c:v>
                </c:pt>
                <c:pt idx="467">
                  <c:v>57.74</c:v>
                </c:pt>
                <c:pt idx="468">
                  <c:v>57.6</c:v>
                </c:pt>
                <c:pt idx="469">
                  <c:v>58.37</c:v>
                </c:pt>
                <c:pt idx="470">
                  <c:v>59.94</c:v>
                </c:pt>
                <c:pt idx="471">
                  <c:v>56.81</c:v>
                </c:pt>
                <c:pt idx="472">
                  <c:v>56.44</c:v>
                </c:pt>
                <c:pt idx="473">
                  <c:v>56.08</c:v>
                </c:pt>
                <c:pt idx="474">
                  <c:v>56.24</c:v>
                </c:pt>
                <c:pt idx="475">
                  <c:v>56.09</c:v>
                </c:pt>
                <c:pt idx="476">
                  <c:v>55.11</c:v>
                </c:pt>
                <c:pt idx="477">
                  <c:v>56.04</c:v>
                </c:pt>
                <c:pt idx="478">
                  <c:v>55.46</c:v>
                </c:pt>
                <c:pt idx="479">
                  <c:v>54.4</c:v>
                </c:pt>
                <c:pt idx="480">
                  <c:v>53.43</c:v>
                </c:pt>
                <c:pt idx="481">
                  <c:v>53.4</c:v>
                </c:pt>
                <c:pt idx="482">
                  <c:v>53.14</c:v>
                </c:pt>
                <c:pt idx="483">
                  <c:v>51.47</c:v>
                </c:pt>
                <c:pt idx="484">
                  <c:v>51.3</c:v>
                </c:pt>
                <c:pt idx="485">
                  <c:v>49.06</c:v>
                </c:pt>
                <c:pt idx="486">
                  <c:v>49.64</c:v>
                </c:pt>
                <c:pt idx="487">
                  <c:v>48.26</c:v>
                </c:pt>
                <c:pt idx="488">
                  <c:v>46.91</c:v>
                </c:pt>
                <c:pt idx="489">
                  <c:v>47.24</c:v>
                </c:pt>
                <c:pt idx="490">
                  <c:v>46.52</c:v>
                </c:pt>
                <c:pt idx="491">
                  <c:v>45.88</c:v>
                </c:pt>
                <c:pt idx="492">
                  <c:v>45.17</c:v>
                </c:pt>
                <c:pt idx="493">
                  <c:v>43.53</c:v>
                </c:pt>
                <c:pt idx="494">
                  <c:v>43.02</c:v>
                </c:pt>
                <c:pt idx="495">
                  <c:v>44.63</c:v>
                </c:pt>
                <c:pt idx="496">
                  <c:v>44.12</c:v>
                </c:pt>
                <c:pt idx="497">
                  <c:v>52.66</c:v>
                </c:pt>
                <c:pt idx="498">
                  <c:v>54.55</c:v>
                </c:pt>
                <c:pt idx="499">
                  <c:v>54.91</c:v>
                </c:pt>
                <c:pt idx="500">
                  <c:v>53.73</c:v>
                </c:pt>
                <c:pt idx="501">
                  <c:v>56.58</c:v>
                </c:pt>
                <c:pt idx="502">
                  <c:v>56.28</c:v>
                </c:pt>
                <c:pt idx="503">
                  <c:v>57.29</c:v>
                </c:pt>
                <c:pt idx="504">
                  <c:v>56.77</c:v>
                </c:pt>
                <c:pt idx="505">
                  <c:v>56.56</c:v>
                </c:pt>
                <c:pt idx="506">
                  <c:v>55.82</c:v>
                </c:pt>
                <c:pt idx="507">
                  <c:v>55.7</c:v>
                </c:pt>
                <c:pt idx="508">
                  <c:v>55.86</c:v>
                </c:pt>
                <c:pt idx="509">
                  <c:v>55.53</c:v>
                </c:pt>
                <c:pt idx="510">
                  <c:v>55.02</c:v>
                </c:pt>
                <c:pt idx="511">
                  <c:v>54.87</c:v>
                </c:pt>
                <c:pt idx="512">
                  <c:v>54.67</c:v>
                </c:pt>
                <c:pt idx="513">
                  <c:v>54.39</c:v>
                </c:pt>
                <c:pt idx="514">
                  <c:v>53.33</c:v>
                </c:pt>
                <c:pt idx="515">
                  <c:v>53.17</c:v>
                </c:pt>
                <c:pt idx="516">
                  <c:v>52.99</c:v>
                </c:pt>
                <c:pt idx="517">
                  <c:v>52.13</c:v>
                </c:pt>
                <c:pt idx="518">
                  <c:v>50.89</c:v>
                </c:pt>
                <c:pt idx="519">
                  <c:v>51.25</c:v>
                </c:pt>
                <c:pt idx="520">
                  <c:v>50.18</c:v>
                </c:pt>
                <c:pt idx="521">
                  <c:v>50.04</c:v>
                </c:pt>
                <c:pt idx="522">
                  <c:v>49.16</c:v>
                </c:pt>
                <c:pt idx="523">
                  <c:v>48.94</c:v>
                </c:pt>
                <c:pt idx="524">
                  <c:v>48.17</c:v>
                </c:pt>
                <c:pt idx="525">
                  <c:v>48.16</c:v>
                </c:pt>
                <c:pt idx="526">
                  <c:v>47.88</c:v>
                </c:pt>
                <c:pt idx="527">
                  <c:v>46.66</c:v>
                </c:pt>
                <c:pt idx="528">
                  <c:v>46.79</c:v>
                </c:pt>
                <c:pt idx="529">
                  <c:v>47.04</c:v>
                </c:pt>
                <c:pt idx="530">
                  <c:v>46.4</c:v>
                </c:pt>
                <c:pt idx="531">
                  <c:v>47.07</c:v>
                </c:pt>
                <c:pt idx="532">
                  <c:v>46.39</c:v>
                </c:pt>
                <c:pt idx="533">
                  <c:v>46.23</c:v>
                </c:pt>
                <c:pt idx="534">
                  <c:v>42.2</c:v>
                </c:pt>
                <c:pt idx="535">
                  <c:v>44.26</c:v>
                </c:pt>
                <c:pt idx="536">
                  <c:v>45</c:v>
                </c:pt>
                <c:pt idx="537">
                  <c:v>43.47</c:v>
                </c:pt>
                <c:pt idx="538">
                  <c:v>43.73</c:v>
                </c:pt>
                <c:pt idx="539">
                  <c:v>43.62</c:v>
                </c:pt>
                <c:pt idx="540">
                  <c:v>42.34</c:v>
                </c:pt>
                <c:pt idx="541">
                  <c:v>40.93</c:v>
                </c:pt>
                <c:pt idx="542">
                  <c:v>41.93</c:v>
                </c:pt>
                <c:pt idx="543">
                  <c:v>40.76</c:v>
                </c:pt>
                <c:pt idx="544">
                  <c:v>41.26</c:v>
                </c:pt>
                <c:pt idx="545">
                  <c:v>40.92</c:v>
                </c:pt>
                <c:pt idx="546">
                  <c:v>39.89</c:v>
                </c:pt>
                <c:pt idx="547">
                  <c:v>39.770000000000003</c:v>
                </c:pt>
                <c:pt idx="548">
                  <c:v>39.42</c:v>
                </c:pt>
                <c:pt idx="549">
                  <c:v>39.49</c:v>
                </c:pt>
                <c:pt idx="550">
                  <c:v>39.42</c:v>
                </c:pt>
                <c:pt idx="551">
                  <c:v>38.270000000000003</c:v>
                </c:pt>
                <c:pt idx="552">
                  <c:v>38.630000000000003</c:v>
                </c:pt>
                <c:pt idx="553">
                  <c:v>37.11</c:v>
                </c:pt>
                <c:pt idx="554">
                  <c:v>38.22</c:v>
                </c:pt>
                <c:pt idx="555">
                  <c:v>37.159999999999997</c:v>
                </c:pt>
                <c:pt idx="556">
                  <c:v>37.17</c:v>
                </c:pt>
                <c:pt idx="557">
                  <c:v>36.53</c:v>
                </c:pt>
                <c:pt idx="558">
                  <c:v>35.880000000000003</c:v>
                </c:pt>
                <c:pt idx="559">
                  <c:v>36.72</c:v>
                </c:pt>
                <c:pt idx="560">
                  <c:v>35.42</c:v>
                </c:pt>
                <c:pt idx="561">
                  <c:v>36.18</c:v>
                </c:pt>
                <c:pt idx="562">
                  <c:v>37.06</c:v>
                </c:pt>
                <c:pt idx="563">
                  <c:v>33.82</c:v>
                </c:pt>
                <c:pt idx="564">
                  <c:v>35.57</c:v>
                </c:pt>
                <c:pt idx="565">
                  <c:v>34.880000000000003</c:v>
                </c:pt>
                <c:pt idx="566">
                  <c:v>34.520000000000003</c:v>
                </c:pt>
                <c:pt idx="567">
                  <c:v>34.049999999999997</c:v>
                </c:pt>
                <c:pt idx="568">
                  <c:v>32.31</c:v>
                </c:pt>
                <c:pt idx="569">
                  <c:v>32.83</c:v>
                </c:pt>
                <c:pt idx="570">
                  <c:v>31.81</c:v>
                </c:pt>
                <c:pt idx="571">
                  <c:v>31.85</c:v>
                </c:pt>
                <c:pt idx="572">
                  <c:v>33.28</c:v>
                </c:pt>
                <c:pt idx="573">
                  <c:v>32.85</c:v>
                </c:pt>
                <c:pt idx="574">
                  <c:v>31.86</c:v>
                </c:pt>
                <c:pt idx="575">
                  <c:v>30.14</c:v>
                </c:pt>
                <c:pt idx="576">
                  <c:v>30.76</c:v>
                </c:pt>
                <c:pt idx="577">
                  <c:v>33</c:v>
                </c:pt>
                <c:pt idx="578">
                  <c:v>33.200000000000003</c:v>
                </c:pt>
                <c:pt idx="579">
                  <c:v>31.96</c:v>
                </c:pt>
                <c:pt idx="580">
                  <c:v>31.51</c:v>
                </c:pt>
                <c:pt idx="581">
                  <c:v>31.32</c:v>
                </c:pt>
                <c:pt idx="582">
                  <c:v>30.12</c:v>
                </c:pt>
                <c:pt idx="583">
                  <c:v>31.32</c:v>
                </c:pt>
                <c:pt idx="584">
                  <c:v>29.11</c:v>
                </c:pt>
                <c:pt idx="585">
                  <c:v>28.9</c:v>
                </c:pt>
                <c:pt idx="586">
                  <c:v>28.91</c:v>
                </c:pt>
                <c:pt idx="587">
                  <c:v>26.83</c:v>
                </c:pt>
                <c:pt idx="588">
                  <c:v>27.02</c:v>
                </c:pt>
                <c:pt idx="589">
                  <c:v>26.56</c:v>
                </c:pt>
                <c:pt idx="590">
                  <c:v>26.14</c:v>
                </c:pt>
                <c:pt idx="591">
                  <c:v>25.56</c:v>
                </c:pt>
                <c:pt idx="592">
                  <c:v>24.91</c:v>
                </c:pt>
                <c:pt idx="593">
                  <c:v>25.5</c:v>
                </c:pt>
                <c:pt idx="594">
                  <c:v>56.77</c:v>
                </c:pt>
                <c:pt idx="595">
                  <c:v>55.92</c:v>
                </c:pt>
                <c:pt idx="596">
                  <c:v>56.31</c:v>
                </c:pt>
                <c:pt idx="597">
                  <c:v>55.52</c:v>
                </c:pt>
                <c:pt idx="598">
                  <c:v>55</c:v>
                </c:pt>
                <c:pt idx="599">
                  <c:v>54.3</c:v>
                </c:pt>
                <c:pt idx="600">
                  <c:v>52.26</c:v>
                </c:pt>
                <c:pt idx="601">
                  <c:v>51.72</c:v>
                </c:pt>
                <c:pt idx="602">
                  <c:v>52.63</c:v>
                </c:pt>
                <c:pt idx="603">
                  <c:v>52.89</c:v>
                </c:pt>
                <c:pt idx="604">
                  <c:v>51.65</c:v>
                </c:pt>
                <c:pt idx="605">
                  <c:v>51.99</c:v>
                </c:pt>
                <c:pt idx="606">
                  <c:v>51.51</c:v>
                </c:pt>
                <c:pt idx="607">
                  <c:v>51.03</c:v>
                </c:pt>
                <c:pt idx="608">
                  <c:v>50.83</c:v>
                </c:pt>
                <c:pt idx="609">
                  <c:v>49.93</c:v>
                </c:pt>
                <c:pt idx="610">
                  <c:v>48.07</c:v>
                </c:pt>
                <c:pt idx="611">
                  <c:v>47.86</c:v>
                </c:pt>
                <c:pt idx="612">
                  <c:v>47.21</c:v>
                </c:pt>
                <c:pt idx="613">
                  <c:v>46.04</c:v>
                </c:pt>
                <c:pt idx="614">
                  <c:v>49.37</c:v>
                </c:pt>
                <c:pt idx="615">
                  <c:v>47.92</c:v>
                </c:pt>
                <c:pt idx="616">
                  <c:v>47.91</c:v>
                </c:pt>
                <c:pt idx="617">
                  <c:v>46.28</c:v>
                </c:pt>
                <c:pt idx="618">
                  <c:v>46.06</c:v>
                </c:pt>
                <c:pt idx="619">
                  <c:v>45.95</c:v>
                </c:pt>
                <c:pt idx="620">
                  <c:v>46.08</c:v>
                </c:pt>
                <c:pt idx="621">
                  <c:v>44.08</c:v>
                </c:pt>
                <c:pt idx="622">
                  <c:v>44.65</c:v>
                </c:pt>
                <c:pt idx="623">
                  <c:v>44.06</c:v>
                </c:pt>
                <c:pt idx="624">
                  <c:v>43.55</c:v>
                </c:pt>
                <c:pt idx="625">
                  <c:v>42.63</c:v>
                </c:pt>
                <c:pt idx="626">
                  <c:v>42.77</c:v>
                </c:pt>
                <c:pt idx="627">
                  <c:v>41.41</c:v>
                </c:pt>
                <c:pt idx="628">
                  <c:v>41.27</c:v>
                </c:pt>
                <c:pt idx="629">
                  <c:v>41.02</c:v>
                </c:pt>
                <c:pt idx="630">
                  <c:v>40.9</c:v>
                </c:pt>
                <c:pt idx="631">
                  <c:v>42.4</c:v>
                </c:pt>
                <c:pt idx="632">
                  <c:v>40.33</c:v>
                </c:pt>
                <c:pt idx="633">
                  <c:v>40.270000000000003</c:v>
                </c:pt>
                <c:pt idx="634">
                  <c:v>39.81</c:v>
                </c:pt>
                <c:pt idx="635">
                  <c:v>38.58</c:v>
                </c:pt>
                <c:pt idx="636">
                  <c:v>43.09</c:v>
                </c:pt>
                <c:pt idx="637">
                  <c:v>39.47</c:v>
                </c:pt>
                <c:pt idx="638">
                  <c:v>54.35</c:v>
                </c:pt>
                <c:pt idx="639">
                  <c:v>54.07</c:v>
                </c:pt>
                <c:pt idx="640">
                  <c:v>52.93</c:v>
                </c:pt>
                <c:pt idx="641">
                  <c:v>52.3</c:v>
                </c:pt>
                <c:pt idx="642">
                  <c:v>51.6</c:v>
                </c:pt>
                <c:pt idx="643">
                  <c:v>50.32</c:v>
                </c:pt>
                <c:pt idx="644">
                  <c:v>45.77</c:v>
                </c:pt>
                <c:pt idx="645">
                  <c:v>44.95</c:v>
                </c:pt>
                <c:pt idx="646">
                  <c:v>43.79</c:v>
                </c:pt>
                <c:pt idx="647">
                  <c:v>43.5</c:v>
                </c:pt>
                <c:pt idx="648">
                  <c:v>42.54</c:v>
                </c:pt>
                <c:pt idx="649">
                  <c:v>40.950000000000003</c:v>
                </c:pt>
                <c:pt idx="650">
                  <c:v>41.68</c:v>
                </c:pt>
                <c:pt idx="651">
                  <c:v>40</c:v>
                </c:pt>
                <c:pt idx="652">
                  <c:v>38.53</c:v>
                </c:pt>
                <c:pt idx="653">
                  <c:v>38.47</c:v>
                </c:pt>
                <c:pt idx="654">
                  <c:v>38.619999999999997</c:v>
                </c:pt>
                <c:pt idx="655">
                  <c:v>37.25</c:v>
                </c:pt>
                <c:pt idx="656">
                  <c:v>35.659999999999997</c:v>
                </c:pt>
                <c:pt idx="657">
                  <c:v>35.56</c:v>
                </c:pt>
                <c:pt idx="658">
                  <c:v>35.82</c:v>
                </c:pt>
                <c:pt idx="659">
                  <c:v>34.44</c:v>
                </c:pt>
                <c:pt idx="660">
                  <c:v>33.22</c:v>
                </c:pt>
                <c:pt idx="661">
                  <c:v>32.659999999999997</c:v>
                </c:pt>
                <c:pt idx="662">
                  <c:v>32.54</c:v>
                </c:pt>
                <c:pt idx="663">
                  <c:v>61.82</c:v>
                </c:pt>
                <c:pt idx="664">
                  <c:v>56.3</c:v>
                </c:pt>
                <c:pt idx="665">
                  <c:v>53.38</c:v>
                </c:pt>
                <c:pt idx="666">
                  <c:v>68.5</c:v>
                </c:pt>
                <c:pt idx="667">
                  <c:v>55.77</c:v>
                </c:pt>
                <c:pt idx="668">
                  <c:v>55.11</c:v>
                </c:pt>
                <c:pt idx="669">
                  <c:v>53.81</c:v>
                </c:pt>
                <c:pt idx="670">
                  <c:v>53.34</c:v>
                </c:pt>
                <c:pt idx="671">
                  <c:v>53.8</c:v>
                </c:pt>
                <c:pt idx="672">
                  <c:v>53.19</c:v>
                </c:pt>
                <c:pt idx="673">
                  <c:v>50.63</c:v>
                </c:pt>
                <c:pt idx="674">
                  <c:v>50.97</c:v>
                </c:pt>
                <c:pt idx="675">
                  <c:v>50.52</c:v>
                </c:pt>
                <c:pt idx="676">
                  <c:v>49.67</c:v>
                </c:pt>
                <c:pt idx="677">
                  <c:v>48.5</c:v>
                </c:pt>
                <c:pt idx="678">
                  <c:v>48.01</c:v>
                </c:pt>
                <c:pt idx="679">
                  <c:v>47.15</c:v>
                </c:pt>
                <c:pt idx="680">
                  <c:v>46.64</c:v>
                </c:pt>
                <c:pt idx="681">
                  <c:v>46.3</c:v>
                </c:pt>
                <c:pt idx="682">
                  <c:v>46.42</c:v>
                </c:pt>
                <c:pt idx="683">
                  <c:v>45.47</c:v>
                </c:pt>
                <c:pt idx="684">
                  <c:v>45.57</c:v>
                </c:pt>
                <c:pt idx="685">
                  <c:v>44.96</c:v>
                </c:pt>
                <c:pt idx="686">
                  <c:v>43.4</c:v>
                </c:pt>
                <c:pt idx="687">
                  <c:v>42.62</c:v>
                </c:pt>
                <c:pt idx="688">
                  <c:v>42.46</c:v>
                </c:pt>
                <c:pt idx="689">
                  <c:v>42.14</c:v>
                </c:pt>
                <c:pt idx="690">
                  <c:v>40.83</c:v>
                </c:pt>
                <c:pt idx="691">
                  <c:v>40.17</c:v>
                </c:pt>
                <c:pt idx="692">
                  <c:v>41.73</c:v>
                </c:pt>
                <c:pt idx="693">
                  <c:v>48.23</c:v>
                </c:pt>
                <c:pt idx="694">
                  <c:v>47.93</c:v>
                </c:pt>
                <c:pt idx="695">
                  <c:v>47.05</c:v>
                </c:pt>
                <c:pt idx="696">
                  <c:v>46.96</c:v>
                </c:pt>
                <c:pt idx="697">
                  <c:v>46.57</c:v>
                </c:pt>
                <c:pt idx="698">
                  <c:v>45.81</c:v>
                </c:pt>
                <c:pt idx="699">
                  <c:v>45.32</c:v>
                </c:pt>
                <c:pt idx="700">
                  <c:v>45.27</c:v>
                </c:pt>
                <c:pt idx="701">
                  <c:v>44.79</c:v>
                </c:pt>
                <c:pt idx="702">
                  <c:v>44.07</c:v>
                </c:pt>
                <c:pt idx="703">
                  <c:v>42.23</c:v>
                </c:pt>
                <c:pt idx="704">
                  <c:v>42.54</c:v>
                </c:pt>
                <c:pt idx="705">
                  <c:v>42.19</c:v>
                </c:pt>
                <c:pt idx="706">
                  <c:v>40.36</c:v>
                </c:pt>
                <c:pt idx="707">
                  <c:v>40.6</c:v>
                </c:pt>
                <c:pt idx="708">
                  <c:v>39.979999999999997</c:v>
                </c:pt>
                <c:pt idx="709">
                  <c:v>39.380000000000003</c:v>
                </c:pt>
                <c:pt idx="710">
                  <c:v>39.32</c:v>
                </c:pt>
                <c:pt idx="711">
                  <c:v>39.42</c:v>
                </c:pt>
                <c:pt idx="712">
                  <c:v>46.68</c:v>
                </c:pt>
                <c:pt idx="713">
                  <c:v>46.83</c:v>
                </c:pt>
                <c:pt idx="714">
                  <c:v>47.61</c:v>
                </c:pt>
                <c:pt idx="715">
                  <c:v>47.98</c:v>
                </c:pt>
                <c:pt idx="716">
                  <c:v>46.95</c:v>
                </c:pt>
                <c:pt idx="717">
                  <c:v>45.89</c:v>
                </c:pt>
                <c:pt idx="718">
                  <c:v>61.74</c:v>
                </c:pt>
                <c:pt idx="719">
                  <c:v>55.83</c:v>
                </c:pt>
                <c:pt idx="720">
                  <c:v>53.67</c:v>
                </c:pt>
                <c:pt idx="721">
                  <c:v>53.66</c:v>
                </c:pt>
                <c:pt idx="722">
                  <c:v>54.02</c:v>
                </c:pt>
                <c:pt idx="723">
                  <c:v>52.17</c:v>
                </c:pt>
                <c:pt idx="724">
                  <c:v>53.37</c:v>
                </c:pt>
                <c:pt idx="725">
                  <c:v>54.12</c:v>
                </c:pt>
                <c:pt idx="726">
                  <c:v>53.71</c:v>
                </c:pt>
                <c:pt idx="727">
                  <c:v>53.51</c:v>
                </c:pt>
                <c:pt idx="728">
                  <c:v>53.26</c:v>
                </c:pt>
                <c:pt idx="729">
                  <c:v>52.23</c:v>
                </c:pt>
                <c:pt idx="730">
                  <c:v>51.89</c:v>
                </c:pt>
                <c:pt idx="731">
                  <c:v>49.83</c:v>
                </c:pt>
                <c:pt idx="732">
                  <c:v>49.07</c:v>
                </c:pt>
                <c:pt idx="733">
                  <c:v>54.39</c:v>
                </c:pt>
                <c:pt idx="734">
                  <c:v>54.39</c:v>
                </c:pt>
                <c:pt idx="735">
                  <c:v>53.08</c:v>
                </c:pt>
                <c:pt idx="736">
                  <c:v>52.7</c:v>
                </c:pt>
                <c:pt idx="737">
                  <c:v>51.98</c:v>
                </c:pt>
                <c:pt idx="738">
                  <c:v>50.38</c:v>
                </c:pt>
                <c:pt idx="739">
                  <c:v>50.58</c:v>
                </c:pt>
                <c:pt idx="740">
                  <c:v>49.11</c:v>
                </c:pt>
                <c:pt idx="741">
                  <c:v>48.61</c:v>
                </c:pt>
                <c:pt idx="742">
                  <c:v>46.83</c:v>
                </c:pt>
                <c:pt idx="743">
                  <c:v>46.19</c:v>
                </c:pt>
                <c:pt idx="744">
                  <c:v>44.57</c:v>
                </c:pt>
                <c:pt idx="745">
                  <c:v>44.23</c:v>
                </c:pt>
                <c:pt idx="746">
                  <c:v>45.94</c:v>
                </c:pt>
                <c:pt idx="747">
                  <c:v>47.35</c:v>
                </c:pt>
                <c:pt idx="748">
                  <c:v>46.75</c:v>
                </c:pt>
                <c:pt idx="749">
                  <c:v>46.62</c:v>
                </c:pt>
                <c:pt idx="750">
                  <c:v>44.09</c:v>
                </c:pt>
                <c:pt idx="751">
                  <c:v>43.53</c:v>
                </c:pt>
                <c:pt idx="752">
                  <c:v>43.07</c:v>
                </c:pt>
                <c:pt idx="753">
                  <c:v>42.79</c:v>
                </c:pt>
                <c:pt idx="754">
                  <c:v>41.57</c:v>
                </c:pt>
                <c:pt idx="755">
                  <c:v>42.94</c:v>
                </c:pt>
                <c:pt idx="756">
                  <c:v>40.229999999999997</c:v>
                </c:pt>
                <c:pt idx="757">
                  <c:v>39.69</c:v>
                </c:pt>
                <c:pt idx="758">
                  <c:v>39.4</c:v>
                </c:pt>
                <c:pt idx="759">
                  <c:v>38.770000000000003</c:v>
                </c:pt>
                <c:pt idx="760">
                  <c:v>38.32</c:v>
                </c:pt>
                <c:pt idx="761">
                  <c:v>38.630000000000003</c:v>
                </c:pt>
                <c:pt idx="762">
                  <c:v>39.19</c:v>
                </c:pt>
                <c:pt idx="763">
                  <c:v>37.14</c:v>
                </c:pt>
                <c:pt idx="764">
                  <c:v>37.130000000000003</c:v>
                </c:pt>
                <c:pt idx="765">
                  <c:v>43.52</c:v>
                </c:pt>
                <c:pt idx="766">
                  <c:v>49.42</c:v>
                </c:pt>
                <c:pt idx="767">
                  <c:v>50.7</c:v>
                </c:pt>
                <c:pt idx="768">
                  <c:v>53.78</c:v>
                </c:pt>
                <c:pt idx="769">
                  <c:v>52.41</c:v>
                </c:pt>
                <c:pt idx="770">
                  <c:v>55.86</c:v>
                </c:pt>
                <c:pt idx="771">
                  <c:v>49.57</c:v>
                </c:pt>
                <c:pt idx="772">
                  <c:v>53.02</c:v>
                </c:pt>
                <c:pt idx="773">
                  <c:v>52.68</c:v>
                </c:pt>
                <c:pt idx="774">
                  <c:v>55.06</c:v>
                </c:pt>
                <c:pt idx="775">
                  <c:v>52.31</c:v>
                </c:pt>
                <c:pt idx="776">
                  <c:v>52.09</c:v>
                </c:pt>
                <c:pt idx="777">
                  <c:v>51.33</c:v>
                </c:pt>
                <c:pt idx="778">
                  <c:v>58.88</c:v>
                </c:pt>
                <c:pt idx="779">
                  <c:v>55.24</c:v>
                </c:pt>
                <c:pt idx="780">
                  <c:v>54.32</c:v>
                </c:pt>
                <c:pt idx="781">
                  <c:v>53.39</c:v>
                </c:pt>
                <c:pt idx="782">
                  <c:v>53.18</c:v>
                </c:pt>
                <c:pt idx="783">
                  <c:v>52.78</c:v>
                </c:pt>
                <c:pt idx="784">
                  <c:v>52.64</c:v>
                </c:pt>
                <c:pt idx="785">
                  <c:v>52.39</c:v>
                </c:pt>
                <c:pt idx="786">
                  <c:v>52.46</c:v>
                </c:pt>
                <c:pt idx="787">
                  <c:v>50.7</c:v>
                </c:pt>
                <c:pt idx="788">
                  <c:v>51.71</c:v>
                </c:pt>
                <c:pt idx="789">
                  <c:v>51.74</c:v>
                </c:pt>
                <c:pt idx="790">
                  <c:v>52.46</c:v>
                </c:pt>
                <c:pt idx="791">
                  <c:v>52</c:v>
                </c:pt>
                <c:pt idx="792">
                  <c:v>52.04</c:v>
                </c:pt>
                <c:pt idx="793">
                  <c:v>51.37</c:v>
                </c:pt>
                <c:pt idx="794">
                  <c:v>50.33</c:v>
                </c:pt>
                <c:pt idx="795">
                  <c:v>45.43</c:v>
                </c:pt>
                <c:pt idx="796">
                  <c:v>49.56</c:v>
                </c:pt>
                <c:pt idx="797">
                  <c:v>49.72</c:v>
                </c:pt>
                <c:pt idx="798">
                  <c:v>47.24</c:v>
                </c:pt>
                <c:pt idx="799">
                  <c:v>45.94</c:v>
                </c:pt>
                <c:pt idx="800">
                  <c:v>44.99</c:v>
                </c:pt>
                <c:pt idx="801">
                  <c:v>45.41</c:v>
                </c:pt>
                <c:pt idx="802">
                  <c:v>51.69</c:v>
                </c:pt>
                <c:pt idx="803">
                  <c:v>49.25</c:v>
                </c:pt>
                <c:pt idx="804">
                  <c:v>52.04</c:v>
                </c:pt>
                <c:pt idx="805">
                  <c:v>50.33</c:v>
                </c:pt>
                <c:pt idx="806">
                  <c:v>50.2</c:v>
                </c:pt>
                <c:pt idx="807">
                  <c:v>49.16</c:v>
                </c:pt>
                <c:pt idx="808">
                  <c:v>48.23</c:v>
                </c:pt>
                <c:pt idx="809">
                  <c:v>47.49</c:v>
                </c:pt>
                <c:pt idx="810">
                  <c:v>46.62</c:v>
                </c:pt>
                <c:pt idx="811">
                  <c:v>46.71</c:v>
                </c:pt>
                <c:pt idx="812">
                  <c:v>45.93</c:v>
                </c:pt>
                <c:pt idx="813">
                  <c:v>43.65</c:v>
                </c:pt>
                <c:pt idx="814">
                  <c:v>43.34</c:v>
                </c:pt>
                <c:pt idx="815">
                  <c:v>42.67</c:v>
                </c:pt>
                <c:pt idx="816">
                  <c:v>43.06</c:v>
                </c:pt>
                <c:pt idx="817">
                  <c:v>41.85</c:v>
                </c:pt>
                <c:pt idx="818">
                  <c:v>41.08</c:v>
                </c:pt>
                <c:pt idx="819">
                  <c:v>39.93</c:v>
                </c:pt>
                <c:pt idx="820">
                  <c:v>39.53</c:v>
                </c:pt>
                <c:pt idx="821">
                  <c:v>39.61</c:v>
                </c:pt>
                <c:pt idx="822">
                  <c:v>38.78</c:v>
                </c:pt>
                <c:pt idx="823">
                  <c:v>40.53</c:v>
                </c:pt>
                <c:pt idx="824">
                  <c:v>36.659999999999997</c:v>
                </c:pt>
                <c:pt idx="825">
                  <c:v>36.82</c:v>
                </c:pt>
                <c:pt idx="826">
                  <c:v>36.22</c:v>
                </c:pt>
                <c:pt idx="827">
                  <c:v>35.82</c:v>
                </c:pt>
                <c:pt idx="828">
                  <c:v>35.53</c:v>
                </c:pt>
                <c:pt idx="829">
                  <c:v>37.770000000000003</c:v>
                </c:pt>
                <c:pt idx="830">
                  <c:v>35.43</c:v>
                </c:pt>
                <c:pt idx="831">
                  <c:v>35.18</c:v>
                </c:pt>
                <c:pt idx="832">
                  <c:v>35.61</c:v>
                </c:pt>
                <c:pt idx="833">
                  <c:v>34.54</c:v>
                </c:pt>
                <c:pt idx="834">
                  <c:v>36.869999999999997</c:v>
                </c:pt>
                <c:pt idx="835">
                  <c:v>34.950000000000003</c:v>
                </c:pt>
                <c:pt idx="836">
                  <c:v>32.86</c:v>
                </c:pt>
                <c:pt idx="837">
                  <c:v>32.520000000000003</c:v>
                </c:pt>
                <c:pt idx="838">
                  <c:v>36.36</c:v>
                </c:pt>
                <c:pt idx="839">
                  <c:v>32.049999999999997</c:v>
                </c:pt>
                <c:pt idx="840">
                  <c:v>31.16</c:v>
                </c:pt>
                <c:pt idx="841">
                  <c:v>29.18</c:v>
                </c:pt>
                <c:pt idx="842">
                  <c:v>31.08</c:v>
                </c:pt>
                <c:pt idx="843">
                  <c:v>27.99</c:v>
                </c:pt>
                <c:pt idx="844">
                  <c:v>27.17</c:v>
                </c:pt>
                <c:pt idx="845">
                  <c:v>25.59</c:v>
                </c:pt>
                <c:pt idx="846">
                  <c:v>26.23</c:v>
                </c:pt>
                <c:pt idx="847">
                  <c:v>24.75</c:v>
                </c:pt>
                <c:pt idx="848">
                  <c:v>24.43</c:v>
                </c:pt>
                <c:pt idx="849">
                  <c:v>22.8</c:v>
                </c:pt>
                <c:pt idx="850">
                  <c:v>22.49</c:v>
                </c:pt>
                <c:pt idx="851">
                  <c:v>22.27</c:v>
                </c:pt>
                <c:pt idx="852">
                  <c:v>21.41</c:v>
                </c:pt>
                <c:pt idx="853">
                  <c:v>20.61</c:v>
                </c:pt>
                <c:pt idx="854">
                  <c:v>20.25</c:v>
                </c:pt>
                <c:pt idx="855">
                  <c:v>19.79</c:v>
                </c:pt>
                <c:pt idx="856">
                  <c:v>19.920000000000002</c:v>
                </c:pt>
                <c:pt idx="857">
                  <c:v>23.56</c:v>
                </c:pt>
                <c:pt idx="858">
                  <c:v>24.03</c:v>
                </c:pt>
                <c:pt idx="859">
                  <c:v>22.43</c:v>
                </c:pt>
                <c:pt idx="860">
                  <c:v>22.34</c:v>
                </c:pt>
                <c:pt idx="861">
                  <c:v>21.64</c:v>
                </c:pt>
                <c:pt idx="862">
                  <c:v>20.16</c:v>
                </c:pt>
                <c:pt idx="863">
                  <c:v>24.17</c:v>
                </c:pt>
                <c:pt idx="864">
                  <c:v>19.559999999999999</c:v>
                </c:pt>
                <c:pt idx="865">
                  <c:v>19</c:v>
                </c:pt>
                <c:pt idx="866">
                  <c:v>18.510000000000002</c:v>
                </c:pt>
                <c:pt idx="867">
                  <c:v>17.71</c:v>
                </c:pt>
                <c:pt idx="868">
                  <c:v>24.86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2-734C-BFDB-6F1524147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235344"/>
        <c:axId val="641237056"/>
      </c:lineChart>
      <c:dateAx>
        <c:axId val="641235344"/>
        <c:scaling>
          <c:orientation val="minMax"/>
          <c:max val="46023"/>
          <c:min val="387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7056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6412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Reservoir Surface Water</a:t>
                </a:r>
                <a:r>
                  <a:rPr lang="en-GB" sz="1400" b="1" baseline="0"/>
                  <a:t> </a:t>
                </a:r>
                <a:r>
                  <a:rPr lang="en-GB" sz="1400" b="1"/>
                  <a:t>Area</a:t>
                </a:r>
                <a:r>
                  <a:rPr lang="en-GB" sz="1400" b="1" baseline="0"/>
                  <a:t> (km2)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Info!$C$55</c:f>
          <c:strCache>
            <c:ptCount val="1"/>
            <c:pt idx="0">
              <c:v>Mirani Reservoir, Balochistan: Reservoir Water Level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Calcs!$F$4</c:f>
              <c:strCache>
                <c:ptCount val="1"/>
                <c:pt idx="0">
                  <c:v>Elevation (SRTM30-m)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bg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Calcs!$C$5:$C$873</c:f>
              <c:numCache>
                <c:formatCode>m/d/yy</c:formatCode>
                <c:ptCount val="869"/>
                <c:pt idx="0">
                  <c:v>38966</c:v>
                </c:pt>
                <c:pt idx="1">
                  <c:v>38982</c:v>
                </c:pt>
                <c:pt idx="2">
                  <c:v>39014</c:v>
                </c:pt>
                <c:pt idx="3">
                  <c:v>39174</c:v>
                </c:pt>
                <c:pt idx="4">
                  <c:v>39190</c:v>
                </c:pt>
                <c:pt idx="5">
                  <c:v>39206</c:v>
                </c:pt>
                <c:pt idx="6">
                  <c:v>39286</c:v>
                </c:pt>
                <c:pt idx="7">
                  <c:v>39302</c:v>
                </c:pt>
                <c:pt idx="8">
                  <c:v>39334</c:v>
                </c:pt>
                <c:pt idx="9">
                  <c:v>39350</c:v>
                </c:pt>
                <c:pt idx="10">
                  <c:v>39366</c:v>
                </c:pt>
                <c:pt idx="11">
                  <c:v>39478</c:v>
                </c:pt>
                <c:pt idx="12">
                  <c:v>39510</c:v>
                </c:pt>
                <c:pt idx="13">
                  <c:v>39526</c:v>
                </c:pt>
                <c:pt idx="14">
                  <c:v>39542</c:v>
                </c:pt>
                <c:pt idx="15">
                  <c:v>39558</c:v>
                </c:pt>
                <c:pt idx="16">
                  <c:v>39590</c:v>
                </c:pt>
                <c:pt idx="17">
                  <c:v>39606</c:v>
                </c:pt>
                <c:pt idx="18">
                  <c:v>39654</c:v>
                </c:pt>
                <c:pt idx="19">
                  <c:v>39670</c:v>
                </c:pt>
                <c:pt idx="20">
                  <c:v>39686</c:v>
                </c:pt>
                <c:pt idx="21">
                  <c:v>39702</c:v>
                </c:pt>
                <c:pt idx="22">
                  <c:v>39718</c:v>
                </c:pt>
                <c:pt idx="23">
                  <c:v>39734</c:v>
                </c:pt>
                <c:pt idx="24">
                  <c:v>39750</c:v>
                </c:pt>
                <c:pt idx="25">
                  <c:v>39766</c:v>
                </c:pt>
                <c:pt idx="26">
                  <c:v>39782</c:v>
                </c:pt>
                <c:pt idx="27">
                  <c:v>39878</c:v>
                </c:pt>
                <c:pt idx="28">
                  <c:v>39926</c:v>
                </c:pt>
                <c:pt idx="29">
                  <c:v>39942</c:v>
                </c:pt>
                <c:pt idx="30">
                  <c:v>39958</c:v>
                </c:pt>
                <c:pt idx="31">
                  <c:v>39974</c:v>
                </c:pt>
                <c:pt idx="32">
                  <c:v>39990</c:v>
                </c:pt>
                <c:pt idx="33">
                  <c:v>40070</c:v>
                </c:pt>
                <c:pt idx="34">
                  <c:v>40086</c:v>
                </c:pt>
                <c:pt idx="35">
                  <c:v>40102</c:v>
                </c:pt>
                <c:pt idx="36">
                  <c:v>40118</c:v>
                </c:pt>
                <c:pt idx="37">
                  <c:v>40134</c:v>
                </c:pt>
                <c:pt idx="38">
                  <c:v>40246</c:v>
                </c:pt>
                <c:pt idx="39">
                  <c:v>40262</c:v>
                </c:pt>
                <c:pt idx="40">
                  <c:v>40310</c:v>
                </c:pt>
                <c:pt idx="41">
                  <c:v>40326</c:v>
                </c:pt>
                <c:pt idx="42">
                  <c:v>40342</c:v>
                </c:pt>
                <c:pt idx="43">
                  <c:v>40358</c:v>
                </c:pt>
                <c:pt idx="44">
                  <c:v>40470</c:v>
                </c:pt>
                <c:pt idx="45">
                  <c:v>40486</c:v>
                </c:pt>
                <c:pt idx="46">
                  <c:v>40662</c:v>
                </c:pt>
                <c:pt idx="47">
                  <c:v>40678</c:v>
                </c:pt>
                <c:pt idx="48">
                  <c:v>40726</c:v>
                </c:pt>
                <c:pt idx="49">
                  <c:v>40742</c:v>
                </c:pt>
                <c:pt idx="50">
                  <c:v>40758</c:v>
                </c:pt>
                <c:pt idx="51">
                  <c:v>40806</c:v>
                </c:pt>
                <c:pt idx="52">
                  <c:v>40838</c:v>
                </c:pt>
                <c:pt idx="53">
                  <c:v>40854</c:v>
                </c:pt>
                <c:pt idx="54">
                  <c:v>40998</c:v>
                </c:pt>
                <c:pt idx="55">
                  <c:v>41014</c:v>
                </c:pt>
                <c:pt idx="56">
                  <c:v>41030</c:v>
                </c:pt>
                <c:pt idx="57">
                  <c:v>41046</c:v>
                </c:pt>
                <c:pt idx="58">
                  <c:v>41078</c:v>
                </c:pt>
                <c:pt idx="59">
                  <c:v>41094</c:v>
                </c:pt>
                <c:pt idx="60">
                  <c:v>41110</c:v>
                </c:pt>
                <c:pt idx="61">
                  <c:v>41126</c:v>
                </c:pt>
                <c:pt idx="62">
                  <c:v>41174</c:v>
                </c:pt>
                <c:pt idx="63">
                  <c:v>41190</c:v>
                </c:pt>
                <c:pt idx="64">
                  <c:v>41206</c:v>
                </c:pt>
                <c:pt idx="65">
                  <c:v>41350</c:v>
                </c:pt>
                <c:pt idx="66">
                  <c:v>41366</c:v>
                </c:pt>
                <c:pt idx="67">
                  <c:v>41369</c:v>
                </c:pt>
                <c:pt idx="68">
                  <c:v>41374</c:v>
                </c:pt>
                <c:pt idx="69">
                  <c:v>41382</c:v>
                </c:pt>
                <c:pt idx="70">
                  <c:v>41398</c:v>
                </c:pt>
                <c:pt idx="71">
                  <c:v>41414</c:v>
                </c:pt>
                <c:pt idx="72">
                  <c:v>41422</c:v>
                </c:pt>
                <c:pt idx="73">
                  <c:v>41486</c:v>
                </c:pt>
                <c:pt idx="74">
                  <c:v>41502</c:v>
                </c:pt>
                <c:pt idx="75">
                  <c:v>41526</c:v>
                </c:pt>
                <c:pt idx="76">
                  <c:v>41534</c:v>
                </c:pt>
                <c:pt idx="77">
                  <c:v>41558</c:v>
                </c:pt>
                <c:pt idx="78">
                  <c:v>41566</c:v>
                </c:pt>
                <c:pt idx="79">
                  <c:v>41574</c:v>
                </c:pt>
                <c:pt idx="80">
                  <c:v>41582</c:v>
                </c:pt>
                <c:pt idx="81">
                  <c:v>41598</c:v>
                </c:pt>
                <c:pt idx="82">
                  <c:v>41606</c:v>
                </c:pt>
                <c:pt idx="83">
                  <c:v>41614</c:v>
                </c:pt>
                <c:pt idx="84">
                  <c:v>41622</c:v>
                </c:pt>
                <c:pt idx="85">
                  <c:v>41630</c:v>
                </c:pt>
                <c:pt idx="86">
                  <c:v>41638</c:v>
                </c:pt>
                <c:pt idx="87">
                  <c:v>41646</c:v>
                </c:pt>
                <c:pt idx="88">
                  <c:v>41654</c:v>
                </c:pt>
                <c:pt idx="89">
                  <c:v>41662</c:v>
                </c:pt>
                <c:pt idx="90">
                  <c:v>41670</c:v>
                </c:pt>
                <c:pt idx="91">
                  <c:v>41678</c:v>
                </c:pt>
                <c:pt idx="92">
                  <c:v>41686</c:v>
                </c:pt>
                <c:pt idx="93">
                  <c:v>41694</c:v>
                </c:pt>
                <c:pt idx="94">
                  <c:v>41702</c:v>
                </c:pt>
                <c:pt idx="95">
                  <c:v>41718</c:v>
                </c:pt>
                <c:pt idx="96">
                  <c:v>41726</c:v>
                </c:pt>
                <c:pt idx="97">
                  <c:v>41734</c:v>
                </c:pt>
                <c:pt idx="98">
                  <c:v>41742</c:v>
                </c:pt>
                <c:pt idx="99">
                  <c:v>41750</c:v>
                </c:pt>
                <c:pt idx="100">
                  <c:v>41766</c:v>
                </c:pt>
                <c:pt idx="101">
                  <c:v>41782</c:v>
                </c:pt>
                <c:pt idx="102">
                  <c:v>41790</c:v>
                </c:pt>
                <c:pt idx="103">
                  <c:v>41798</c:v>
                </c:pt>
                <c:pt idx="104">
                  <c:v>41806</c:v>
                </c:pt>
                <c:pt idx="105">
                  <c:v>41814</c:v>
                </c:pt>
                <c:pt idx="106">
                  <c:v>41830</c:v>
                </c:pt>
                <c:pt idx="107">
                  <c:v>41838</c:v>
                </c:pt>
                <c:pt idx="108">
                  <c:v>41862</c:v>
                </c:pt>
                <c:pt idx="109">
                  <c:v>41870</c:v>
                </c:pt>
                <c:pt idx="110">
                  <c:v>41878</c:v>
                </c:pt>
                <c:pt idx="111">
                  <c:v>41886</c:v>
                </c:pt>
                <c:pt idx="112">
                  <c:v>41894</c:v>
                </c:pt>
                <c:pt idx="113">
                  <c:v>41902</c:v>
                </c:pt>
                <c:pt idx="114">
                  <c:v>41918</c:v>
                </c:pt>
                <c:pt idx="115">
                  <c:v>41926</c:v>
                </c:pt>
                <c:pt idx="116">
                  <c:v>41934</c:v>
                </c:pt>
                <c:pt idx="117">
                  <c:v>41942</c:v>
                </c:pt>
                <c:pt idx="118">
                  <c:v>41950</c:v>
                </c:pt>
                <c:pt idx="119">
                  <c:v>41958</c:v>
                </c:pt>
                <c:pt idx="120">
                  <c:v>41966</c:v>
                </c:pt>
                <c:pt idx="121">
                  <c:v>41974</c:v>
                </c:pt>
                <c:pt idx="122">
                  <c:v>41982</c:v>
                </c:pt>
                <c:pt idx="123">
                  <c:v>41990</c:v>
                </c:pt>
                <c:pt idx="124">
                  <c:v>41998</c:v>
                </c:pt>
                <c:pt idx="125">
                  <c:v>42022</c:v>
                </c:pt>
                <c:pt idx="126">
                  <c:v>42030</c:v>
                </c:pt>
                <c:pt idx="127">
                  <c:v>42054</c:v>
                </c:pt>
                <c:pt idx="128">
                  <c:v>42062</c:v>
                </c:pt>
                <c:pt idx="129">
                  <c:v>42078</c:v>
                </c:pt>
                <c:pt idx="130">
                  <c:v>42086</c:v>
                </c:pt>
                <c:pt idx="131">
                  <c:v>42094</c:v>
                </c:pt>
                <c:pt idx="132">
                  <c:v>42102</c:v>
                </c:pt>
                <c:pt idx="133">
                  <c:v>42110</c:v>
                </c:pt>
                <c:pt idx="134">
                  <c:v>42126</c:v>
                </c:pt>
                <c:pt idx="135">
                  <c:v>42142</c:v>
                </c:pt>
                <c:pt idx="136">
                  <c:v>42150</c:v>
                </c:pt>
                <c:pt idx="137">
                  <c:v>42158</c:v>
                </c:pt>
                <c:pt idx="138">
                  <c:v>42174</c:v>
                </c:pt>
                <c:pt idx="139">
                  <c:v>42182</c:v>
                </c:pt>
                <c:pt idx="140">
                  <c:v>42190</c:v>
                </c:pt>
                <c:pt idx="141">
                  <c:v>42206</c:v>
                </c:pt>
                <c:pt idx="142">
                  <c:v>42238</c:v>
                </c:pt>
                <c:pt idx="143">
                  <c:v>42246</c:v>
                </c:pt>
                <c:pt idx="144">
                  <c:v>42254</c:v>
                </c:pt>
                <c:pt idx="145">
                  <c:v>42262</c:v>
                </c:pt>
                <c:pt idx="146">
                  <c:v>42270</c:v>
                </c:pt>
                <c:pt idx="147">
                  <c:v>42278</c:v>
                </c:pt>
                <c:pt idx="148">
                  <c:v>42286</c:v>
                </c:pt>
                <c:pt idx="149">
                  <c:v>42294</c:v>
                </c:pt>
                <c:pt idx="150">
                  <c:v>42302</c:v>
                </c:pt>
                <c:pt idx="151">
                  <c:v>42310</c:v>
                </c:pt>
                <c:pt idx="152">
                  <c:v>42326</c:v>
                </c:pt>
                <c:pt idx="153">
                  <c:v>42334</c:v>
                </c:pt>
                <c:pt idx="154">
                  <c:v>42350</c:v>
                </c:pt>
                <c:pt idx="155">
                  <c:v>42358</c:v>
                </c:pt>
                <c:pt idx="156">
                  <c:v>42382</c:v>
                </c:pt>
                <c:pt idx="157">
                  <c:v>42390</c:v>
                </c:pt>
                <c:pt idx="158">
                  <c:v>42406</c:v>
                </c:pt>
                <c:pt idx="159">
                  <c:v>42414</c:v>
                </c:pt>
                <c:pt idx="160">
                  <c:v>42422</c:v>
                </c:pt>
                <c:pt idx="161">
                  <c:v>42440</c:v>
                </c:pt>
                <c:pt idx="162">
                  <c:v>42446</c:v>
                </c:pt>
                <c:pt idx="163">
                  <c:v>42454</c:v>
                </c:pt>
                <c:pt idx="164">
                  <c:v>42470</c:v>
                </c:pt>
                <c:pt idx="165">
                  <c:v>42470</c:v>
                </c:pt>
                <c:pt idx="166">
                  <c:v>42478</c:v>
                </c:pt>
                <c:pt idx="167">
                  <c:v>42486</c:v>
                </c:pt>
                <c:pt idx="168">
                  <c:v>42494</c:v>
                </c:pt>
                <c:pt idx="169">
                  <c:v>42502</c:v>
                </c:pt>
                <c:pt idx="170">
                  <c:v>42510</c:v>
                </c:pt>
                <c:pt idx="171">
                  <c:v>42510</c:v>
                </c:pt>
                <c:pt idx="172">
                  <c:v>42518</c:v>
                </c:pt>
                <c:pt idx="173">
                  <c:v>42526</c:v>
                </c:pt>
                <c:pt idx="174">
                  <c:v>42530</c:v>
                </c:pt>
                <c:pt idx="175">
                  <c:v>42534</c:v>
                </c:pt>
                <c:pt idx="176">
                  <c:v>42542</c:v>
                </c:pt>
                <c:pt idx="177">
                  <c:v>42558</c:v>
                </c:pt>
                <c:pt idx="178">
                  <c:v>42566</c:v>
                </c:pt>
                <c:pt idx="179">
                  <c:v>42582</c:v>
                </c:pt>
                <c:pt idx="180">
                  <c:v>42598</c:v>
                </c:pt>
                <c:pt idx="181">
                  <c:v>42606</c:v>
                </c:pt>
                <c:pt idx="182">
                  <c:v>42610</c:v>
                </c:pt>
                <c:pt idx="183">
                  <c:v>42614</c:v>
                </c:pt>
                <c:pt idx="184">
                  <c:v>42622</c:v>
                </c:pt>
                <c:pt idx="185">
                  <c:v>42638</c:v>
                </c:pt>
                <c:pt idx="186">
                  <c:v>42650</c:v>
                </c:pt>
                <c:pt idx="187">
                  <c:v>42654</c:v>
                </c:pt>
                <c:pt idx="188">
                  <c:v>42662</c:v>
                </c:pt>
                <c:pt idx="189">
                  <c:v>42670</c:v>
                </c:pt>
                <c:pt idx="190">
                  <c:v>42670</c:v>
                </c:pt>
                <c:pt idx="191">
                  <c:v>42678</c:v>
                </c:pt>
                <c:pt idx="192">
                  <c:v>42686</c:v>
                </c:pt>
                <c:pt idx="193">
                  <c:v>42690</c:v>
                </c:pt>
                <c:pt idx="194">
                  <c:v>42694</c:v>
                </c:pt>
                <c:pt idx="195">
                  <c:v>42700</c:v>
                </c:pt>
                <c:pt idx="196">
                  <c:v>42702</c:v>
                </c:pt>
                <c:pt idx="197">
                  <c:v>42710</c:v>
                </c:pt>
                <c:pt idx="198">
                  <c:v>42710</c:v>
                </c:pt>
                <c:pt idx="199">
                  <c:v>42718</c:v>
                </c:pt>
                <c:pt idx="200">
                  <c:v>42726</c:v>
                </c:pt>
                <c:pt idx="201">
                  <c:v>42730</c:v>
                </c:pt>
                <c:pt idx="202">
                  <c:v>42734</c:v>
                </c:pt>
                <c:pt idx="203">
                  <c:v>42740</c:v>
                </c:pt>
                <c:pt idx="204">
                  <c:v>42742</c:v>
                </c:pt>
                <c:pt idx="205">
                  <c:v>42750</c:v>
                </c:pt>
                <c:pt idx="206">
                  <c:v>42750</c:v>
                </c:pt>
                <c:pt idx="207">
                  <c:v>42766</c:v>
                </c:pt>
                <c:pt idx="208">
                  <c:v>42770</c:v>
                </c:pt>
                <c:pt idx="209">
                  <c:v>42782</c:v>
                </c:pt>
                <c:pt idx="210">
                  <c:v>42790</c:v>
                </c:pt>
                <c:pt idx="211">
                  <c:v>42798</c:v>
                </c:pt>
                <c:pt idx="212">
                  <c:v>42800</c:v>
                </c:pt>
                <c:pt idx="213">
                  <c:v>42814</c:v>
                </c:pt>
                <c:pt idx="214">
                  <c:v>42820</c:v>
                </c:pt>
                <c:pt idx="215">
                  <c:v>42822</c:v>
                </c:pt>
                <c:pt idx="216">
                  <c:v>42830</c:v>
                </c:pt>
                <c:pt idx="217">
                  <c:v>42838</c:v>
                </c:pt>
                <c:pt idx="218">
                  <c:v>42840</c:v>
                </c:pt>
                <c:pt idx="219">
                  <c:v>42846</c:v>
                </c:pt>
                <c:pt idx="220">
                  <c:v>42854</c:v>
                </c:pt>
                <c:pt idx="221">
                  <c:v>42860</c:v>
                </c:pt>
                <c:pt idx="222">
                  <c:v>42862</c:v>
                </c:pt>
                <c:pt idx="223">
                  <c:v>42870</c:v>
                </c:pt>
                <c:pt idx="224">
                  <c:v>42878</c:v>
                </c:pt>
                <c:pt idx="225">
                  <c:v>42880</c:v>
                </c:pt>
                <c:pt idx="226">
                  <c:v>42886</c:v>
                </c:pt>
                <c:pt idx="227">
                  <c:v>42894</c:v>
                </c:pt>
                <c:pt idx="228">
                  <c:v>42900</c:v>
                </c:pt>
                <c:pt idx="229">
                  <c:v>42910</c:v>
                </c:pt>
                <c:pt idx="230">
                  <c:v>42918</c:v>
                </c:pt>
                <c:pt idx="231">
                  <c:v>42920</c:v>
                </c:pt>
                <c:pt idx="232">
                  <c:v>42934</c:v>
                </c:pt>
                <c:pt idx="233">
                  <c:v>42942</c:v>
                </c:pt>
                <c:pt idx="234">
                  <c:v>42950</c:v>
                </c:pt>
                <c:pt idx="235">
                  <c:v>42960</c:v>
                </c:pt>
                <c:pt idx="236">
                  <c:v>42966</c:v>
                </c:pt>
                <c:pt idx="237">
                  <c:v>42974</c:v>
                </c:pt>
                <c:pt idx="238">
                  <c:v>42975</c:v>
                </c:pt>
                <c:pt idx="239">
                  <c:v>42982</c:v>
                </c:pt>
                <c:pt idx="240">
                  <c:v>42990</c:v>
                </c:pt>
                <c:pt idx="241">
                  <c:v>42995</c:v>
                </c:pt>
                <c:pt idx="242">
                  <c:v>42998</c:v>
                </c:pt>
                <c:pt idx="243">
                  <c:v>43000</c:v>
                </c:pt>
                <c:pt idx="244">
                  <c:v>43006</c:v>
                </c:pt>
                <c:pt idx="245">
                  <c:v>43014</c:v>
                </c:pt>
                <c:pt idx="246">
                  <c:v>43015</c:v>
                </c:pt>
                <c:pt idx="247">
                  <c:v>43020</c:v>
                </c:pt>
                <c:pt idx="248">
                  <c:v>43022</c:v>
                </c:pt>
                <c:pt idx="249">
                  <c:v>43030</c:v>
                </c:pt>
                <c:pt idx="250">
                  <c:v>43035</c:v>
                </c:pt>
                <c:pt idx="251">
                  <c:v>43038</c:v>
                </c:pt>
                <c:pt idx="252">
                  <c:v>43040</c:v>
                </c:pt>
                <c:pt idx="253">
                  <c:v>43045</c:v>
                </c:pt>
                <c:pt idx="254">
                  <c:v>43046</c:v>
                </c:pt>
                <c:pt idx="255">
                  <c:v>43054</c:v>
                </c:pt>
                <c:pt idx="256">
                  <c:v>43055</c:v>
                </c:pt>
                <c:pt idx="257">
                  <c:v>43060</c:v>
                </c:pt>
                <c:pt idx="258">
                  <c:v>43062</c:v>
                </c:pt>
                <c:pt idx="259">
                  <c:v>43065</c:v>
                </c:pt>
                <c:pt idx="260">
                  <c:v>43070</c:v>
                </c:pt>
                <c:pt idx="261">
                  <c:v>43075</c:v>
                </c:pt>
                <c:pt idx="262">
                  <c:v>43078</c:v>
                </c:pt>
                <c:pt idx="263">
                  <c:v>43080</c:v>
                </c:pt>
                <c:pt idx="264">
                  <c:v>43085</c:v>
                </c:pt>
                <c:pt idx="265">
                  <c:v>43086</c:v>
                </c:pt>
                <c:pt idx="266">
                  <c:v>43095</c:v>
                </c:pt>
                <c:pt idx="267">
                  <c:v>43102</c:v>
                </c:pt>
                <c:pt idx="268">
                  <c:v>43105</c:v>
                </c:pt>
                <c:pt idx="269">
                  <c:v>43110</c:v>
                </c:pt>
                <c:pt idx="270">
                  <c:v>43115</c:v>
                </c:pt>
                <c:pt idx="271">
                  <c:v>43118</c:v>
                </c:pt>
                <c:pt idx="272">
                  <c:v>43120</c:v>
                </c:pt>
                <c:pt idx="273">
                  <c:v>43125</c:v>
                </c:pt>
                <c:pt idx="274">
                  <c:v>43126</c:v>
                </c:pt>
                <c:pt idx="275">
                  <c:v>43134</c:v>
                </c:pt>
                <c:pt idx="276">
                  <c:v>43135</c:v>
                </c:pt>
                <c:pt idx="277">
                  <c:v>43140</c:v>
                </c:pt>
                <c:pt idx="278">
                  <c:v>43150</c:v>
                </c:pt>
                <c:pt idx="279">
                  <c:v>43150</c:v>
                </c:pt>
                <c:pt idx="280">
                  <c:v>43158</c:v>
                </c:pt>
                <c:pt idx="281">
                  <c:v>43160</c:v>
                </c:pt>
                <c:pt idx="282">
                  <c:v>43165</c:v>
                </c:pt>
                <c:pt idx="283">
                  <c:v>43166</c:v>
                </c:pt>
                <c:pt idx="284">
                  <c:v>43170</c:v>
                </c:pt>
                <c:pt idx="285">
                  <c:v>43174</c:v>
                </c:pt>
                <c:pt idx="286">
                  <c:v>43175</c:v>
                </c:pt>
                <c:pt idx="287">
                  <c:v>43180</c:v>
                </c:pt>
                <c:pt idx="288">
                  <c:v>43182</c:v>
                </c:pt>
                <c:pt idx="289">
                  <c:v>43185</c:v>
                </c:pt>
                <c:pt idx="290">
                  <c:v>43190</c:v>
                </c:pt>
                <c:pt idx="291">
                  <c:v>43190</c:v>
                </c:pt>
                <c:pt idx="292">
                  <c:v>43195</c:v>
                </c:pt>
                <c:pt idx="293">
                  <c:v>43198</c:v>
                </c:pt>
                <c:pt idx="294">
                  <c:v>43205</c:v>
                </c:pt>
                <c:pt idx="295">
                  <c:v>43206</c:v>
                </c:pt>
                <c:pt idx="296">
                  <c:v>43210</c:v>
                </c:pt>
                <c:pt idx="297">
                  <c:v>43214</c:v>
                </c:pt>
                <c:pt idx="298">
                  <c:v>43215</c:v>
                </c:pt>
                <c:pt idx="299">
                  <c:v>43220</c:v>
                </c:pt>
                <c:pt idx="300">
                  <c:v>43222</c:v>
                </c:pt>
                <c:pt idx="301">
                  <c:v>43230</c:v>
                </c:pt>
                <c:pt idx="302">
                  <c:v>43235</c:v>
                </c:pt>
                <c:pt idx="303">
                  <c:v>43270</c:v>
                </c:pt>
                <c:pt idx="304">
                  <c:v>43278</c:v>
                </c:pt>
                <c:pt idx="305">
                  <c:v>43294</c:v>
                </c:pt>
                <c:pt idx="306">
                  <c:v>43302</c:v>
                </c:pt>
                <c:pt idx="307">
                  <c:v>43310</c:v>
                </c:pt>
                <c:pt idx="308">
                  <c:v>43310</c:v>
                </c:pt>
                <c:pt idx="309">
                  <c:v>43330</c:v>
                </c:pt>
                <c:pt idx="310">
                  <c:v>43334</c:v>
                </c:pt>
                <c:pt idx="311">
                  <c:v>43345</c:v>
                </c:pt>
                <c:pt idx="312">
                  <c:v>43350</c:v>
                </c:pt>
                <c:pt idx="313">
                  <c:v>43350</c:v>
                </c:pt>
                <c:pt idx="314">
                  <c:v>43358</c:v>
                </c:pt>
                <c:pt idx="315">
                  <c:v>43360</c:v>
                </c:pt>
                <c:pt idx="316">
                  <c:v>43365</c:v>
                </c:pt>
                <c:pt idx="317">
                  <c:v>43366</c:v>
                </c:pt>
                <c:pt idx="318">
                  <c:v>43370</c:v>
                </c:pt>
                <c:pt idx="319">
                  <c:v>43374</c:v>
                </c:pt>
                <c:pt idx="320">
                  <c:v>43375</c:v>
                </c:pt>
                <c:pt idx="321">
                  <c:v>43380</c:v>
                </c:pt>
                <c:pt idx="322">
                  <c:v>43382</c:v>
                </c:pt>
                <c:pt idx="323">
                  <c:v>43385</c:v>
                </c:pt>
                <c:pt idx="324">
                  <c:v>43390</c:v>
                </c:pt>
                <c:pt idx="325">
                  <c:v>43390</c:v>
                </c:pt>
                <c:pt idx="326">
                  <c:v>43395</c:v>
                </c:pt>
                <c:pt idx="327">
                  <c:v>43398</c:v>
                </c:pt>
                <c:pt idx="328">
                  <c:v>43400</c:v>
                </c:pt>
                <c:pt idx="329">
                  <c:v>43405</c:v>
                </c:pt>
                <c:pt idx="330">
                  <c:v>43406</c:v>
                </c:pt>
                <c:pt idx="331">
                  <c:v>43410</c:v>
                </c:pt>
                <c:pt idx="332">
                  <c:v>43414</c:v>
                </c:pt>
                <c:pt idx="333">
                  <c:v>43415</c:v>
                </c:pt>
                <c:pt idx="334">
                  <c:v>43420</c:v>
                </c:pt>
                <c:pt idx="335">
                  <c:v>43425</c:v>
                </c:pt>
                <c:pt idx="336">
                  <c:v>43430</c:v>
                </c:pt>
                <c:pt idx="337">
                  <c:v>43430</c:v>
                </c:pt>
                <c:pt idx="338">
                  <c:v>43435</c:v>
                </c:pt>
                <c:pt idx="339">
                  <c:v>43438</c:v>
                </c:pt>
                <c:pt idx="340">
                  <c:v>43440</c:v>
                </c:pt>
                <c:pt idx="341">
                  <c:v>43445</c:v>
                </c:pt>
                <c:pt idx="342">
                  <c:v>43450</c:v>
                </c:pt>
                <c:pt idx="343">
                  <c:v>43454</c:v>
                </c:pt>
                <c:pt idx="344">
                  <c:v>43455</c:v>
                </c:pt>
                <c:pt idx="345">
                  <c:v>43460</c:v>
                </c:pt>
                <c:pt idx="346">
                  <c:v>43462</c:v>
                </c:pt>
                <c:pt idx="347">
                  <c:v>43465</c:v>
                </c:pt>
                <c:pt idx="348">
                  <c:v>43470</c:v>
                </c:pt>
                <c:pt idx="349">
                  <c:v>43470</c:v>
                </c:pt>
                <c:pt idx="350">
                  <c:v>43478</c:v>
                </c:pt>
                <c:pt idx="351">
                  <c:v>43480</c:v>
                </c:pt>
                <c:pt idx="352">
                  <c:v>43485</c:v>
                </c:pt>
                <c:pt idx="353">
                  <c:v>43486</c:v>
                </c:pt>
                <c:pt idx="354">
                  <c:v>43490</c:v>
                </c:pt>
                <c:pt idx="355">
                  <c:v>43493</c:v>
                </c:pt>
                <c:pt idx="356">
                  <c:v>43502</c:v>
                </c:pt>
                <c:pt idx="357">
                  <c:v>43505</c:v>
                </c:pt>
                <c:pt idx="358">
                  <c:v>43510</c:v>
                </c:pt>
                <c:pt idx="359">
                  <c:v>43510</c:v>
                </c:pt>
                <c:pt idx="360">
                  <c:v>43520</c:v>
                </c:pt>
                <c:pt idx="361">
                  <c:v>43526</c:v>
                </c:pt>
                <c:pt idx="362">
                  <c:v>43530</c:v>
                </c:pt>
                <c:pt idx="363">
                  <c:v>43534</c:v>
                </c:pt>
                <c:pt idx="364">
                  <c:v>43535</c:v>
                </c:pt>
                <c:pt idx="365">
                  <c:v>43545</c:v>
                </c:pt>
                <c:pt idx="366">
                  <c:v>43550</c:v>
                </c:pt>
                <c:pt idx="367">
                  <c:v>43555</c:v>
                </c:pt>
                <c:pt idx="368">
                  <c:v>43558</c:v>
                </c:pt>
                <c:pt idx="369">
                  <c:v>43560</c:v>
                </c:pt>
                <c:pt idx="370">
                  <c:v>43566</c:v>
                </c:pt>
                <c:pt idx="371">
                  <c:v>43570</c:v>
                </c:pt>
                <c:pt idx="372">
                  <c:v>43574</c:v>
                </c:pt>
                <c:pt idx="373">
                  <c:v>43575</c:v>
                </c:pt>
                <c:pt idx="374">
                  <c:v>43580</c:v>
                </c:pt>
                <c:pt idx="375">
                  <c:v>43582</c:v>
                </c:pt>
                <c:pt idx="376">
                  <c:v>43585</c:v>
                </c:pt>
                <c:pt idx="377">
                  <c:v>43590</c:v>
                </c:pt>
                <c:pt idx="378">
                  <c:v>43590</c:v>
                </c:pt>
                <c:pt idx="379">
                  <c:v>43595</c:v>
                </c:pt>
                <c:pt idx="380">
                  <c:v>43598</c:v>
                </c:pt>
                <c:pt idx="381">
                  <c:v>43600</c:v>
                </c:pt>
                <c:pt idx="382">
                  <c:v>43606</c:v>
                </c:pt>
                <c:pt idx="383">
                  <c:v>43610</c:v>
                </c:pt>
                <c:pt idx="384">
                  <c:v>43614</c:v>
                </c:pt>
                <c:pt idx="385">
                  <c:v>43615</c:v>
                </c:pt>
                <c:pt idx="386">
                  <c:v>43620</c:v>
                </c:pt>
                <c:pt idx="387">
                  <c:v>43622</c:v>
                </c:pt>
                <c:pt idx="388">
                  <c:v>43625</c:v>
                </c:pt>
                <c:pt idx="389">
                  <c:v>43630</c:v>
                </c:pt>
                <c:pt idx="390">
                  <c:v>43630</c:v>
                </c:pt>
                <c:pt idx="391">
                  <c:v>43635</c:v>
                </c:pt>
                <c:pt idx="392">
                  <c:v>43640</c:v>
                </c:pt>
                <c:pt idx="393">
                  <c:v>43645</c:v>
                </c:pt>
                <c:pt idx="394">
                  <c:v>43646</c:v>
                </c:pt>
                <c:pt idx="395">
                  <c:v>43650</c:v>
                </c:pt>
                <c:pt idx="396">
                  <c:v>43654</c:v>
                </c:pt>
                <c:pt idx="397">
                  <c:v>43655</c:v>
                </c:pt>
                <c:pt idx="398">
                  <c:v>43665</c:v>
                </c:pt>
                <c:pt idx="399">
                  <c:v>43678</c:v>
                </c:pt>
                <c:pt idx="400">
                  <c:v>43680</c:v>
                </c:pt>
                <c:pt idx="401">
                  <c:v>43686</c:v>
                </c:pt>
                <c:pt idx="402">
                  <c:v>43690</c:v>
                </c:pt>
                <c:pt idx="403">
                  <c:v>43694</c:v>
                </c:pt>
                <c:pt idx="404">
                  <c:v>43695</c:v>
                </c:pt>
                <c:pt idx="405">
                  <c:v>43700</c:v>
                </c:pt>
                <c:pt idx="406">
                  <c:v>43702</c:v>
                </c:pt>
                <c:pt idx="407">
                  <c:v>43705</c:v>
                </c:pt>
                <c:pt idx="408">
                  <c:v>43710</c:v>
                </c:pt>
                <c:pt idx="409">
                  <c:v>43715</c:v>
                </c:pt>
                <c:pt idx="410">
                  <c:v>43718</c:v>
                </c:pt>
                <c:pt idx="411">
                  <c:v>43720</c:v>
                </c:pt>
                <c:pt idx="412">
                  <c:v>43725</c:v>
                </c:pt>
                <c:pt idx="413">
                  <c:v>43726</c:v>
                </c:pt>
                <c:pt idx="414">
                  <c:v>43730</c:v>
                </c:pt>
                <c:pt idx="415">
                  <c:v>43734</c:v>
                </c:pt>
                <c:pt idx="416">
                  <c:v>43735</c:v>
                </c:pt>
                <c:pt idx="417">
                  <c:v>43740</c:v>
                </c:pt>
                <c:pt idx="418">
                  <c:v>43742</c:v>
                </c:pt>
                <c:pt idx="419">
                  <c:v>43750</c:v>
                </c:pt>
                <c:pt idx="420">
                  <c:v>43750</c:v>
                </c:pt>
                <c:pt idx="421">
                  <c:v>43755</c:v>
                </c:pt>
                <c:pt idx="422">
                  <c:v>43758</c:v>
                </c:pt>
                <c:pt idx="423">
                  <c:v>43760</c:v>
                </c:pt>
                <c:pt idx="424">
                  <c:v>43765</c:v>
                </c:pt>
                <c:pt idx="425">
                  <c:v>43766</c:v>
                </c:pt>
                <c:pt idx="426">
                  <c:v>43770</c:v>
                </c:pt>
                <c:pt idx="427">
                  <c:v>43774</c:v>
                </c:pt>
                <c:pt idx="428">
                  <c:v>43775</c:v>
                </c:pt>
                <c:pt idx="429">
                  <c:v>43780</c:v>
                </c:pt>
                <c:pt idx="430">
                  <c:v>43782</c:v>
                </c:pt>
                <c:pt idx="431">
                  <c:v>43785</c:v>
                </c:pt>
                <c:pt idx="432">
                  <c:v>43798</c:v>
                </c:pt>
                <c:pt idx="433">
                  <c:v>43800</c:v>
                </c:pt>
                <c:pt idx="434">
                  <c:v>43805</c:v>
                </c:pt>
                <c:pt idx="435">
                  <c:v>43814</c:v>
                </c:pt>
                <c:pt idx="436">
                  <c:v>43815</c:v>
                </c:pt>
                <c:pt idx="437">
                  <c:v>43820</c:v>
                </c:pt>
                <c:pt idx="438">
                  <c:v>43822</c:v>
                </c:pt>
                <c:pt idx="439">
                  <c:v>43825</c:v>
                </c:pt>
                <c:pt idx="440">
                  <c:v>43830</c:v>
                </c:pt>
                <c:pt idx="441">
                  <c:v>43830</c:v>
                </c:pt>
                <c:pt idx="442">
                  <c:v>43838</c:v>
                </c:pt>
                <c:pt idx="443">
                  <c:v>43846</c:v>
                </c:pt>
                <c:pt idx="444">
                  <c:v>43850</c:v>
                </c:pt>
                <c:pt idx="445">
                  <c:v>43855</c:v>
                </c:pt>
                <c:pt idx="446">
                  <c:v>43860</c:v>
                </c:pt>
                <c:pt idx="447">
                  <c:v>43862</c:v>
                </c:pt>
                <c:pt idx="448">
                  <c:v>43865</c:v>
                </c:pt>
                <c:pt idx="449">
                  <c:v>43870</c:v>
                </c:pt>
                <c:pt idx="450">
                  <c:v>43870</c:v>
                </c:pt>
                <c:pt idx="451">
                  <c:v>43875</c:v>
                </c:pt>
                <c:pt idx="452">
                  <c:v>43878</c:v>
                </c:pt>
                <c:pt idx="453">
                  <c:v>43880</c:v>
                </c:pt>
                <c:pt idx="454">
                  <c:v>43885</c:v>
                </c:pt>
                <c:pt idx="455">
                  <c:v>43890</c:v>
                </c:pt>
                <c:pt idx="456">
                  <c:v>43894</c:v>
                </c:pt>
                <c:pt idx="457">
                  <c:v>43895</c:v>
                </c:pt>
                <c:pt idx="458">
                  <c:v>43900</c:v>
                </c:pt>
                <c:pt idx="459">
                  <c:v>43902</c:v>
                </c:pt>
                <c:pt idx="460">
                  <c:v>43910</c:v>
                </c:pt>
                <c:pt idx="461">
                  <c:v>43910</c:v>
                </c:pt>
                <c:pt idx="462">
                  <c:v>43915</c:v>
                </c:pt>
                <c:pt idx="463">
                  <c:v>43918</c:v>
                </c:pt>
                <c:pt idx="464">
                  <c:v>43920</c:v>
                </c:pt>
                <c:pt idx="465">
                  <c:v>43925</c:v>
                </c:pt>
                <c:pt idx="466">
                  <c:v>43926</c:v>
                </c:pt>
                <c:pt idx="467">
                  <c:v>43930</c:v>
                </c:pt>
                <c:pt idx="468">
                  <c:v>43934</c:v>
                </c:pt>
                <c:pt idx="469">
                  <c:v>43935</c:v>
                </c:pt>
                <c:pt idx="470">
                  <c:v>43940</c:v>
                </c:pt>
                <c:pt idx="471">
                  <c:v>43942</c:v>
                </c:pt>
                <c:pt idx="472">
                  <c:v>43945</c:v>
                </c:pt>
                <c:pt idx="473">
                  <c:v>43950</c:v>
                </c:pt>
                <c:pt idx="474">
                  <c:v>43950</c:v>
                </c:pt>
                <c:pt idx="475">
                  <c:v>43955</c:v>
                </c:pt>
                <c:pt idx="476">
                  <c:v>43958</c:v>
                </c:pt>
                <c:pt idx="477">
                  <c:v>43960</c:v>
                </c:pt>
                <c:pt idx="478">
                  <c:v>43965</c:v>
                </c:pt>
                <c:pt idx="479">
                  <c:v>43966</c:v>
                </c:pt>
                <c:pt idx="480">
                  <c:v>43974</c:v>
                </c:pt>
                <c:pt idx="481">
                  <c:v>43975</c:v>
                </c:pt>
                <c:pt idx="482">
                  <c:v>43980</c:v>
                </c:pt>
                <c:pt idx="483">
                  <c:v>43982</c:v>
                </c:pt>
                <c:pt idx="484">
                  <c:v>43985</c:v>
                </c:pt>
                <c:pt idx="485">
                  <c:v>43995</c:v>
                </c:pt>
                <c:pt idx="486">
                  <c:v>43998</c:v>
                </c:pt>
                <c:pt idx="487">
                  <c:v>44000</c:v>
                </c:pt>
                <c:pt idx="488">
                  <c:v>44005</c:v>
                </c:pt>
                <c:pt idx="489">
                  <c:v>44006</c:v>
                </c:pt>
                <c:pt idx="490">
                  <c:v>44010</c:v>
                </c:pt>
                <c:pt idx="491">
                  <c:v>44014</c:v>
                </c:pt>
                <c:pt idx="492">
                  <c:v>44015</c:v>
                </c:pt>
                <c:pt idx="493">
                  <c:v>44022</c:v>
                </c:pt>
                <c:pt idx="494">
                  <c:v>44025</c:v>
                </c:pt>
                <c:pt idx="495">
                  <c:v>44030</c:v>
                </c:pt>
                <c:pt idx="496">
                  <c:v>44030</c:v>
                </c:pt>
                <c:pt idx="497">
                  <c:v>44038</c:v>
                </c:pt>
                <c:pt idx="498">
                  <c:v>44040</c:v>
                </c:pt>
                <c:pt idx="499">
                  <c:v>44045</c:v>
                </c:pt>
                <c:pt idx="500">
                  <c:v>44046</c:v>
                </c:pt>
                <c:pt idx="501">
                  <c:v>44060</c:v>
                </c:pt>
                <c:pt idx="502">
                  <c:v>44065</c:v>
                </c:pt>
                <c:pt idx="503">
                  <c:v>44075</c:v>
                </c:pt>
                <c:pt idx="504">
                  <c:v>44078</c:v>
                </c:pt>
                <c:pt idx="505">
                  <c:v>44080</c:v>
                </c:pt>
                <c:pt idx="506">
                  <c:v>44085</c:v>
                </c:pt>
                <c:pt idx="507">
                  <c:v>44086</c:v>
                </c:pt>
                <c:pt idx="508">
                  <c:v>44090</c:v>
                </c:pt>
                <c:pt idx="509">
                  <c:v>44094</c:v>
                </c:pt>
                <c:pt idx="510">
                  <c:v>44095</c:v>
                </c:pt>
                <c:pt idx="511">
                  <c:v>44100</c:v>
                </c:pt>
                <c:pt idx="512">
                  <c:v>44102</c:v>
                </c:pt>
                <c:pt idx="513">
                  <c:v>44105</c:v>
                </c:pt>
                <c:pt idx="514">
                  <c:v>44110</c:v>
                </c:pt>
                <c:pt idx="515">
                  <c:v>44115</c:v>
                </c:pt>
                <c:pt idx="516">
                  <c:v>44118</c:v>
                </c:pt>
                <c:pt idx="517">
                  <c:v>44120</c:v>
                </c:pt>
                <c:pt idx="518">
                  <c:v>44125</c:v>
                </c:pt>
                <c:pt idx="519">
                  <c:v>44126</c:v>
                </c:pt>
                <c:pt idx="520">
                  <c:v>44130</c:v>
                </c:pt>
                <c:pt idx="521">
                  <c:v>44134</c:v>
                </c:pt>
                <c:pt idx="522">
                  <c:v>44135</c:v>
                </c:pt>
                <c:pt idx="523">
                  <c:v>44140</c:v>
                </c:pt>
                <c:pt idx="524">
                  <c:v>44145</c:v>
                </c:pt>
                <c:pt idx="525">
                  <c:v>44150</c:v>
                </c:pt>
                <c:pt idx="526">
                  <c:v>44150</c:v>
                </c:pt>
                <c:pt idx="527">
                  <c:v>44155</c:v>
                </c:pt>
                <c:pt idx="528">
                  <c:v>44158</c:v>
                </c:pt>
                <c:pt idx="529">
                  <c:v>44160</c:v>
                </c:pt>
                <c:pt idx="530">
                  <c:v>44165</c:v>
                </c:pt>
                <c:pt idx="531">
                  <c:v>44166</c:v>
                </c:pt>
                <c:pt idx="532">
                  <c:v>44170</c:v>
                </c:pt>
                <c:pt idx="533">
                  <c:v>44174</c:v>
                </c:pt>
                <c:pt idx="534">
                  <c:v>44175</c:v>
                </c:pt>
                <c:pt idx="535">
                  <c:v>44180</c:v>
                </c:pt>
                <c:pt idx="536">
                  <c:v>44182</c:v>
                </c:pt>
                <c:pt idx="537">
                  <c:v>44185</c:v>
                </c:pt>
                <c:pt idx="538">
                  <c:v>44190</c:v>
                </c:pt>
                <c:pt idx="539">
                  <c:v>44198</c:v>
                </c:pt>
                <c:pt idx="540">
                  <c:v>44200</c:v>
                </c:pt>
                <c:pt idx="541">
                  <c:v>44205</c:v>
                </c:pt>
                <c:pt idx="542">
                  <c:v>44206</c:v>
                </c:pt>
                <c:pt idx="543">
                  <c:v>44210</c:v>
                </c:pt>
                <c:pt idx="544">
                  <c:v>44214</c:v>
                </c:pt>
                <c:pt idx="545">
                  <c:v>44215</c:v>
                </c:pt>
                <c:pt idx="546">
                  <c:v>44220</c:v>
                </c:pt>
                <c:pt idx="547">
                  <c:v>44222</c:v>
                </c:pt>
                <c:pt idx="548">
                  <c:v>44225</c:v>
                </c:pt>
                <c:pt idx="549">
                  <c:v>44230</c:v>
                </c:pt>
                <c:pt idx="550">
                  <c:v>44230</c:v>
                </c:pt>
                <c:pt idx="551">
                  <c:v>44235</c:v>
                </c:pt>
                <c:pt idx="552">
                  <c:v>44240</c:v>
                </c:pt>
                <c:pt idx="553">
                  <c:v>44245</c:v>
                </c:pt>
                <c:pt idx="554">
                  <c:v>44246</c:v>
                </c:pt>
                <c:pt idx="555">
                  <c:v>44250</c:v>
                </c:pt>
                <c:pt idx="556">
                  <c:v>44254</c:v>
                </c:pt>
                <c:pt idx="557">
                  <c:v>44255</c:v>
                </c:pt>
                <c:pt idx="558">
                  <c:v>44260</c:v>
                </c:pt>
                <c:pt idx="559">
                  <c:v>44262</c:v>
                </c:pt>
                <c:pt idx="560">
                  <c:v>44265</c:v>
                </c:pt>
                <c:pt idx="561">
                  <c:v>44270</c:v>
                </c:pt>
                <c:pt idx="562">
                  <c:v>44270</c:v>
                </c:pt>
                <c:pt idx="563">
                  <c:v>44275</c:v>
                </c:pt>
                <c:pt idx="564">
                  <c:v>44278</c:v>
                </c:pt>
                <c:pt idx="565">
                  <c:v>44280</c:v>
                </c:pt>
                <c:pt idx="566">
                  <c:v>44285</c:v>
                </c:pt>
                <c:pt idx="567">
                  <c:v>44286</c:v>
                </c:pt>
                <c:pt idx="568">
                  <c:v>44290</c:v>
                </c:pt>
                <c:pt idx="569">
                  <c:v>44294</c:v>
                </c:pt>
                <c:pt idx="570">
                  <c:v>44295</c:v>
                </c:pt>
                <c:pt idx="571">
                  <c:v>44300</c:v>
                </c:pt>
                <c:pt idx="572">
                  <c:v>44302</c:v>
                </c:pt>
                <c:pt idx="573">
                  <c:v>44310</c:v>
                </c:pt>
                <c:pt idx="574">
                  <c:v>44310</c:v>
                </c:pt>
                <c:pt idx="575">
                  <c:v>44315</c:v>
                </c:pt>
                <c:pt idx="576">
                  <c:v>44320</c:v>
                </c:pt>
                <c:pt idx="577">
                  <c:v>44325</c:v>
                </c:pt>
                <c:pt idx="578">
                  <c:v>44326</c:v>
                </c:pt>
                <c:pt idx="579">
                  <c:v>44330</c:v>
                </c:pt>
                <c:pt idx="580">
                  <c:v>44334</c:v>
                </c:pt>
                <c:pt idx="581">
                  <c:v>44335</c:v>
                </c:pt>
                <c:pt idx="582">
                  <c:v>44340</c:v>
                </c:pt>
                <c:pt idx="583">
                  <c:v>44342</c:v>
                </c:pt>
                <c:pt idx="584">
                  <c:v>44345</c:v>
                </c:pt>
                <c:pt idx="585">
                  <c:v>44350</c:v>
                </c:pt>
                <c:pt idx="586">
                  <c:v>44350</c:v>
                </c:pt>
                <c:pt idx="587">
                  <c:v>44365</c:v>
                </c:pt>
                <c:pt idx="588">
                  <c:v>44366</c:v>
                </c:pt>
                <c:pt idx="589">
                  <c:v>44370</c:v>
                </c:pt>
                <c:pt idx="590">
                  <c:v>44375</c:v>
                </c:pt>
                <c:pt idx="591">
                  <c:v>44380</c:v>
                </c:pt>
                <c:pt idx="592">
                  <c:v>44385</c:v>
                </c:pt>
                <c:pt idx="593">
                  <c:v>44390</c:v>
                </c:pt>
                <c:pt idx="594">
                  <c:v>44398</c:v>
                </c:pt>
                <c:pt idx="595">
                  <c:v>44400</c:v>
                </c:pt>
                <c:pt idx="596">
                  <c:v>44406</c:v>
                </c:pt>
                <c:pt idx="597">
                  <c:v>44410</c:v>
                </c:pt>
                <c:pt idx="598">
                  <c:v>44414</c:v>
                </c:pt>
                <c:pt idx="599">
                  <c:v>44415</c:v>
                </c:pt>
                <c:pt idx="600">
                  <c:v>44420</c:v>
                </c:pt>
                <c:pt idx="601">
                  <c:v>44425</c:v>
                </c:pt>
                <c:pt idx="602">
                  <c:v>44430</c:v>
                </c:pt>
                <c:pt idx="603">
                  <c:v>44430</c:v>
                </c:pt>
                <c:pt idx="604">
                  <c:v>44435</c:v>
                </c:pt>
                <c:pt idx="605">
                  <c:v>44438</c:v>
                </c:pt>
                <c:pt idx="606">
                  <c:v>44440</c:v>
                </c:pt>
                <c:pt idx="607">
                  <c:v>44445</c:v>
                </c:pt>
                <c:pt idx="608">
                  <c:v>44446</c:v>
                </c:pt>
                <c:pt idx="609">
                  <c:v>44450</c:v>
                </c:pt>
                <c:pt idx="610">
                  <c:v>44454</c:v>
                </c:pt>
                <c:pt idx="611">
                  <c:v>44455</c:v>
                </c:pt>
                <c:pt idx="612">
                  <c:v>44460</c:v>
                </c:pt>
                <c:pt idx="613">
                  <c:v>44465</c:v>
                </c:pt>
                <c:pt idx="614">
                  <c:v>44475</c:v>
                </c:pt>
                <c:pt idx="615">
                  <c:v>44478</c:v>
                </c:pt>
                <c:pt idx="616">
                  <c:v>44480</c:v>
                </c:pt>
                <c:pt idx="617">
                  <c:v>44485</c:v>
                </c:pt>
                <c:pt idx="618">
                  <c:v>44486</c:v>
                </c:pt>
                <c:pt idx="619">
                  <c:v>44494</c:v>
                </c:pt>
                <c:pt idx="620">
                  <c:v>44495</c:v>
                </c:pt>
                <c:pt idx="621">
                  <c:v>44500</c:v>
                </c:pt>
                <c:pt idx="622">
                  <c:v>44502</c:v>
                </c:pt>
                <c:pt idx="623">
                  <c:v>44505</c:v>
                </c:pt>
                <c:pt idx="624">
                  <c:v>44510</c:v>
                </c:pt>
                <c:pt idx="625">
                  <c:v>44515</c:v>
                </c:pt>
                <c:pt idx="626">
                  <c:v>44518</c:v>
                </c:pt>
                <c:pt idx="627">
                  <c:v>44520</c:v>
                </c:pt>
                <c:pt idx="628">
                  <c:v>44525</c:v>
                </c:pt>
                <c:pt idx="629">
                  <c:v>44526</c:v>
                </c:pt>
                <c:pt idx="630">
                  <c:v>44530</c:v>
                </c:pt>
                <c:pt idx="631">
                  <c:v>44534</c:v>
                </c:pt>
                <c:pt idx="632">
                  <c:v>44535</c:v>
                </c:pt>
                <c:pt idx="633">
                  <c:v>44540</c:v>
                </c:pt>
                <c:pt idx="634">
                  <c:v>44542</c:v>
                </c:pt>
                <c:pt idx="635">
                  <c:v>44550</c:v>
                </c:pt>
                <c:pt idx="636">
                  <c:v>44555</c:v>
                </c:pt>
                <c:pt idx="637">
                  <c:v>44558</c:v>
                </c:pt>
                <c:pt idx="638">
                  <c:v>44570</c:v>
                </c:pt>
                <c:pt idx="639">
                  <c:v>44575</c:v>
                </c:pt>
                <c:pt idx="640">
                  <c:v>44585</c:v>
                </c:pt>
                <c:pt idx="641">
                  <c:v>44620</c:v>
                </c:pt>
                <c:pt idx="642">
                  <c:v>44630</c:v>
                </c:pt>
                <c:pt idx="643">
                  <c:v>44635</c:v>
                </c:pt>
                <c:pt idx="644">
                  <c:v>44655</c:v>
                </c:pt>
                <c:pt idx="645">
                  <c:v>44660</c:v>
                </c:pt>
                <c:pt idx="646">
                  <c:v>44665</c:v>
                </c:pt>
                <c:pt idx="647">
                  <c:v>44670</c:v>
                </c:pt>
                <c:pt idx="648">
                  <c:v>44675</c:v>
                </c:pt>
                <c:pt idx="649">
                  <c:v>44680</c:v>
                </c:pt>
                <c:pt idx="650">
                  <c:v>44685</c:v>
                </c:pt>
                <c:pt idx="651">
                  <c:v>44690</c:v>
                </c:pt>
                <c:pt idx="652">
                  <c:v>44695</c:v>
                </c:pt>
                <c:pt idx="653">
                  <c:v>44700</c:v>
                </c:pt>
                <c:pt idx="654">
                  <c:v>44705</c:v>
                </c:pt>
                <c:pt idx="655">
                  <c:v>44710</c:v>
                </c:pt>
                <c:pt idx="656">
                  <c:v>44715</c:v>
                </c:pt>
                <c:pt idx="657">
                  <c:v>44720</c:v>
                </c:pt>
                <c:pt idx="658">
                  <c:v>44725</c:v>
                </c:pt>
                <c:pt idx="659">
                  <c:v>44730</c:v>
                </c:pt>
                <c:pt idx="660">
                  <c:v>44735</c:v>
                </c:pt>
                <c:pt idx="661">
                  <c:v>44740</c:v>
                </c:pt>
                <c:pt idx="662">
                  <c:v>44745</c:v>
                </c:pt>
                <c:pt idx="663">
                  <c:v>44755</c:v>
                </c:pt>
                <c:pt idx="664">
                  <c:v>44760</c:v>
                </c:pt>
                <c:pt idx="665">
                  <c:v>44780</c:v>
                </c:pt>
                <c:pt idx="666">
                  <c:v>44790</c:v>
                </c:pt>
                <c:pt idx="667">
                  <c:v>44795</c:v>
                </c:pt>
                <c:pt idx="668">
                  <c:v>44800</c:v>
                </c:pt>
                <c:pt idx="669">
                  <c:v>44805</c:v>
                </c:pt>
                <c:pt idx="670">
                  <c:v>44810</c:v>
                </c:pt>
                <c:pt idx="671">
                  <c:v>44815</c:v>
                </c:pt>
                <c:pt idx="672">
                  <c:v>44820</c:v>
                </c:pt>
                <c:pt idx="673">
                  <c:v>44825</c:v>
                </c:pt>
                <c:pt idx="674">
                  <c:v>44830</c:v>
                </c:pt>
                <c:pt idx="675">
                  <c:v>44835</c:v>
                </c:pt>
                <c:pt idx="676">
                  <c:v>44840</c:v>
                </c:pt>
                <c:pt idx="677">
                  <c:v>44845</c:v>
                </c:pt>
                <c:pt idx="678">
                  <c:v>44850</c:v>
                </c:pt>
                <c:pt idx="679">
                  <c:v>44855</c:v>
                </c:pt>
                <c:pt idx="680">
                  <c:v>44860</c:v>
                </c:pt>
                <c:pt idx="681">
                  <c:v>44865</c:v>
                </c:pt>
                <c:pt idx="682">
                  <c:v>44870</c:v>
                </c:pt>
                <c:pt idx="683">
                  <c:v>44875</c:v>
                </c:pt>
                <c:pt idx="684">
                  <c:v>44880</c:v>
                </c:pt>
                <c:pt idx="685">
                  <c:v>44885</c:v>
                </c:pt>
                <c:pt idx="686">
                  <c:v>44890</c:v>
                </c:pt>
                <c:pt idx="687">
                  <c:v>44895</c:v>
                </c:pt>
                <c:pt idx="688">
                  <c:v>44900</c:v>
                </c:pt>
                <c:pt idx="689">
                  <c:v>44905</c:v>
                </c:pt>
                <c:pt idx="690">
                  <c:v>44910</c:v>
                </c:pt>
                <c:pt idx="691">
                  <c:v>44915</c:v>
                </c:pt>
                <c:pt idx="692">
                  <c:v>44920</c:v>
                </c:pt>
                <c:pt idx="693">
                  <c:v>44925</c:v>
                </c:pt>
                <c:pt idx="694">
                  <c:v>44930</c:v>
                </c:pt>
                <c:pt idx="695">
                  <c:v>44935</c:v>
                </c:pt>
                <c:pt idx="696">
                  <c:v>44940</c:v>
                </c:pt>
                <c:pt idx="697">
                  <c:v>44945</c:v>
                </c:pt>
                <c:pt idx="698">
                  <c:v>44950</c:v>
                </c:pt>
                <c:pt idx="699">
                  <c:v>44955</c:v>
                </c:pt>
                <c:pt idx="700">
                  <c:v>44960</c:v>
                </c:pt>
                <c:pt idx="701">
                  <c:v>44965</c:v>
                </c:pt>
                <c:pt idx="702">
                  <c:v>44970</c:v>
                </c:pt>
                <c:pt idx="703">
                  <c:v>44975</c:v>
                </c:pt>
                <c:pt idx="704">
                  <c:v>44980</c:v>
                </c:pt>
                <c:pt idx="705">
                  <c:v>44985</c:v>
                </c:pt>
                <c:pt idx="706">
                  <c:v>44990</c:v>
                </c:pt>
                <c:pt idx="707">
                  <c:v>44990</c:v>
                </c:pt>
                <c:pt idx="708">
                  <c:v>44995</c:v>
                </c:pt>
                <c:pt idx="709">
                  <c:v>45000</c:v>
                </c:pt>
                <c:pt idx="710">
                  <c:v>45005</c:v>
                </c:pt>
                <c:pt idx="711">
                  <c:v>45005</c:v>
                </c:pt>
                <c:pt idx="712">
                  <c:v>45010</c:v>
                </c:pt>
                <c:pt idx="713">
                  <c:v>45015</c:v>
                </c:pt>
                <c:pt idx="714">
                  <c:v>45020</c:v>
                </c:pt>
                <c:pt idx="715">
                  <c:v>45025</c:v>
                </c:pt>
                <c:pt idx="716">
                  <c:v>45030</c:v>
                </c:pt>
                <c:pt idx="717">
                  <c:v>45035</c:v>
                </c:pt>
                <c:pt idx="718">
                  <c:v>45040</c:v>
                </c:pt>
                <c:pt idx="719">
                  <c:v>45050</c:v>
                </c:pt>
                <c:pt idx="720">
                  <c:v>45055</c:v>
                </c:pt>
                <c:pt idx="721">
                  <c:v>45060</c:v>
                </c:pt>
                <c:pt idx="722">
                  <c:v>45070</c:v>
                </c:pt>
                <c:pt idx="723">
                  <c:v>45080</c:v>
                </c:pt>
                <c:pt idx="724">
                  <c:v>45085</c:v>
                </c:pt>
                <c:pt idx="725">
                  <c:v>45090</c:v>
                </c:pt>
                <c:pt idx="726">
                  <c:v>45095</c:v>
                </c:pt>
                <c:pt idx="727">
                  <c:v>45100</c:v>
                </c:pt>
                <c:pt idx="728">
                  <c:v>45105</c:v>
                </c:pt>
                <c:pt idx="729">
                  <c:v>45110</c:v>
                </c:pt>
                <c:pt idx="730">
                  <c:v>45115</c:v>
                </c:pt>
                <c:pt idx="731">
                  <c:v>45120</c:v>
                </c:pt>
                <c:pt idx="732">
                  <c:v>45125</c:v>
                </c:pt>
                <c:pt idx="733">
                  <c:v>45150</c:v>
                </c:pt>
                <c:pt idx="734">
                  <c:v>45155</c:v>
                </c:pt>
                <c:pt idx="735">
                  <c:v>45160</c:v>
                </c:pt>
                <c:pt idx="736">
                  <c:v>45165</c:v>
                </c:pt>
                <c:pt idx="737">
                  <c:v>45175</c:v>
                </c:pt>
                <c:pt idx="738">
                  <c:v>45180</c:v>
                </c:pt>
                <c:pt idx="739">
                  <c:v>45185</c:v>
                </c:pt>
                <c:pt idx="740">
                  <c:v>45190</c:v>
                </c:pt>
                <c:pt idx="741">
                  <c:v>45195</c:v>
                </c:pt>
                <c:pt idx="742">
                  <c:v>45200</c:v>
                </c:pt>
                <c:pt idx="743">
                  <c:v>45205</c:v>
                </c:pt>
                <c:pt idx="744">
                  <c:v>45210</c:v>
                </c:pt>
                <c:pt idx="745">
                  <c:v>45215</c:v>
                </c:pt>
                <c:pt idx="746">
                  <c:v>45220</c:v>
                </c:pt>
                <c:pt idx="747">
                  <c:v>45225</c:v>
                </c:pt>
                <c:pt idx="748">
                  <c:v>45230</c:v>
                </c:pt>
                <c:pt idx="749">
                  <c:v>45235</c:v>
                </c:pt>
                <c:pt idx="750">
                  <c:v>45240</c:v>
                </c:pt>
                <c:pt idx="751">
                  <c:v>45245</c:v>
                </c:pt>
                <c:pt idx="752">
                  <c:v>45250</c:v>
                </c:pt>
                <c:pt idx="753">
                  <c:v>45260</c:v>
                </c:pt>
                <c:pt idx="754">
                  <c:v>45270</c:v>
                </c:pt>
                <c:pt idx="755">
                  <c:v>45275</c:v>
                </c:pt>
                <c:pt idx="756">
                  <c:v>45280</c:v>
                </c:pt>
                <c:pt idx="757">
                  <c:v>45285</c:v>
                </c:pt>
                <c:pt idx="758">
                  <c:v>45290</c:v>
                </c:pt>
                <c:pt idx="759">
                  <c:v>45295</c:v>
                </c:pt>
                <c:pt idx="760">
                  <c:v>45300</c:v>
                </c:pt>
                <c:pt idx="761">
                  <c:v>45305</c:v>
                </c:pt>
                <c:pt idx="762">
                  <c:v>45310</c:v>
                </c:pt>
                <c:pt idx="763">
                  <c:v>45315</c:v>
                </c:pt>
                <c:pt idx="764">
                  <c:v>45320</c:v>
                </c:pt>
                <c:pt idx="765">
                  <c:v>45325</c:v>
                </c:pt>
                <c:pt idx="766">
                  <c:v>45330</c:v>
                </c:pt>
                <c:pt idx="767">
                  <c:v>45335</c:v>
                </c:pt>
                <c:pt idx="768">
                  <c:v>45340</c:v>
                </c:pt>
                <c:pt idx="769">
                  <c:v>45345</c:v>
                </c:pt>
                <c:pt idx="770">
                  <c:v>45355</c:v>
                </c:pt>
                <c:pt idx="771">
                  <c:v>45360</c:v>
                </c:pt>
                <c:pt idx="772">
                  <c:v>45365</c:v>
                </c:pt>
                <c:pt idx="773">
                  <c:v>45370</c:v>
                </c:pt>
                <c:pt idx="774">
                  <c:v>45375</c:v>
                </c:pt>
                <c:pt idx="775">
                  <c:v>45380</c:v>
                </c:pt>
                <c:pt idx="776">
                  <c:v>45385</c:v>
                </c:pt>
                <c:pt idx="777">
                  <c:v>45390</c:v>
                </c:pt>
                <c:pt idx="778">
                  <c:v>45400</c:v>
                </c:pt>
                <c:pt idx="779">
                  <c:v>45405</c:v>
                </c:pt>
                <c:pt idx="780">
                  <c:v>45410</c:v>
                </c:pt>
                <c:pt idx="781">
                  <c:v>45415</c:v>
                </c:pt>
                <c:pt idx="782">
                  <c:v>45420</c:v>
                </c:pt>
                <c:pt idx="783">
                  <c:v>45425</c:v>
                </c:pt>
                <c:pt idx="784">
                  <c:v>45430</c:v>
                </c:pt>
                <c:pt idx="785">
                  <c:v>45435</c:v>
                </c:pt>
                <c:pt idx="786">
                  <c:v>45440</c:v>
                </c:pt>
                <c:pt idx="787">
                  <c:v>45450</c:v>
                </c:pt>
                <c:pt idx="788">
                  <c:v>45454</c:v>
                </c:pt>
                <c:pt idx="789">
                  <c:v>45455</c:v>
                </c:pt>
                <c:pt idx="790">
                  <c:v>45460</c:v>
                </c:pt>
                <c:pt idx="791">
                  <c:v>45465</c:v>
                </c:pt>
                <c:pt idx="792">
                  <c:v>45470</c:v>
                </c:pt>
                <c:pt idx="793">
                  <c:v>45475</c:v>
                </c:pt>
                <c:pt idx="794">
                  <c:v>45480</c:v>
                </c:pt>
                <c:pt idx="795">
                  <c:v>45485</c:v>
                </c:pt>
                <c:pt idx="796">
                  <c:v>45486</c:v>
                </c:pt>
                <c:pt idx="797">
                  <c:v>45490</c:v>
                </c:pt>
                <c:pt idx="798">
                  <c:v>45495</c:v>
                </c:pt>
                <c:pt idx="799">
                  <c:v>45500</c:v>
                </c:pt>
                <c:pt idx="800">
                  <c:v>45502</c:v>
                </c:pt>
                <c:pt idx="801">
                  <c:v>45505</c:v>
                </c:pt>
                <c:pt idx="802">
                  <c:v>45530</c:v>
                </c:pt>
                <c:pt idx="803">
                  <c:v>45535</c:v>
                </c:pt>
                <c:pt idx="804">
                  <c:v>45540</c:v>
                </c:pt>
                <c:pt idx="805">
                  <c:v>45545</c:v>
                </c:pt>
                <c:pt idx="806">
                  <c:v>45550</c:v>
                </c:pt>
                <c:pt idx="807">
                  <c:v>45555</c:v>
                </c:pt>
                <c:pt idx="808">
                  <c:v>45560</c:v>
                </c:pt>
                <c:pt idx="809">
                  <c:v>45565</c:v>
                </c:pt>
                <c:pt idx="810">
                  <c:v>45566</c:v>
                </c:pt>
                <c:pt idx="811">
                  <c:v>45570</c:v>
                </c:pt>
                <c:pt idx="812">
                  <c:v>45575</c:v>
                </c:pt>
                <c:pt idx="813">
                  <c:v>45582</c:v>
                </c:pt>
                <c:pt idx="814">
                  <c:v>45585</c:v>
                </c:pt>
                <c:pt idx="815">
                  <c:v>45590</c:v>
                </c:pt>
                <c:pt idx="816">
                  <c:v>45595</c:v>
                </c:pt>
                <c:pt idx="817">
                  <c:v>45598</c:v>
                </c:pt>
                <c:pt idx="818">
                  <c:v>45600</c:v>
                </c:pt>
                <c:pt idx="819">
                  <c:v>45610</c:v>
                </c:pt>
                <c:pt idx="820">
                  <c:v>45614</c:v>
                </c:pt>
                <c:pt idx="821">
                  <c:v>45615</c:v>
                </c:pt>
                <c:pt idx="822">
                  <c:v>45620</c:v>
                </c:pt>
                <c:pt idx="823">
                  <c:v>45625</c:v>
                </c:pt>
                <c:pt idx="824">
                  <c:v>45630</c:v>
                </c:pt>
                <c:pt idx="825">
                  <c:v>45635</c:v>
                </c:pt>
                <c:pt idx="826">
                  <c:v>45640</c:v>
                </c:pt>
                <c:pt idx="827">
                  <c:v>45645</c:v>
                </c:pt>
                <c:pt idx="828">
                  <c:v>45650</c:v>
                </c:pt>
                <c:pt idx="829">
                  <c:v>45655</c:v>
                </c:pt>
                <c:pt idx="830">
                  <c:v>45660</c:v>
                </c:pt>
                <c:pt idx="831">
                  <c:v>45662</c:v>
                </c:pt>
                <c:pt idx="832">
                  <c:v>45665</c:v>
                </c:pt>
                <c:pt idx="833">
                  <c:v>45670</c:v>
                </c:pt>
                <c:pt idx="834">
                  <c:v>45678</c:v>
                </c:pt>
                <c:pt idx="835">
                  <c:v>45680</c:v>
                </c:pt>
                <c:pt idx="836">
                  <c:v>45690</c:v>
                </c:pt>
                <c:pt idx="837">
                  <c:v>45694</c:v>
                </c:pt>
                <c:pt idx="838">
                  <c:v>45695</c:v>
                </c:pt>
                <c:pt idx="839">
                  <c:v>45700</c:v>
                </c:pt>
                <c:pt idx="840">
                  <c:v>45710</c:v>
                </c:pt>
                <c:pt idx="841">
                  <c:v>45720</c:v>
                </c:pt>
                <c:pt idx="842">
                  <c:v>45725</c:v>
                </c:pt>
                <c:pt idx="843">
                  <c:v>45730</c:v>
                </c:pt>
                <c:pt idx="844">
                  <c:v>45735</c:v>
                </c:pt>
                <c:pt idx="845">
                  <c:v>45740</c:v>
                </c:pt>
                <c:pt idx="846">
                  <c:v>45742</c:v>
                </c:pt>
                <c:pt idx="847">
                  <c:v>45745</c:v>
                </c:pt>
                <c:pt idx="848">
                  <c:v>45750</c:v>
                </c:pt>
                <c:pt idx="849">
                  <c:v>45758</c:v>
                </c:pt>
                <c:pt idx="850">
                  <c:v>45760</c:v>
                </c:pt>
                <c:pt idx="851">
                  <c:v>45762</c:v>
                </c:pt>
                <c:pt idx="852">
                  <c:v>45770</c:v>
                </c:pt>
                <c:pt idx="853">
                  <c:v>45775</c:v>
                </c:pt>
                <c:pt idx="854">
                  <c:v>45780</c:v>
                </c:pt>
                <c:pt idx="855">
                  <c:v>45782</c:v>
                </c:pt>
                <c:pt idx="856">
                  <c:v>45785</c:v>
                </c:pt>
                <c:pt idx="857">
                  <c:v>45790</c:v>
                </c:pt>
                <c:pt idx="858">
                  <c:v>45795</c:v>
                </c:pt>
                <c:pt idx="859">
                  <c:v>45800</c:v>
                </c:pt>
                <c:pt idx="860">
                  <c:v>45802</c:v>
                </c:pt>
                <c:pt idx="861">
                  <c:v>45805</c:v>
                </c:pt>
                <c:pt idx="862">
                  <c:v>45810</c:v>
                </c:pt>
                <c:pt idx="863">
                  <c:v>45813</c:v>
                </c:pt>
                <c:pt idx="864">
                  <c:v>45815</c:v>
                </c:pt>
                <c:pt idx="865">
                  <c:v>45820</c:v>
                </c:pt>
                <c:pt idx="866">
                  <c:v>45822</c:v>
                </c:pt>
                <c:pt idx="867">
                  <c:v>45825</c:v>
                </c:pt>
                <c:pt idx="868">
                  <c:v>45835</c:v>
                </c:pt>
              </c:numCache>
            </c:numRef>
          </c:cat>
          <c:val>
            <c:numRef>
              <c:f>Calcs!$F$5:$F$873</c:f>
              <c:numCache>
                <c:formatCode>#,##0.00</c:formatCode>
                <c:ptCount val="869"/>
                <c:pt idx="0">
                  <c:v>66.440444834650279</c:v>
                </c:pt>
                <c:pt idx="1">
                  <c:v>66.040483855233632</c:v>
                </c:pt>
                <c:pt idx="2">
                  <c:v>66.586772022241732</c:v>
                </c:pt>
                <c:pt idx="3">
                  <c:v>71.58203876313064</c:v>
                </c:pt>
                <c:pt idx="4">
                  <c:v>71.421406378796519</c:v>
                </c:pt>
                <c:pt idx="5">
                  <c:v>71.355885274660238</c:v>
                </c:pt>
                <c:pt idx="6">
                  <c:v>75.761189457934236</c:v>
                </c:pt>
                <c:pt idx="7">
                  <c:v>75.610386550265673</c:v>
                </c:pt>
                <c:pt idx="8">
                  <c:v>75.472543267474876</c:v>
                </c:pt>
                <c:pt idx="9">
                  <c:v>75.362975529871932</c:v>
                </c:pt>
                <c:pt idx="10">
                  <c:v>75.187431520163997</c:v>
                </c:pt>
                <c:pt idx="11">
                  <c:v>75.752942423921112</c:v>
                </c:pt>
                <c:pt idx="12">
                  <c:v>75.526738062418261</c:v>
                </c:pt>
                <c:pt idx="13">
                  <c:v>75.518491028405137</c:v>
                </c:pt>
                <c:pt idx="14">
                  <c:v>75.499640664946568</c:v>
                </c:pt>
                <c:pt idx="15">
                  <c:v>75.301711848631584</c:v>
                </c:pt>
                <c:pt idx="16">
                  <c:v>74.906269685165896</c:v>
                </c:pt>
                <c:pt idx="17">
                  <c:v>74.789283556378322</c:v>
                </c:pt>
                <c:pt idx="18">
                  <c:v>74.368904829855893</c:v>
                </c:pt>
                <c:pt idx="19">
                  <c:v>75.408923290802207</c:v>
                </c:pt>
                <c:pt idx="20">
                  <c:v>75.09200155515498</c:v>
                </c:pt>
                <c:pt idx="21">
                  <c:v>74.991116767583279</c:v>
                </c:pt>
                <c:pt idx="22">
                  <c:v>74.384331572113595</c:v>
                </c:pt>
                <c:pt idx="23">
                  <c:v>74.574594726625278</c:v>
                </c:pt>
                <c:pt idx="24">
                  <c:v>74.384331572113595</c:v>
                </c:pt>
                <c:pt idx="25">
                  <c:v>74.142645943409562</c:v>
                </c:pt>
                <c:pt idx="26">
                  <c:v>74.016660881638316</c:v>
                </c:pt>
                <c:pt idx="27">
                  <c:v>75.035450464779274</c:v>
                </c:pt>
                <c:pt idx="28">
                  <c:v>75.23691372424274</c:v>
                </c:pt>
                <c:pt idx="29">
                  <c:v>75.232201133378098</c:v>
                </c:pt>
                <c:pt idx="30">
                  <c:v>74.943550978955358</c:v>
                </c:pt>
                <c:pt idx="31">
                  <c:v>74.701865350251325</c:v>
                </c:pt>
                <c:pt idx="32">
                  <c:v>74.308483422679885</c:v>
                </c:pt>
                <c:pt idx="33">
                  <c:v>72.386140398305855</c:v>
                </c:pt>
                <c:pt idx="34">
                  <c:v>72.378931242678206</c:v>
                </c:pt>
                <c:pt idx="35">
                  <c:v>72.384338109398939</c:v>
                </c:pt>
                <c:pt idx="36">
                  <c:v>72.16626115166261</c:v>
                </c:pt>
                <c:pt idx="37">
                  <c:v>71.873713355737323</c:v>
                </c:pt>
                <c:pt idx="38">
                  <c:v>75.496106221798087</c:v>
                </c:pt>
                <c:pt idx="39">
                  <c:v>75.326452950670955</c:v>
                </c:pt>
                <c:pt idx="40">
                  <c:v>74.967976654196718</c:v>
                </c:pt>
                <c:pt idx="41">
                  <c:v>74.762286757427333</c:v>
                </c:pt>
                <c:pt idx="42">
                  <c:v>75.17093745213775</c:v>
                </c:pt>
                <c:pt idx="43">
                  <c:v>75.097892293735782</c:v>
                </c:pt>
                <c:pt idx="44">
                  <c:v>73.366175236725397</c:v>
                </c:pt>
                <c:pt idx="45">
                  <c:v>73.295756921970508</c:v>
                </c:pt>
                <c:pt idx="46">
                  <c:v>74.996259015002508</c:v>
                </c:pt>
                <c:pt idx="47">
                  <c:v>75.081398225709535</c:v>
                </c:pt>
                <c:pt idx="48">
                  <c:v>74.251918701068305</c:v>
                </c:pt>
                <c:pt idx="49">
                  <c:v>73.919033920652041</c:v>
                </c:pt>
                <c:pt idx="50">
                  <c:v>73.337708258420236</c:v>
                </c:pt>
                <c:pt idx="51">
                  <c:v>74.129790324861474</c:v>
                </c:pt>
                <c:pt idx="52">
                  <c:v>73.396140477046629</c:v>
                </c:pt>
                <c:pt idx="53">
                  <c:v>73.294258659954451</c:v>
                </c:pt>
                <c:pt idx="54">
                  <c:v>72.768225646571139</c:v>
                </c:pt>
                <c:pt idx="55">
                  <c:v>72.852933225195997</c:v>
                </c:pt>
                <c:pt idx="56">
                  <c:v>72.332071731098495</c:v>
                </c:pt>
                <c:pt idx="57">
                  <c:v>72.519509777417326</c:v>
                </c:pt>
                <c:pt idx="58">
                  <c:v>72.332071731098495</c:v>
                </c:pt>
                <c:pt idx="59">
                  <c:v>71.892735611776885</c:v>
                </c:pt>
                <c:pt idx="60">
                  <c:v>71.624310443218562</c:v>
                </c:pt>
                <c:pt idx="61">
                  <c:v>71.324181514594301</c:v>
                </c:pt>
                <c:pt idx="62">
                  <c:v>70.351688384475267</c:v>
                </c:pt>
                <c:pt idx="63">
                  <c:v>70.316659660921957</c:v>
                </c:pt>
                <c:pt idx="64">
                  <c:v>70.220914483209569</c:v>
                </c:pt>
                <c:pt idx="65">
                  <c:v>72.733982157339824</c:v>
                </c:pt>
                <c:pt idx="66">
                  <c:v>72.64747228980805</c:v>
                </c:pt>
                <c:pt idx="67">
                  <c:v>72.542939533207175</c:v>
                </c:pt>
                <c:pt idx="68">
                  <c:v>75.783574264541286</c:v>
                </c:pt>
                <c:pt idx="69">
                  <c:v>75.434842540557739</c:v>
                </c:pt>
                <c:pt idx="70">
                  <c:v>75.417170324815331</c:v>
                </c:pt>
                <c:pt idx="71">
                  <c:v>75.242804462823543</c:v>
                </c:pt>
                <c:pt idx="72">
                  <c:v>75.212172622203369</c:v>
                </c:pt>
                <c:pt idx="73">
                  <c:v>74.849704963554316</c:v>
                </c:pt>
                <c:pt idx="74">
                  <c:v>75.534985096431384</c:v>
                </c:pt>
                <c:pt idx="75">
                  <c:v>75.278148894308373</c:v>
                </c:pt>
                <c:pt idx="76">
                  <c:v>75.261654826282125</c:v>
                </c:pt>
                <c:pt idx="77">
                  <c:v>75.101426736884264</c:v>
                </c:pt>
                <c:pt idx="78">
                  <c:v>74.814994793474483</c:v>
                </c:pt>
                <c:pt idx="79">
                  <c:v>74.764857881136948</c:v>
                </c:pt>
                <c:pt idx="80">
                  <c:v>74.672297427590735</c:v>
                </c:pt>
                <c:pt idx="81">
                  <c:v>74.583593659608937</c:v>
                </c:pt>
                <c:pt idx="82">
                  <c:v>75.520847323837458</c:v>
                </c:pt>
                <c:pt idx="83">
                  <c:v>75.440733279138541</c:v>
                </c:pt>
                <c:pt idx="84">
                  <c:v>75.332343689251758</c:v>
                </c:pt>
                <c:pt idx="85">
                  <c:v>75.298177405483102</c:v>
                </c:pt>
                <c:pt idx="86">
                  <c:v>75.207460031338726</c:v>
                </c:pt>
                <c:pt idx="87">
                  <c:v>74.726291025492685</c:v>
                </c:pt>
                <c:pt idx="88">
                  <c:v>75.325274802954794</c:v>
                </c:pt>
                <c:pt idx="89">
                  <c:v>75.387716631911303</c:v>
                </c:pt>
                <c:pt idx="90">
                  <c:v>75.350015904994166</c:v>
                </c:pt>
                <c:pt idx="91">
                  <c:v>75.600961368536389</c:v>
                </c:pt>
                <c:pt idx="92">
                  <c:v>75.383004041046661</c:v>
                </c:pt>
                <c:pt idx="93">
                  <c:v>75.405388847653725</c:v>
                </c:pt>
                <c:pt idx="94">
                  <c:v>75.572685823348536</c:v>
                </c:pt>
                <c:pt idx="95">
                  <c:v>75.585645448226302</c:v>
                </c:pt>
                <c:pt idx="96">
                  <c:v>75.440733279138541</c:v>
                </c:pt>
                <c:pt idx="97">
                  <c:v>75.366509973020413</c:v>
                </c:pt>
                <c:pt idx="98">
                  <c:v>75.373578859317377</c:v>
                </c:pt>
                <c:pt idx="99">
                  <c:v>75.331165541535597</c:v>
                </c:pt>
                <c:pt idx="100">
                  <c:v>75.260476678565965</c:v>
                </c:pt>
                <c:pt idx="101">
                  <c:v>75.45958364259711</c:v>
                </c:pt>
                <c:pt idx="102">
                  <c:v>75.439555131422381</c:v>
                </c:pt>
                <c:pt idx="103">
                  <c:v>75.227488542513456</c:v>
                </c:pt>
                <c:pt idx="104">
                  <c:v>75.428951801976936</c:v>
                </c:pt>
                <c:pt idx="105">
                  <c:v>75.181540781583195</c:v>
                </c:pt>
                <c:pt idx="106">
                  <c:v>74.951264350084202</c:v>
                </c:pt>
                <c:pt idx="107">
                  <c:v>74.956406597503445</c:v>
                </c:pt>
                <c:pt idx="108">
                  <c:v>74.457608597837691</c:v>
                </c:pt>
                <c:pt idx="109">
                  <c:v>74.281486623728895</c:v>
                </c:pt>
                <c:pt idx="110">
                  <c:v>73.947500898957216</c:v>
                </c:pt>
                <c:pt idx="111">
                  <c:v>73.966978305166009</c:v>
                </c:pt>
                <c:pt idx="112">
                  <c:v>73.517499700347599</c:v>
                </c:pt>
                <c:pt idx="113">
                  <c:v>73.554956250749129</c:v>
                </c:pt>
                <c:pt idx="114">
                  <c:v>73.15042550641256</c:v>
                </c:pt>
                <c:pt idx="115">
                  <c:v>73.083003715689799</c:v>
                </c:pt>
                <c:pt idx="116">
                  <c:v>73.057533261416751</c:v>
                </c:pt>
                <c:pt idx="117">
                  <c:v>72.921420203658641</c:v>
                </c:pt>
                <c:pt idx="118">
                  <c:v>72.96287284851762</c:v>
                </c:pt>
                <c:pt idx="119">
                  <c:v>72.472650265837615</c:v>
                </c:pt>
                <c:pt idx="120">
                  <c:v>72.488870865999814</c:v>
                </c:pt>
                <c:pt idx="121">
                  <c:v>72.33387402000541</c:v>
                </c:pt>
                <c:pt idx="122">
                  <c:v>72.218527529963055</c:v>
                </c:pt>
                <c:pt idx="123">
                  <c:v>72.297828241867165</c:v>
                </c:pt>
                <c:pt idx="124">
                  <c:v>72.182481751824824</c:v>
                </c:pt>
                <c:pt idx="125">
                  <c:v>71.818760171623026</c:v>
                </c:pt>
                <c:pt idx="126">
                  <c:v>73.077010667625558</c:v>
                </c:pt>
                <c:pt idx="127">
                  <c:v>73.09049502577011</c:v>
                </c:pt>
                <c:pt idx="128">
                  <c:v>73.066522833513119</c:v>
                </c:pt>
                <c:pt idx="129">
                  <c:v>73.953493947021457</c:v>
                </c:pt>
                <c:pt idx="130">
                  <c:v>73.89655999041112</c:v>
                </c:pt>
                <c:pt idx="131">
                  <c:v>73.975967877262377</c:v>
                </c:pt>
                <c:pt idx="132">
                  <c:v>73.878580846218384</c:v>
                </c:pt>
                <c:pt idx="133">
                  <c:v>73.899556514443248</c:v>
                </c:pt>
                <c:pt idx="134">
                  <c:v>73.46356226776939</c:v>
                </c:pt>
                <c:pt idx="135">
                  <c:v>73.102481121898592</c:v>
                </c:pt>
                <c:pt idx="136">
                  <c:v>72.925024781472473</c:v>
                </c:pt>
                <c:pt idx="137">
                  <c:v>72.652879156528797</c:v>
                </c:pt>
                <c:pt idx="138">
                  <c:v>72.357303775795259</c:v>
                </c:pt>
                <c:pt idx="139">
                  <c:v>72.332071731098495</c:v>
                </c:pt>
                <c:pt idx="140">
                  <c:v>72.124808506803646</c:v>
                </c:pt>
                <c:pt idx="141">
                  <c:v>71.694058715363639</c:v>
                </c:pt>
                <c:pt idx="142">
                  <c:v>71.182571386299742</c:v>
                </c:pt>
                <c:pt idx="143">
                  <c:v>70.935500443697165</c:v>
                </c:pt>
                <c:pt idx="144">
                  <c:v>71.040961258005197</c:v>
                </c:pt>
                <c:pt idx="145">
                  <c:v>70.7977207977208</c:v>
                </c:pt>
                <c:pt idx="146">
                  <c:v>70.536172995189389</c:v>
                </c:pt>
                <c:pt idx="147">
                  <c:v>70.237261220867779</c:v>
                </c:pt>
                <c:pt idx="148">
                  <c:v>70.097146326654524</c:v>
                </c:pt>
                <c:pt idx="149">
                  <c:v>69.906919711283891</c:v>
                </c:pt>
                <c:pt idx="150">
                  <c:v>70.108822567838956</c:v>
                </c:pt>
                <c:pt idx="151">
                  <c:v>69.904132876292394</c:v>
                </c:pt>
                <c:pt idx="152">
                  <c:v>69.547417997380379</c:v>
                </c:pt>
                <c:pt idx="153">
                  <c:v>69.527910152439873</c:v>
                </c:pt>
                <c:pt idx="154">
                  <c:v>69.483320792575867</c:v>
                </c:pt>
                <c:pt idx="155">
                  <c:v>69.469386617618369</c:v>
                </c:pt>
                <c:pt idx="156">
                  <c:v>69.065295543850851</c:v>
                </c:pt>
                <c:pt idx="157">
                  <c:v>69.034640358944344</c:v>
                </c:pt>
                <c:pt idx="158">
                  <c:v>68.981302450486737</c:v>
                </c:pt>
                <c:pt idx="159">
                  <c:v>68.541557569654245</c:v>
                </c:pt>
                <c:pt idx="160">
                  <c:v>68.682544478012758</c:v>
                </c:pt>
                <c:pt idx="161">
                  <c:v>71.423519962800924</c:v>
                </c:pt>
                <c:pt idx="162">
                  <c:v>73.450077909624838</c:v>
                </c:pt>
                <c:pt idx="163">
                  <c:v>73.301749970034763</c:v>
                </c:pt>
                <c:pt idx="164">
                  <c:v>73.036557593191901</c:v>
                </c:pt>
                <c:pt idx="165">
                  <c:v>73.097986335850408</c:v>
                </c:pt>
                <c:pt idx="166">
                  <c:v>73.02906628311159</c:v>
                </c:pt>
                <c:pt idx="167">
                  <c:v>72.761016490943504</c:v>
                </c:pt>
                <c:pt idx="168">
                  <c:v>72.587996755879971</c:v>
                </c:pt>
                <c:pt idx="169">
                  <c:v>72.324862575470846</c:v>
                </c:pt>
                <c:pt idx="170">
                  <c:v>72.204109218707757</c:v>
                </c:pt>
                <c:pt idx="171">
                  <c:v>72.296025952960264</c:v>
                </c:pt>
                <c:pt idx="172">
                  <c:v>72.261782463728935</c:v>
                </c:pt>
                <c:pt idx="173">
                  <c:v>71.875826939741714</c:v>
                </c:pt>
                <c:pt idx="174">
                  <c:v>71.73633039545156</c:v>
                </c:pt>
                <c:pt idx="175">
                  <c:v>71.639105531249342</c:v>
                </c:pt>
                <c:pt idx="176">
                  <c:v>71.586265931139437</c:v>
                </c:pt>
                <c:pt idx="177">
                  <c:v>72.214922952149223</c:v>
                </c:pt>
                <c:pt idx="178">
                  <c:v>72.198702351987023</c:v>
                </c:pt>
                <c:pt idx="179">
                  <c:v>71.628537611227358</c:v>
                </c:pt>
                <c:pt idx="180">
                  <c:v>71.233297402405256</c:v>
                </c:pt>
                <c:pt idx="181">
                  <c:v>71.214275146365694</c:v>
                </c:pt>
                <c:pt idx="182">
                  <c:v>71.068437850062352</c:v>
                </c:pt>
                <c:pt idx="183">
                  <c:v>71.019825417961243</c:v>
                </c:pt>
                <c:pt idx="184">
                  <c:v>70.968193919013586</c:v>
                </c:pt>
                <c:pt idx="185">
                  <c:v>70.589883704637799</c:v>
                </c:pt>
                <c:pt idx="186">
                  <c:v>70.349353136238378</c:v>
                </c:pt>
                <c:pt idx="187">
                  <c:v>70.2699546961842</c:v>
                </c:pt>
                <c:pt idx="188">
                  <c:v>70.132175050207834</c:v>
                </c:pt>
                <c:pt idx="189">
                  <c:v>70.094811078417635</c:v>
                </c:pt>
                <c:pt idx="190">
                  <c:v>70.097146326654524</c:v>
                </c:pt>
                <c:pt idx="191">
                  <c:v>70.21624398673579</c:v>
                </c:pt>
                <c:pt idx="192">
                  <c:v>69.778725301674882</c:v>
                </c:pt>
                <c:pt idx="193">
                  <c:v>69.614302037176373</c:v>
                </c:pt>
                <c:pt idx="194">
                  <c:v>69.709054426887377</c:v>
                </c:pt>
                <c:pt idx="195">
                  <c:v>69.569712677312381</c:v>
                </c:pt>
                <c:pt idx="196">
                  <c:v>69.564139007329373</c:v>
                </c:pt>
                <c:pt idx="197">
                  <c:v>69.69790708692139</c:v>
                </c:pt>
                <c:pt idx="198">
                  <c:v>69.547417997380379</c:v>
                </c:pt>
                <c:pt idx="199">
                  <c:v>69.527910152439873</c:v>
                </c:pt>
                <c:pt idx="200">
                  <c:v>69.683972911963878</c:v>
                </c:pt>
                <c:pt idx="201">
                  <c:v>69.472173452609866</c:v>
                </c:pt>
                <c:pt idx="202">
                  <c:v>69.488894462558875</c:v>
                </c:pt>
                <c:pt idx="203">
                  <c:v>69.745283281776892</c:v>
                </c:pt>
                <c:pt idx="204">
                  <c:v>69.430370927737371</c:v>
                </c:pt>
                <c:pt idx="205">
                  <c:v>69.483320792575867</c:v>
                </c:pt>
                <c:pt idx="206">
                  <c:v>69.143326923612847</c:v>
                </c:pt>
                <c:pt idx="207">
                  <c:v>69.541844327397371</c:v>
                </c:pt>
                <c:pt idx="208">
                  <c:v>69.516762812473871</c:v>
                </c:pt>
                <c:pt idx="209">
                  <c:v>69.447091937686366</c:v>
                </c:pt>
                <c:pt idx="210">
                  <c:v>69.034640358944344</c:v>
                </c:pt>
                <c:pt idx="211">
                  <c:v>69.026279853969854</c:v>
                </c:pt>
                <c:pt idx="212">
                  <c:v>69.034640358944344</c:v>
                </c:pt>
                <c:pt idx="213">
                  <c:v>69.544631162388882</c:v>
                </c:pt>
                <c:pt idx="214">
                  <c:v>69.511189142490878</c:v>
                </c:pt>
                <c:pt idx="215">
                  <c:v>69.41922358777137</c:v>
                </c:pt>
                <c:pt idx="216">
                  <c:v>69.073656048825342</c:v>
                </c:pt>
                <c:pt idx="217">
                  <c:v>68.998086606243703</c:v>
                </c:pt>
                <c:pt idx="218">
                  <c:v>69.034640358944344</c:v>
                </c:pt>
                <c:pt idx="219">
                  <c:v>69.00119833904634</c:v>
                </c:pt>
                <c:pt idx="220">
                  <c:v>68.71611278952669</c:v>
                </c:pt>
                <c:pt idx="221">
                  <c:v>68.588553205773749</c:v>
                </c:pt>
                <c:pt idx="222">
                  <c:v>68.521416582745886</c:v>
                </c:pt>
                <c:pt idx="223">
                  <c:v>69.488894462558875</c:v>
                </c:pt>
                <c:pt idx="224">
                  <c:v>69.438731432711876</c:v>
                </c:pt>
                <c:pt idx="225">
                  <c:v>69.190703118468349</c:v>
                </c:pt>
                <c:pt idx="226">
                  <c:v>69.043000863918849</c:v>
                </c:pt>
                <c:pt idx="227">
                  <c:v>69.026279853969854</c:v>
                </c:pt>
                <c:pt idx="228">
                  <c:v>69.040214028927352</c:v>
                </c:pt>
                <c:pt idx="229">
                  <c:v>68.954447801275592</c:v>
                </c:pt>
                <c:pt idx="230">
                  <c:v>68.702685464921117</c:v>
                </c:pt>
                <c:pt idx="231">
                  <c:v>68.454279959718022</c:v>
                </c:pt>
                <c:pt idx="232">
                  <c:v>68.538200738502852</c:v>
                </c:pt>
                <c:pt idx="233">
                  <c:v>68.007821416582743</c:v>
                </c:pt>
                <c:pt idx="234">
                  <c:v>67.82561205273069</c:v>
                </c:pt>
                <c:pt idx="235">
                  <c:v>67.808872148985145</c:v>
                </c:pt>
                <c:pt idx="236">
                  <c:v>67.687507846829874</c:v>
                </c:pt>
                <c:pt idx="237">
                  <c:v>67.624733207784061</c:v>
                </c:pt>
                <c:pt idx="238">
                  <c:v>67.612178279974884</c:v>
                </c:pt>
                <c:pt idx="239">
                  <c:v>67.591253400292942</c:v>
                </c:pt>
                <c:pt idx="240">
                  <c:v>67.486629001883244</c:v>
                </c:pt>
                <c:pt idx="241">
                  <c:v>67.197865662272449</c:v>
                </c:pt>
                <c:pt idx="242">
                  <c:v>67.135091023226622</c:v>
                </c:pt>
                <c:pt idx="243">
                  <c:v>67.135091023226622</c:v>
                </c:pt>
                <c:pt idx="244">
                  <c:v>67.105796191671899</c:v>
                </c:pt>
                <c:pt idx="245">
                  <c:v>67.122536095417445</c:v>
                </c:pt>
                <c:pt idx="246">
                  <c:v>67.093241263862737</c:v>
                </c:pt>
                <c:pt idx="247">
                  <c:v>67.084871311989957</c:v>
                </c:pt>
                <c:pt idx="248">
                  <c:v>67.063946432308015</c:v>
                </c:pt>
                <c:pt idx="249">
                  <c:v>66.664813188957169</c:v>
                </c:pt>
                <c:pt idx="250">
                  <c:v>66.674568334796604</c:v>
                </c:pt>
                <c:pt idx="251">
                  <c:v>66.669690761876893</c:v>
                </c:pt>
                <c:pt idx="252">
                  <c:v>66.640425324358603</c:v>
                </c:pt>
                <c:pt idx="253">
                  <c:v>66.611159886840312</c:v>
                </c:pt>
                <c:pt idx="254">
                  <c:v>66.601404741000877</c:v>
                </c:pt>
                <c:pt idx="255">
                  <c:v>66.586772022241732</c:v>
                </c:pt>
                <c:pt idx="256">
                  <c:v>66.552629011803731</c:v>
                </c:pt>
                <c:pt idx="257">
                  <c:v>66.562384157643152</c:v>
                </c:pt>
                <c:pt idx="258">
                  <c:v>66.981855428738655</c:v>
                </c:pt>
                <c:pt idx="259">
                  <c:v>66.542873865964296</c:v>
                </c:pt>
                <c:pt idx="260">
                  <c:v>66.537996293044586</c:v>
                </c:pt>
                <c:pt idx="261">
                  <c:v>66.479465418008004</c:v>
                </c:pt>
                <c:pt idx="262">
                  <c:v>66.801385230709201</c:v>
                </c:pt>
                <c:pt idx="263">
                  <c:v>66.303872792898261</c:v>
                </c:pt>
                <c:pt idx="264">
                  <c:v>66.47458784508828</c:v>
                </c:pt>
                <c:pt idx="265">
                  <c:v>66.855038532826072</c:v>
                </c:pt>
                <c:pt idx="266">
                  <c:v>66.289240074139101</c:v>
                </c:pt>
                <c:pt idx="267">
                  <c:v>66.674568334796604</c:v>
                </c:pt>
                <c:pt idx="268">
                  <c:v>66.25021949078139</c:v>
                </c:pt>
                <c:pt idx="269">
                  <c:v>66.689201053555749</c:v>
                </c:pt>
                <c:pt idx="270">
                  <c:v>66.20144376158423</c:v>
                </c:pt>
                <c:pt idx="271">
                  <c:v>66.630670178519168</c:v>
                </c:pt>
                <c:pt idx="272">
                  <c:v>66.211198907423665</c:v>
                </c:pt>
                <c:pt idx="273">
                  <c:v>66.050239001073066</c:v>
                </c:pt>
                <c:pt idx="274">
                  <c:v>66.211198907423665</c:v>
                </c:pt>
                <c:pt idx="275">
                  <c:v>66.152668032387083</c:v>
                </c:pt>
                <c:pt idx="276">
                  <c:v>65.969030154849222</c:v>
                </c:pt>
                <c:pt idx="277">
                  <c:v>65.974463461016029</c:v>
                </c:pt>
                <c:pt idx="278">
                  <c:v>65.974463461016029</c:v>
                </c:pt>
                <c:pt idx="279">
                  <c:v>65.98533007334963</c:v>
                </c:pt>
                <c:pt idx="280">
                  <c:v>66.52336357428544</c:v>
                </c:pt>
                <c:pt idx="281">
                  <c:v>65.958163542515621</c:v>
                </c:pt>
                <c:pt idx="282">
                  <c:v>66.25021949078139</c:v>
                </c:pt>
                <c:pt idx="283">
                  <c:v>66.630670178519168</c:v>
                </c:pt>
                <c:pt idx="284">
                  <c:v>66.079504438591357</c:v>
                </c:pt>
                <c:pt idx="285">
                  <c:v>66.20144376158423</c:v>
                </c:pt>
                <c:pt idx="286">
                  <c:v>66.055116573992777</c:v>
                </c:pt>
                <c:pt idx="287">
                  <c:v>66.020973563554776</c:v>
                </c:pt>
                <c:pt idx="288">
                  <c:v>66.006340844795631</c:v>
                </c:pt>
                <c:pt idx="289">
                  <c:v>65.849497419179571</c:v>
                </c:pt>
                <c:pt idx="290">
                  <c:v>65.974463461016029</c:v>
                </c:pt>
                <c:pt idx="291">
                  <c:v>65.958163542515621</c:v>
                </c:pt>
                <c:pt idx="292">
                  <c:v>65.892963868513988</c:v>
                </c:pt>
                <c:pt idx="293">
                  <c:v>65.909263787014396</c:v>
                </c:pt>
                <c:pt idx="294">
                  <c:v>65.724531377343112</c:v>
                </c:pt>
                <c:pt idx="295">
                  <c:v>65.719098071176305</c:v>
                </c:pt>
                <c:pt idx="296">
                  <c:v>66.659935616037458</c:v>
                </c:pt>
                <c:pt idx="297">
                  <c:v>66.269729782460246</c:v>
                </c:pt>
                <c:pt idx="298">
                  <c:v>66.079504438591357</c:v>
                </c:pt>
                <c:pt idx="299">
                  <c:v>66.113647449029358</c:v>
                </c:pt>
                <c:pt idx="300">
                  <c:v>66.040483855233632</c:v>
                </c:pt>
                <c:pt idx="301">
                  <c:v>65.941863624015213</c:v>
                </c:pt>
                <c:pt idx="302">
                  <c:v>65.925563705514804</c:v>
                </c:pt>
                <c:pt idx="303">
                  <c:v>65.327900027166535</c:v>
                </c:pt>
                <c:pt idx="304">
                  <c:v>65.338766639500136</c:v>
                </c:pt>
                <c:pt idx="305">
                  <c:v>65.15946753599566</c:v>
                </c:pt>
                <c:pt idx="306">
                  <c:v>65.273566965498503</c:v>
                </c:pt>
                <c:pt idx="307">
                  <c:v>65.914697093181204</c:v>
                </c:pt>
                <c:pt idx="308">
                  <c:v>65.816897582178754</c:v>
                </c:pt>
                <c:pt idx="309">
                  <c:v>66.079504438591357</c:v>
                </c:pt>
                <c:pt idx="310">
                  <c:v>66.064871719832212</c:v>
                </c:pt>
                <c:pt idx="311">
                  <c:v>65.74083129584352</c:v>
                </c:pt>
                <c:pt idx="312">
                  <c:v>65.686498234175502</c:v>
                </c:pt>
                <c:pt idx="313">
                  <c:v>65.697364846509103</c:v>
                </c:pt>
                <c:pt idx="314">
                  <c:v>65.691931540342296</c:v>
                </c:pt>
                <c:pt idx="315">
                  <c:v>65.447432762836186</c:v>
                </c:pt>
                <c:pt idx="316">
                  <c:v>65.425699538168971</c:v>
                </c:pt>
                <c:pt idx="317">
                  <c:v>65.371366476500953</c:v>
                </c:pt>
                <c:pt idx="318">
                  <c:v>65.41483292583537</c:v>
                </c:pt>
                <c:pt idx="319">
                  <c:v>65.952730236348813</c:v>
                </c:pt>
                <c:pt idx="320">
                  <c:v>65.903830480847603</c:v>
                </c:pt>
                <c:pt idx="321">
                  <c:v>65.735397989676713</c:v>
                </c:pt>
                <c:pt idx="322">
                  <c:v>65.94729693018202</c:v>
                </c:pt>
                <c:pt idx="323">
                  <c:v>65.806030969845153</c:v>
                </c:pt>
                <c:pt idx="324">
                  <c:v>66.162423178226518</c:v>
                </c:pt>
                <c:pt idx="325">
                  <c:v>65.903830480847603</c:v>
                </c:pt>
                <c:pt idx="326">
                  <c:v>65.686498234175502</c:v>
                </c:pt>
                <c:pt idx="327">
                  <c:v>65.844064113012763</c:v>
                </c:pt>
                <c:pt idx="328">
                  <c:v>65.811464276011947</c:v>
                </c:pt>
                <c:pt idx="329">
                  <c:v>65.691931540342296</c:v>
                </c:pt>
                <c:pt idx="330">
                  <c:v>65.767997826677529</c:v>
                </c:pt>
                <c:pt idx="331">
                  <c:v>65.403966313501769</c:v>
                </c:pt>
                <c:pt idx="332">
                  <c:v>65.52349904917142</c:v>
                </c:pt>
                <c:pt idx="333">
                  <c:v>65.637598478674278</c:v>
                </c:pt>
                <c:pt idx="334">
                  <c:v>65.365933170334145</c:v>
                </c:pt>
                <c:pt idx="335">
                  <c:v>65.583265417006245</c:v>
                </c:pt>
                <c:pt idx="336">
                  <c:v>65.98533007334963</c:v>
                </c:pt>
                <c:pt idx="337">
                  <c:v>65.767997826677529</c:v>
                </c:pt>
                <c:pt idx="338">
                  <c:v>65.675631621841887</c:v>
                </c:pt>
                <c:pt idx="339">
                  <c:v>65.920130399347997</c:v>
                </c:pt>
                <c:pt idx="340">
                  <c:v>65.588698723173053</c:v>
                </c:pt>
                <c:pt idx="341">
                  <c:v>65.637598478674278</c:v>
                </c:pt>
                <c:pt idx="342">
                  <c:v>65.659331703341479</c:v>
                </c:pt>
                <c:pt idx="343">
                  <c:v>65.806030969845153</c:v>
                </c:pt>
                <c:pt idx="344">
                  <c:v>65.566965498505837</c:v>
                </c:pt>
                <c:pt idx="345">
                  <c:v>65.31703341483292</c:v>
                </c:pt>
                <c:pt idx="346">
                  <c:v>65.811464276011947</c:v>
                </c:pt>
                <c:pt idx="347">
                  <c:v>65.778864439011144</c:v>
                </c:pt>
                <c:pt idx="348">
                  <c:v>65.610431947840254</c:v>
                </c:pt>
                <c:pt idx="349">
                  <c:v>65.26813365933171</c:v>
                </c:pt>
                <c:pt idx="350">
                  <c:v>65.621298560173869</c:v>
                </c:pt>
                <c:pt idx="351">
                  <c:v>66.162423178226518</c:v>
                </c:pt>
                <c:pt idx="352">
                  <c:v>65.132301005161636</c:v>
                </c:pt>
                <c:pt idx="353">
                  <c:v>65.338766639500136</c:v>
                </c:pt>
                <c:pt idx="354">
                  <c:v>65.246400434664494</c:v>
                </c:pt>
                <c:pt idx="355">
                  <c:v>65.892963868513988</c:v>
                </c:pt>
                <c:pt idx="356">
                  <c:v>70.344682639764613</c:v>
                </c:pt>
                <c:pt idx="357">
                  <c:v>70.148521787866045</c:v>
                </c:pt>
                <c:pt idx="358">
                  <c:v>70.27228994442109</c:v>
                </c:pt>
                <c:pt idx="359">
                  <c:v>70.21624398673579</c:v>
                </c:pt>
                <c:pt idx="360">
                  <c:v>73.981960925326618</c:v>
                </c:pt>
                <c:pt idx="361">
                  <c:v>74.412613932919385</c:v>
                </c:pt>
                <c:pt idx="362">
                  <c:v>75.997997148882533</c:v>
                </c:pt>
                <c:pt idx="363">
                  <c:v>75.692856890396925</c:v>
                </c:pt>
                <c:pt idx="364">
                  <c:v>75.62570247057576</c:v>
                </c:pt>
                <c:pt idx="365">
                  <c:v>75.427773654260776</c:v>
                </c:pt>
                <c:pt idx="366">
                  <c:v>75.986215671720913</c:v>
                </c:pt>
                <c:pt idx="367">
                  <c:v>75.17093745213775</c:v>
                </c:pt>
                <c:pt idx="368">
                  <c:v>75.073151191696411</c:v>
                </c:pt>
                <c:pt idx="369">
                  <c:v>75.17093745213775</c:v>
                </c:pt>
                <c:pt idx="370">
                  <c:v>75.054300828237842</c:v>
                </c:pt>
                <c:pt idx="371">
                  <c:v>75.23691372424274</c:v>
                </c:pt>
                <c:pt idx="372">
                  <c:v>75.500818812662729</c:v>
                </c:pt>
                <c:pt idx="373">
                  <c:v>75.563260641619252</c:v>
                </c:pt>
                <c:pt idx="374">
                  <c:v>75.622168027427279</c:v>
                </c:pt>
                <c:pt idx="375">
                  <c:v>75.553835459889967</c:v>
                </c:pt>
                <c:pt idx="376">
                  <c:v>75.471365119758715</c:v>
                </c:pt>
                <c:pt idx="377">
                  <c:v>75.306424439496226</c:v>
                </c:pt>
                <c:pt idx="378">
                  <c:v>75.373578859317377</c:v>
                </c:pt>
                <c:pt idx="379">
                  <c:v>75.372400711601216</c:v>
                </c:pt>
                <c:pt idx="380">
                  <c:v>75.3818258933305</c:v>
                </c:pt>
                <c:pt idx="381">
                  <c:v>75.367688120736574</c:v>
                </c:pt>
                <c:pt idx="382">
                  <c:v>75.794177593986731</c:v>
                </c:pt>
                <c:pt idx="383">
                  <c:v>75.606852107117192</c:v>
                </c:pt>
                <c:pt idx="384">
                  <c:v>75.514956585256655</c:v>
                </c:pt>
                <c:pt idx="385">
                  <c:v>75.489037335501123</c:v>
                </c:pt>
                <c:pt idx="386">
                  <c:v>75.419526620247652</c:v>
                </c:pt>
                <c:pt idx="387">
                  <c:v>75.333521836967918</c:v>
                </c:pt>
                <c:pt idx="388">
                  <c:v>75.348837757278005</c:v>
                </c:pt>
                <c:pt idx="389">
                  <c:v>75.274614451159891</c:v>
                </c:pt>
                <c:pt idx="390">
                  <c:v>75.268723712579089</c:v>
                </c:pt>
                <c:pt idx="391">
                  <c:v>75.221597803932653</c:v>
                </c:pt>
                <c:pt idx="392">
                  <c:v>75.167403008989268</c:v>
                </c:pt>
                <c:pt idx="393">
                  <c:v>75.107317475465081</c:v>
                </c:pt>
                <c:pt idx="394">
                  <c:v>75.134414872936773</c:v>
                </c:pt>
                <c:pt idx="395">
                  <c:v>75.126167838923649</c:v>
                </c:pt>
                <c:pt idx="396">
                  <c:v>74.967976654196718</c:v>
                </c:pt>
                <c:pt idx="397">
                  <c:v>74.920410865568797</c:v>
                </c:pt>
                <c:pt idx="398">
                  <c:v>74.763572319282147</c:v>
                </c:pt>
                <c:pt idx="399">
                  <c:v>74.820137040893727</c:v>
                </c:pt>
                <c:pt idx="400">
                  <c:v>75.273436303443731</c:v>
                </c:pt>
                <c:pt idx="401">
                  <c:v>75.312315178077029</c:v>
                </c:pt>
                <c:pt idx="402">
                  <c:v>74.944836540810158</c:v>
                </c:pt>
                <c:pt idx="403">
                  <c:v>74.969262216051519</c:v>
                </c:pt>
                <c:pt idx="404">
                  <c:v>74.872845076940877</c:v>
                </c:pt>
                <c:pt idx="405">
                  <c:v>74.75071670073406</c:v>
                </c:pt>
                <c:pt idx="406">
                  <c:v>74.821422602748527</c:v>
                </c:pt>
                <c:pt idx="407">
                  <c:v>74.710864283234983</c:v>
                </c:pt>
                <c:pt idx="408">
                  <c:v>74.623446077107999</c:v>
                </c:pt>
                <c:pt idx="409">
                  <c:v>74.458894159692491</c:v>
                </c:pt>
                <c:pt idx="410">
                  <c:v>74.510316633884841</c:v>
                </c:pt>
                <c:pt idx="411">
                  <c:v>74.408757247354956</c:v>
                </c:pt>
                <c:pt idx="412">
                  <c:v>74.143931505264376</c:v>
                </c:pt>
                <c:pt idx="413">
                  <c:v>74.218494092843272</c:v>
                </c:pt>
                <c:pt idx="414">
                  <c:v>74.137503695990333</c:v>
                </c:pt>
                <c:pt idx="415">
                  <c:v>74.102793525910499</c:v>
                </c:pt>
                <c:pt idx="416">
                  <c:v>74.317482355663543</c:v>
                </c:pt>
                <c:pt idx="417">
                  <c:v>74.344479154614518</c:v>
                </c:pt>
                <c:pt idx="418">
                  <c:v>74.660727370897447</c:v>
                </c:pt>
                <c:pt idx="419">
                  <c:v>74.991116767583279</c:v>
                </c:pt>
                <c:pt idx="420">
                  <c:v>75.018956396753026</c:v>
                </c:pt>
                <c:pt idx="421">
                  <c:v>74.924267551133227</c:v>
                </c:pt>
                <c:pt idx="422">
                  <c:v>74.926838674842841</c:v>
                </c:pt>
                <c:pt idx="423">
                  <c:v>74.82785041202257</c:v>
                </c:pt>
                <c:pt idx="424">
                  <c:v>74.818851479038912</c:v>
                </c:pt>
                <c:pt idx="425">
                  <c:v>74.85484721097356</c:v>
                </c:pt>
                <c:pt idx="426">
                  <c:v>74.692866417267666</c:v>
                </c:pt>
                <c:pt idx="427">
                  <c:v>74.749431138879245</c:v>
                </c:pt>
                <c:pt idx="428">
                  <c:v>74.629873886382043</c:v>
                </c:pt>
                <c:pt idx="429">
                  <c:v>74.460179721547306</c:v>
                </c:pt>
                <c:pt idx="430">
                  <c:v>74.539884556545445</c:v>
                </c:pt>
                <c:pt idx="431">
                  <c:v>74.453751912273262</c:v>
                </c:pt>
                <c:pt idx="432">
                  <c:v>75.536163244147545</c:v>
                </c:pt>
                <c:pt idx="433">
                  <c:v>75.451336608583986</c:v>
                </c:pt>
                <c:pt idx="434">
                  <c:v>75.403032552221404</c:v>
                </c:pt>
                <c:pt idx="435">
                  <c:v>75.368866268452734</c:v>
                </c:pt>
                <c:pt idx="436">
                  <c:v>75.169759304421589</c:v>
                </c:pt>
                <c:pt idx="437">
                  <c:v>75.332343689251758</c:v>
                </c:pt>
                <c:pt idx="438">
                  <c:v>75.328809246103276</c:v>
                </c:pt>
                <c:pt idx="439">
                  <c:v>75.295821110050781</c:v>
                </c:pt>
                <c:pt idx="440">
                  <c:v>75.2380918719589</c:v>
                </c:pt>
                <c:pt idx="441">
                  <c:v>75.269901860295249</c:v>
                </c:pt>
                <c:pt idx="442">
                  <c:v>75.770614639663521</c:v>
                </c:pt>
                <c:pt idx="443">
                  <c:v>75.942624206222973</c:v>
                </c:pt>
                <c:pt idx="444">
                  <c:v>75.583289152793981</c:v>
                </c:pt>
                <c:pt idx="445">
                  <c:v>75.423061063396133</c:v>
                </c:pt>
                <c:pt idx="446">
                  <c:v>75.357084791291129</c:v>
                </c:pt>
                <c:pt idx="447">
                  <c:v>75.355906643574968</c:v>
                </c:pt>
                <c:pt idx="448">
                  <c:v>75.364153677588092</c:v>
                </c:pt>
                <c:pt idx="449">
                  <c:v>75.334699984684079</c:v>
                </c:pt>
                <c:pt idx="450">
                  <c:v>75.324096655238634</c:v>
                </c:pt>
                <c:pt idx="451">
                  <c:v>75.295821110050781</c:v>
                </c:pt>
                <c:pt idx="452">
                  <c:v>75.23691372424274</c:v>
                </c:pt>
                <c:pt idx="453">
                  <c:v>75.383004041046661</c:v>
                </c:pt>
                <c:pt idx="454">
                  <c:v>75.213350769919529</c:v>
                </c:pt>
                <c:pt idx="455">
                  <c:v>75.205103735906405</c:v>
                </c:pt>
                <c:pt idx="456">
                  <c:v>75.21570706535185</c:v>
                </c:pt>
                <c:pt idx="457">
                  <c:v>75.258120383133644</c:v>
                </c:pt>
                <c:pt idx="458">
                  <c:v>75.107317475465081</c:v>
                </c:pt>
                <c:pt idx="459">
                  <c:v>75.100248589168103</c:v>
                </c:pt>
                <c:pt idx="460">
                  <c:v>75.02720343076615</c:v>
                </c:pt>
                <c:pt idx="461">
                  <c:v>75.038984907927755</c:v>
                </c:pt>
                <c:pt idx="462">
                  <c:v>75.735270208178704</c:v>
                </c:pt>
                <c:pt idx="463">
                  <c:v>75.52438176698594</c:v>
                </c:pt>
                <c:pt idx="464">
                  <c:v>75.010709362739902</c:v>
                </c:pt>
                <c:pt idx="465">
                  <c:v>75.469008824326394</c:v>
                </c:pt>
                <c:pt idx="466">
                  <c:v>75.439555131422381</c:v>
                </c:pt>
                <c:pt idx="467">
                  <c:v>75.377113302465858</c:v>
                </c:pt>
                <c:pt idx="468">
                  <c:v>75.360619234439611</c:v>
                </c:pt>
                <c:pt idx="469">
                  <c:v>75.451336608583986</c:v>
                </c:pt>
                <c:pt idx="470">
                  <c:v>75.636305800021205</c:v>
                </c:pt>
                <c:pt idx="471">
                  <c:v>75.267545564862928</c:v>
                </c:pt>
                <c:pt idx="472">
                  <c:v>75.223954099364974</c:v>
                </c:pt>
                <c:pt idx="473">
                  <c:v>75.181540781583195</c:v>
                </c:pt>
                <c:pt idx="474">
                  <c:v>75.200391145041763</c:v>
                </c:pt>
                <c:pt idx="475">
                  <c:v>75.182718929299355</c:v>
                </c:pt>
                <c:pt idx="476">
                  <c:v>75.067260453115608</c:v>
                </c:pt>
                <c:pt idx="477">
                  <c:v>75.176828190718552</c:v>
                </c:pt>
                <c:pt idx="478">
                  <c:v>75.108495623181241</c:v>
                </c:pt>
                <c:pt idx="479">
                  <c:v>74.982117834599606</c:v>
                </c:pt>
                <c:pt idx="480">
                  <c:v>74.857418334683175</c:v>
                </c:pt>
                <c:pt idx="481">
                  <c:v>74.853561649118745</c:v>
                </c:pt>
                <c:pt idx="482">
                  <c:v>74.820137040893727</c:v>
                </c:pt>
                <c:pt idx="483">
                  <c:v>74.605448211140683</c:v>
                </c:pt>
                <c:pt idx="484">
                  <c:v>74.583593659608937</c:v>
                </c:pt>
                <c:pt idx="485">
                  <c:v>74.295627804131797</c:v>
                </c:pt>
                <c:pt idx="486">
                  <c:v>74.370190391710693</c:v>
                </c:pt>
                <c:pt idx="487">
                  <c:v>74.192782855747097</c:v>
                </c:pt>
                <c:pt idx="488">
                  <c:v>74.019232005347931</c:v>
                </c:pt>
                <c:pt idx="489">
                  <c:v>74.061655546556622</c:v>
                </c:pt>
                <c:pt idx="490">
                  <c:v>73.963981781133882</c:v>
                </c:pt>
                <c:pt idx="491">
                  <c:v>73.868093012105959</c:v>
                </c:pt>
                <c:pt idx="492">
                  <c:v>73.761716408965597</c:v>
                </c:pt>
                <c:pt idx="493">
                  <c:v>73.516001438331543</c:v>
                </c:pt>
                <c:pt idx="494">
                  <c:v>73.439590075512413</c:v>
                </c:pt>
                <c:pt idx="495">
                  <c:v>73.680810260098283</c:v>
                </c:pt>
                <c:pt idx="496">
                  <c:v>73.604398897279154</c:v>
                </c:pt>
                <c:pt idx="497">
                  <c:v>74.758430071862904</c:v>
                </c:pt>
                <c:pt idx="498">
                  <c:v>75.001284181010618</c:v>
                </c:pt>
                <c:pt idx="499">
                  <c:v>75.043697498792397</c:v>
                </c:pt>
                <c:pt idx="500">
                  <c:v>74.895985190327437</c:v>
                </c:pt>
                <c:pt idx="501">
                  <c:v>75.240448167391222</c:v>
                </c:pt>
                <c:pt idx="502">
                  <c:v>75.205103735906405</c:v>
                </c:pt>
                <c:pt idx="503">
                  <c:v>75.324096655238634</c:v>
                </c:pt>
                <c:pt idx="504">
                  <c:v>75.262832973998286</c:v>
                </c:pt>
                <c:pt idx="505">
                  <c:v>75.2380918719589</c:v>
                </c:pt>
                <c:pt idx="506">
                  <c:v>75.150908940963021</c:v>
                </c:pt>
                <c:pt idx="507">
                  <c:v>75.136771168369094</c:v>
                </c:pt>
                <c:pt idx="508">
                  <c:v>75.155621531827663</c:v>
                </c:pt>
                <c:pt idx="509">
                  <c:v>75.116742657194365</c:v>
                </c:pt>
                <c:pt idx="510">
                  <c:v>75.056657123670163</c:v>
                </c:pt>
                <c:pt idx="511">
                  <c:v>75.038984907927755</c:v>
                </c:pt>
                <c:pt idx="512">
                  <c:v>75.015421953604545</c:v>
                </c:pt>
                <c:pt idx="513">
                  <c:v>74.980832272744806</c:v>
                </c:pt>
                <c:pt idx="514">
                  <c:v>74.844562716135087</c:v>
                </c:pt>
                <c:pt idx="515">
                  <c:v>74.823993726458156</c:v>
                </c:pt>
                <c:pt idx="516">
                  <c:v>74.800853613071595</c:v>
                </c:pt>
                <c:pt idx="517">
                  <c:v>74.690295293558052</c:v>
                </c:pt>
                <c:pt idx="518">
                  <c:v>74.530885623561772</c:v>
                </c:pt>
                <c:pt idx="519">
                  <c:v>74.577165850334893</c:v>
                </c:pt>
                <c:pt idx="520">
                  <c:v>74.43961073187036</c:v>
                </c:pt>
                <c:pt idx="521">
                  <c:v>74.421612865903043</c:v>
                </c:pt>
                <c:pt idx="522">
                  <c:v>74.308483422679885</c:v>
                </c:pt>
                <c:pt idx="523">
                  <c:v>74.280201061874095</c:v>
                </c:pt>
                <c:pt idx="524">
                  <c:v>74.181212799053824</c:v>
                </c:pt>
                <c:pt idx="525">
                  <c:v>74.179927237199024</c:v>
                </c:pt>
                <c:pt idx="526">
                  <c:v>74.143931505264376</c:v>
                </c:pt>
                <c:pt idx="527">
                  <c:v>73.984957449358745</c:v>
                </c:pt>
                <c:pt idx="528">
                  <c:v>74.003805263090229</c:v>
                </c:pt>
                <c:pt idx="529">
                  <c:v>74.035944309460447</c:v>
                </c:pt>
                <c:pt idx="530">
                  <c:v>73.946002636941145</c:v>
                </c:pt>
                <c:pt idx="531">
                  <c:v>74.039800995024876</c:v>
                </c:pt>
                <c:pt idx="532">
                  <c:v>73.944504374925089</c:v>
                </c:pt>
                <c:pt idx="533">
                  <c:v>73.920532182668111</c:v>
                </c:pt>
                <c:pt idx="534">
                  <c:v>73.316732590195372</c:v>
                </c:pt>
                <c:pt idx="535">
                  <c:v>73.625374565504018</c:v>
                </c:pt>
                <c:pt idx="536">
                  <c:v>73.736245954692563</c:v>
                </c:pt>
                <c:pt idx="537">
                  <c:v>73.50701186623516</c:v>
                </c:pt>
                <c:pt idx="538">
                  <c:v>73.545966678652761</c:v>
                </c:pt>
                <c:pt idx="539">
                  <c:v>73.529485796476081</c:v>
                </c:pt>
                <c:pt idx="540">
                  <c:v>73.337708258420236</c:v>
                </c:pt>
                <c:pt idx="541">
                  <c:v>73.126453314155583</c:v>
                </c:pt>
                <c:pt idx="542">
                  <c:v>73.276279515761715</c:v>
                </c:pt>
                <c:pt idx="543">
                  <c:v>73.100982859882535</c:v>
                </c:pt>
                <c:pt idx="544">
                  <c:v>73.175895960685608</c:v>
                </c:pt>
                <c:pt idx="545">
                  <c:v>73.124955052139512</c:v>
                </c:pt>
                <c:pt idx="546">
                  <c:v>72.964675137424535</c:v>
                </c:pt>
                <c:pt idx="547">
                  <c:v>72.943047670541588</c:v>
                </c:pt>
                <c:pt idx="548">
                  <c:v>72.879967558799677</c:v>
                </c:pt>
                <c:pt idx="549">
                  <c:v>72.89258358114806</c:v>
                </c:pt>
                <c:pt idx="550">
                  <c:v>72.879967558799677</c:v>
                </c:pt>
                <c:pt idx="551">
                  <c:v>72.672704334504829</c:v>
                </c:pt>
                <c:pt idx="552">
                  <c:v>72.737586735153641</c:v>
                </c:pt>
                <c:pt idx="553">
                  <c:v>72.46363882130305</c:v>
                </c:pt>
                <c:pt idx="554">
                  <c:v>72.663692889970264</c:v>
                </c:pt>
                <c:pt idx="555">
                  <c:v>72.472650265837615</c:v>
                </c:pt>
                <c:pt idx="556">
                  <c:v>72.474452554744531</c:v>
                </c:pt>
                <c:pt idx="557">
                  <c:v>72.359106064702175</c:v>
                </c:pt>
                <c:pt idx="558">
                  <c:v>72.241957285752903</c:v>
                </c:pt>
                <c:pt idx="559">
                  <c:v>72.39334955393349</c:v>
                </c:pt>
                <c:pt idx="560">
                  <c:v>72.159051996034961</c:v>
                </c:pt>
                <c:pt idx="561">
                  <c:v>72.296025952960264</c:v>
                </c:pt>
                <c:pt idx="562">
                  <c:v>72.454627376768499</c:v>
                </c:pt>
                <c:pt idx="563">
                  <c:v>71.848350347684573</c:v>
                </c:pt>
                <c:pt idx="564">
                  <c:v>72.186086329638641</c:v>
                </c:pt>
                <c:pt idx="565">
                  <c:v>72.061728395061735</c:v>
                </c:pt>
                <c:pt idx="566">
                  <c:v>71.996301227992305</c:v>
                </c:pt>
                <c:pt idx="567">
                  <c:v>71.896962779785682</c:v>
                </c:pt>
                <c:pt idx="568">
                  <c:v>71.529199163020735</c:v>
                </c:pt>
                <c:pt idx="569">
                  <c:v>71.639105531249342</c:v>
                </c:pt>
                <c:pt idx="570">
                  <c:v>71.423519962800924</c:v>
                </c:pt>
                <c:pt idx="571">
                  <c:v>71.431974298818503</c:v>
                </c:pt>
                <c:pt idx="572">
                  <c:v>71.734216811447169</c:v>
                </c:pt>
                <c:pt idx="573">
                  <c:v>71.643332699258139</c:v>
                </c:pt>
                <c:pt idx="574">
                  <c:v>71.434087882822908</c:v>
                </c:pt>
                <c:pt idx="575">
                  <c:v>71.070551434066743</c:v>
                </c:pt>
                <c:pt idx="576">
                  <c:v>71.201593642339319</c:v>
                </c:pt>
                <c:pt idx="577">
                  <c:v>71.675036459324076</c:v>
                </c:pt>
                <c:pt idx="578">
                  <c:v>71.717308139411998</c:v>
                </c:pt>
                <c:pt idx="579">
                  <c:v>71.455223722866862</c:v>
                </c:pt>
                <c:pt idx="580">
                  <c:v>71.360112442669035</c:v>
                </c:pt>
                <c:pt idx="581">
                  <c:v>71.319954346585504</c:v>
                </c:pt>
                <c:pt idx="582">
                  <c:v>71.066324266057961</c:v>
                </c:pt>
                <c:pt idx="583">
                  <c:v>71.319954346585504</c:v>
                </c:pt>
                <c:pt idx="584">
                  <c:v>70.837420017747888</c:v>
                </c:pt>
                <c:pt idx="585">
                  <c:v>70.788379804773243</c:v>
                </c:pt>
                <c:pt idx="586">
                  <c:v>70.790715053010132</c:v>
                </c:pt>
                <c:pt idx="587">
                  <c:v>70.304983419737511</c:v>
                </c:pt>
                <c:pt idx="588">
                  <c:v>70.349353136238378</c:v>
                </c:pt>
                <c:pt idx="589">
                  <c:v>70.241931717341558</c:v>
                </c:pt>
                <c:pt idx="590">
                  <c:v>70.143851291392281</c:v>
                </c:pt>
                <c:pt idx="591">
                  <c:v>70.00840689365279</c:v>
                </c:pt>
                <c:pt idx="592">
                  <c:v>69.828888331521895</c:v>
                </c:pt>
                <c:pt idx="593">
                  <c:v>69.993311596020405</c:v>
                </c:pt>
                <c:pt idx="594">
                  <c:v>75.262832973998286</c:v>
                </c:pt>
                <c:pt idx="595">
                  <c:v>75.162690418124626</c:v>
                </c:pt>
                <c:pt idx="596">
                  <c:v>75.208638179054887</c:v>
                </c:pt>
                <c:pt idx="597">
                  <c:v>75.115564509478205</c:v>
                </c:pt>
                <c:pt idx="598">
                  <c:v>75.054300828237842</c:v>
                </c:pt>
                <c:pt idx="599">
                  <c:v>74.969262216051519</c:v>
                </c:pt>
                <c:pt idx="600">
                  <c:v>74.707007597670568</c:v>
                </c:pt>
                <c:pt idx="601">
                  <c:v>74.637587257510901</c:v>
                </c:pt>
                <c:pt idx="602">
                  <c:v>74.754573386298489</c:v>
                </c:pt>
                <c:pt idx="603">
                  <c:v>74.787997994523508</c:v>
                </c:pt>
                <c:pt idx="604">
                  <c:v>74.628588324527229</c:v>
                </c:pt>
                <c:pt idx="605">
                  <c:v>74.672297427590735</c:v>
                </c:pt>
                <c:pt idx="606">
                  <c:v>74.610590458559912</c:v>
                </c:pt>
                <c:pt idx="607">
                  <c:v>74.548883489529103</c:v>
                </c:pt>
                <c:pt idx="608">
                  <c:v>74.523172252432929</c:v>
                </c:pt>
                <c:pt idx="609">
                  <c:v>74.407471685500141</c:v>
                </c:pt>
                <c:pt idx="610">
                  <c:v>74.168357180505737</c:v>
                </c:pt>
                <c:pt idx="611">
                  <c:v>74.141360381554762</c:v>
                </c:pt>
                <c:pt idx="612">
                  <c:v>74.057798860992193</c:v>
                </c:pt>
                <c:pt idx="613">
                  <c:v>73.892065204362936</c:v>
                </c:pt>
                <c:pt idx="614">
                  <c:v>74.33548022163086</c:v>
                </c:pt>
                <c:pt idx="615">
                  <c:v>74.149073752683606</c:v>
                </c:pt>
                <c:pt idx="616">
                  <c:v>74.147788190828805</c:v>
                </c:pt>
                <c:pt idx="617">
                  <c:v>73.928023492748409</c:v>
                </c:pt>
                <c:pt idx="618">
                  <c:v>73.895061728395063</c:v>
                </c:pt>
                <c:pt idx="619">
                  <c:v>73.878580846218384</c:v>
                </c:pt>
                <c:pt idx="620">
                  <c:v>73.898058252427191</c:v>
                </c:pt>
                <c:pt idx="621">
                  <c:v>73.598405849214913</c:v>
                </c:pt>
                <c:pt idx="622">
                  <c:v>73.683806784130411</c:v>
                </c:pt>
                <c:pt idx="623">
                  <c:v>73.595409325182786</c:v>
                </c:pt>
                <c:pt idx="624">
                  <c:v>73.518997962363656</c:v>
                </c:pt>
                <c:pt idx="625">
                  <c:v>73.38115785688602</c:v>
                </c:pt>
                <c:pt idx="626">
                  <c:v>73.40213352511087</c:v>
                </c:pt>
                <c:pt idx="627">
                  <c:v>73.198369890926529</c:v>
                </c:pt>
                <c:pt idx="628">
                  <c:v>73.177394222701665</c:v>
                </c:pt>
                <c:pt idx="629">
                  <c:v>73.139937672300135</c:v>
                </c:pt>
                <c:pt idx="630">
                  <c:v>73.121958528107399</c:v>
                </c:pt>
                <c:pt idx="631">
                  <c:v>73.346697830516604</c:v>
                </c:pt>
                <c:pt idx="632">
                  <c:v>73.036557593191901</c:v>
                </c:pt>
                <c:pt idx="633">
                  <c:v>73.027568021095533</c:v>
                </c:pt>
                <c:pt idx="634">
                  <c:v>72.950256826169237</c:v>
                </c:pt>
                <c:pt idx="635">
                  <c:v>72.728575290619091</c:v>
                </c:pt>
                <c:pt idx="636">
                  <c:v>73.450077909624838</c:v>
                </c:pt>
                <c:pt idx="637">
                  <c:v>72.888979003334228</c:v>
                </c:pt>
                <c:pt idx="638">
                  <c:v>74.975690025325562</c:v>
                </c:pt>
                <c:pt idx="639">
                  <c:v>74.939694293390929</c:v>
                </c:pt>
                <c:pt idx="640">
                  <c:v>74.793140241942737</c:v>
                </c:pt>
                <c:pt idx="641">
                  <c:v>74.712149845089797</c:v>
                </c:pt>
                <c:pt idx="642">
                  <c:v>74.622160515253185</c:v>
                </c:pt>
                <c:pt idx="643">
                  <c:v>74.457608597837691</c:v>
                </c:pt>
                <c:pt idx="644">
                  <c:v>73.851612129929279</c:v>
                </c:pt>
                <c:pt idx="645">
                  <c:v>73.728754644612252</c:v>
                </c:pt>
                <c:pt idx="646">
                  <c:v>73.554956250749129</c:v>
                </c:pt>
                <c:pt idx="647">
                  <c:v>73.511506652283359</c:v>
                </c:pt>
                <c:pt idx="648">
                  <c:v>73.367673498741453</c:v>
                </c:pt>
                <c:pt idx="649">
                  <c:v>73.129449838187696</c:v>
                </c:pt>
                <c:pt idx="650">
                  <c:v>73.238822965360185</c:v>
                </c:pt>
                <c:pt idx="651">
                  <c:v>72.984500315400552</c:v>
                </c:pt>
                <c:pt idx="652">
                  <c:v>72.719563846084526</c:v>
                </c:pt>
                <c:pt idx="653">
                  <c:v>72.70875011264306</c:v>
                </c:pt>
                <c:pt idx="654">
                  <c:v>72.73578444624674</c:v>
                </c:pt>
                <c:pt idx="655">
                  <c:v>72.488870865999814</c:v>
                </c:pt>
                <c:pt idx="656">
                  <c:v>72.202306929800841</c:v>
                </c:pt>
                <c:pt idx="657">
                  <c:v>72.184284040731725</c:v>
                </c:pt>
                <c:pt idx="658">
                  <c:v>72.231143552311437</c:v>
                </c:pt>
                <c:pt idx="659">
                  <c:v>71.979392555957133</c:v>
                </c:pt>
                <c:pt idx="660">
                  <c:v>71.721535307420794</c:v>
                </c:pt>
                <c:pt idx="661">
                  <c:v>71.603174603174608</c:v>
                </c:pt>
                <c:pt idx="662">
                  <c:v>71.577811595121844</c:v>
                </c:pt>
                <c:pt idx="663">
                  <c:v>75.857797570659415</c:v>
                </c:pt>
                <c:pt idx="664">
                  <c:v>75.207460031338726</c:v>
                </c:pt>
                <c:pt idx="665">
                  <c:v>74.850990525409131</c:v>
                </c:pt>
                <c:pt idx="666">
                  <c:v>76.617873512610359</c:v>
                </c:pt>
                <c:pt idx="667">
                  <c:v>75.145018202382218</c:v>
                </c:pt>
                <c:pt idx="668">
                  <c:v>75.067260453115608</c:v>
                </c:pt>
                <c:pt idx="669">
                  <c:v>74.906269685165896</c:v>
                </c:pt>
                <c:pt idx="670">
                  <c:v>74.845848277989901</c:v>
                </c:pt>
                <c:pt idx="671">
                  <c:v>74.904984123311095</c:v>
                </c:pt>
                <c:pt idx="672">
                  <c:v>74.82656485016777</c:v>
                </c:pt>
                <c:pt idx="673">
                  <c:v>74.497461015336754</c:v>
                </c:pt>
                <c:pt idx="674">
                  <c:v>74.541170118400245</c:v>
                </c:pt>
                <c:pt idx="675">
                  <c:v>74.483319834933852</c:v>
                </c:pt>
                <c:pt idx="676">
                  <c:v>74.374047077275122</c:v>
                </c:pt>
                <c:pt idx="677">
                  <c:v>74.223636340262516</c:v>
                </c:pt>
                <c:pt idx="678">
                  <c:v>74.160643809376893</c:v>
                </c:pt>
                <c:pt idx="679">
                  <c:v>74.050085489863349</c:v>
                </c:pt>
                <c:pt idx="680">
                  <c:v>73.981960925326618</c:v>
                </c:pt>
                <c:pt idx="681">
                  <c:v>73.931020016780536</c:v>
                </c:pt>
                <c:pt idx="682">
                  <c:v>73.948999160973273</c:v>
                </c:pt>
                <c:pt idx="683">
                  <c:v>73.806664269447438</c:v>
                </c:pt>
                <c:pt idx="684">
                  <c:v>73.821646889608061</c:v>
                </c:pt>
                <c:pt idx="685">
                  <c:v>73.730252906628309</c:v>
                </c:pt>
                <c:pt idx="686">
                  <c:v>73.496524032122736</c:v>
                </c:pt>
                <c:pt idx="687">
                  <c:v>73.379659594869949</c:v>
                </c:pt>
                <c:pt idx="688">
                  <c:v>73.355687402612972</c:v>
                </c:pt>
                <c:pt idx="689">
                  <c:v>73.307743018099004</c:v>
                </c:pt>
                <c:pt idx="690">
                  <c:v>73.11147069399496</c:v>
                </c:pt>
                <c:pt idx="691">
                  <c:v>73.01258540093491</c:v>
                </c:pt>
                <c:pt idx="692">
                  <c:v>73.246314275440483</c:v>
                </c:pt>
                <c:pt idx="693">
                  <c:v>74.188926170182683</c:v>
                </c:pt>
                <c:pt idx="694">
                  <c:v>74.15035931453842</c:v>
                </c:pt>
                <c:pt idx="695">
                  <c:v>74.037229871315262</c:v>
                </c:pt>
                <c:pt idx="696">
                  <c:v>74.025659814621974</c:v>
                </c:pt>
                <c:pt idx="697">
                  <c:v>73.971473091214193</c:v>
                </c:pt>
                <c:pt idx="698">
                  <c:v>73.857605177993534</c:v>
                </c:pt>
                <c:pt idx="699">
                  <c:v>73.784190339206518</c:v>
                </c:pt>
                <c:pt idx="700">
                  <c:v>73.77669902912622</c:v>
                </c:pt>
                <c:pt idx="701">
                  <c:v>73.704782452355275</c:v>
                </c:pt>
                <c:pt idx="702">
                  <c:v>73.596907587198857</c:v>
                </c:pt>
                <c:pt idx="703">
                  <c:v>73.321227376243556</c:v>
                </c:pt>
                <c:pt idx="704">
                  <c:v>73.367673498741453</c:v>
                </c:pt>
                <c:pt idx="705">
                  <c:v>73.315234328179315</c:v>
                </c:pt>
                <c:pt idx="706">
                  <c:v>73.041052379240085</c:v>
                </c:pt>
                <c:pt idx="707">
                  <c:v>73.077010667625558</c:v>
                </c:pt>
                <c:pt idx="708">
                  <c:v>72.980895737586735</c:v>
                </c:pt>
                <c:pt idx="709">
                  <c:v>72.872758403172028</c:v>
                </c:pt>
                <c:pt idx="710">
                  <c:v>72.861944669730562</c:v>
                </c:pt>
                <c:pt idx="711">
                  <c:v>72.879967558799677</c:v>
                </c:pt>
                <c:pt idx="712">
                  <c:v>73.987953973390873</c:v>
                </c:pt>
                <c:pt idx="713">
                  <c:v>74.008947510509472</c:v>
                </c:pt>
                <c:pt idx="714">
                  <c:v>74.109221335184543</c:v>
                </c:pt>
                <c:pt idx="715">
                  <c:v>74.156787123812464</c:v>
                </c:pt>
                <c:pt idx="716">
                  <c:v>74.024374252767174</c:v>
                </c:pt>
                <c:pt idx="717">
                  <c:v>73.869591274122016</c:v>
                </c:pt>
                <c:pt idx="718">
                  <c:v>75.84837238893013</c:v>
                </c:pt>
                <c:pt idx="719">
                  <c:v>75.152087088679181</c:v>
                </c:pt>
                <c:pt idx="720">
                  <c:v>74.888271819198579</c:v>
                </c:pt>
                <c:pt idx="721">
                  <c:v>74.886986257343779</c:v>
                </c:pt>
                <c:pt idx="722">
                  <c:v>74.933266484116885</c:v>
                </c:pt>
                <c:pt idx="723">
                  <c:v>74.695437540977281</c:v>
                </c:pt>
                <c:pt idx="724">
                  <c:v>74.849704963554316</c:v>
                </c:pt>
                <c:pt idx="725">
                  <c:v>74.946122102664972</c:v>
                </c:pt>
                <c:pt idx="726">
                  <c:v>74.893414066617822</c:v>
                </c:pt>
                <c:pt idx="727">
                  <c:v>74.867702829521647</c:v>
                </c:pt>
                <c:pt idx="728">
                  <c:v>74.835563783151429</c:v>
                </c:pt>
                <c:pt idx="729">
                  <c:v>74.703150912106139</c:v>
                </c:pt>
                <c:pt idx="730">
                  <c:v>74.659441809042647</c:v>
                </c:pt>
                <c:pt idx="731">
                  <c:v>74.394616066952068</c:v>
                </c:pt>
                <c:pt idx="732">
                  <c:v>74.296913365986612</c:v>
                </c:pt>
                <c:pt idx="733">
                  <c:v>74.980832272744806</c:v>
                </c:pt>
                <c:pt idx="734">
                  <c:v>74.980832272744806</c:v>
                </c:pt>
                <c:pt idx="735">
                  <c:v>74.812423669764868</c:v>
                </c:pt>
                <c:pt idx="736">
                  <c:v>74.763572319282147</c:v>
                </c:pt>
                <c:pt idx="737">
                  <c:v>74.67101186573592</c:v>
                </c:pt>
                <c:pt idx="738">
                  <c:v>74.465321968966535</c:v>
                </c:pt>
                <c:pt idx="739">
                  <c:v>74.49103320606271</c:v>
                </c:pt>
                <c:pt idx="740">
                  <c:v>74.302055613405841</c:v>
                </c:pt>
                <c:pt idx="741">
                  <c:v>74.237777520665404</c:v>
                </c:pt>
                <c:pt idx="742">
                  <c:v>74.008947510509472</c:v>
                </c:pt>
                <c:pt idx="743">
                  <c:v>73.914539134603856</c:v>
                </c:pt>
                <c:pt idx="744">
                  <c:v>73.671820688001915</c:v>
                </c:pt>
                <c:pt idx="745">
                  <c:v>73.620879779455834</c:v>
                </c:pt>
                <c:pt idx="746">
                  <c:v>73.877082584202327</c:v>
                </c:pt>
                <c:pt idx="747">
                  <c:v>74.075796726959524</c:v>
                </c:pt>
                <c:pt idx="748">
                  <c:v>73.998441807503298</c:v>
                </c:pt>
                <c:pt idx="749">
                  <c:v>73.978964401294505</c:v>
                </c:pt>
                <c:pt idx="750">
                  <c:v>73.59990411123097</c:v>
                </c:pt>
                <c:pt idx="751">
                  <c:v>73.516001438331543</c:v>
                </c:pt>
                <c:pt idx="752">
                  <c:v>73.44708138559271</c:v>
                </c:pt>
                <c:pt idx="753">
                  <c:v>73.405130049142997</c:v>
                </c:pt>
                <c:pt idx="754">
                  <c:v>73.222342083183506</c:v>
                </c:pt>
                <c:pt idx="755">
                  <c:v>73.427603979383917</c:v>
                </c:pt>
                <c:pt idx="756">
                  <c:v>73.021574973031278</c:v>
                </c:pt>
                <c:pt idx="757">
                  <c:v>72.92862935928629</c:v>
                </c:pt>
                <c:pt idx="758">
                  <c:v>72.876362980985846</c:v>
                </c:pt>
                <c:pt idx="759">
                  <c:v>72.762818779850406</c:v>
                </c:pt>
                <c:pt idx="760">
                  <c:v>72.681715779039379</c:v>
                </c:pt>
                <c:pt idx="761">
                  <c:v>72.737586735153641</c:v>
                </c:pt>
                <c:pt idx="762">
                  <c:v>72.838514913940699</c:v>
                </c:pt>
                <c:pt idx="763">
                  <c:v>72.469045688023783</c:v>
                </c:pt>
                <c:pt idx="764">
                  <c:v>72.467243399116882</c:v>
                </c:pt>
                <c:pt idx="765">
                  <c:v>73.514503176315472</c:v>
                </c:pt>
                <c:pt idx="766">
                  <c:v>74.341908030904904</c:v>
                </c:pt>
                <c:pt idx="767">
                  <c:v>74.506459948320412</c:v>
                </c:pt>
                <c:pt idx="768">
                  <c:v>74.902412999601481</c:v>
                </c:pt>
                <c:pt idx="769">
                  <c:v>74.726291025492685</c:v>
                </c:pt>
                <c:pt idx="770">
                  <c:v>75.155621531827663</c:v>
                </c:pt>
                <c:pt idx="771">
                  <c:v>74.361191458727035</c:v>
                </c:pt>
                <c:pt idx="772">
                  <c:v>74.804710298636024</c:v>
                </c:pt>
                <c:pt idx="773">
                  <c:v>74.761001195572518</c:v>
                </c:pt>
                <c:pt idx="774">
                  <c:v>75.061369714534806</c:v>
                </c:pt>
                <c:pt idx="775">
                  <c:v>74.713435406944612</c:v>
                </c:pt>
                <c:pt idx="776">
                  <c:v>74.685153046138822</c:v>
                </c:pt>
                <c:pt idx="777">
                  <c:v>74.587450345173352</c:v>
                </c:pt>
                <c:pt idx="778">
                  <c:v>75.511422142108174</c:v>
                </c:pt>
                <c:pt idx="779">
                  <c:v>75.082576373425695</c:v>
                </c:pt>
                <c:pt idx="780">
                  <c:v>74.971833339761147</c:v>
                </c:pt>
                <c:pt idx="781">
                  <c:v>74.852276087263945</c:v>
                </c:pt>
                <c:pt idx="782">
                  <c:v>74.825279288312956</c:v>
                </c:pt>
                <c:pt idx="783">
                  <c:v>74.773856814120606</c:v>
                </c:pt>
                <c:pt idx="784">
                  <c:v>74.755858948153289</c:v>
                </c:pt>
                <c:pt idx="785">
                  <c:v>74.72371990178307</c:v>
                </c:pt>
                <c:pt idx="786">
                  <c:v>74.732718834766729</c:v>
                </c:pt>
                <c:pt idx="787">
                  <c:v>74.506459948320412</c:v>
                </c:pt>
                <c:pt idx="788">
                  <c:v>74.636301695656087</c:v>
                </c:pt>
                <c:pt idx="789">
                  <c:v>74.640158381220516</c:v>
                </c:pt>
                <c:pt idx="790">
                  <c:v>74.732718834766729</c:v>
                </c:pt>
                <c:pt idx="791">
                  <c:v>74.673582989445535</c:v>
                </c:pt>
                <c:pt idx="792">
                  <c:v>74.678725236864778</c:v>
                </c:pt>
                <c:pt idx="793">
                  <c:v>74.592592592592595</c:v>
                </c:pt>
                <c:pt idx="794">
                  <c:v>74.458894159692491</c:v>
                </c:pt>
                <c:pt idx="795">
                  <c:v>73.800671221383197</c:v>
                </c:pt>
                <c:pt idx="796">
                  <c:v>74.359905896872235</c:v>
                </c:pt>
                <c:pt idx="797">
                  <c:v>74.380474886549166</c:v>
                </c:pt>
                <c:pt idx="798">
                  <c:v>74.061655546556622</c:v>
                </c:pt>
                <c:pt idx="799">
                  <c:v>73.877082584202327</c:v>
                </c:pt>
                <c:pt idx="800">
                  <c:v>73.734747692676493</c:v>
                </c:pt>
                <c:pt idx="801">
                  <c:v>73.79767469735107</c:v>
                </c:pt>
                <c:pt idx="802">
                  <c:v>74.633730571946472</c:v>
                </c:pt>
                <c:pt idx="803">
                  <c:v>74.320053479373158</c:v>
                </c:pt>
                <c:pt idx="804">
                  <c:v>74.678725236864778</c:v>
                </c:pt>
                <c:pt idx="805">
                  <c:v>74.458894159692491</c:v>
                </c:pt>
                <c:pt idx="806">
                  <c:v>74.442181855579989</c:v>
                </c:pt>
                <c:pt idx="807">
                  <c:v>74.308483422679885</c:v>
                </c:pt>
                <c:pt idx="808">
                  <c:v>74.188926170182683</c:v>
                </c:pt>
                <c:pt idx="809">
                  <c:v>74.093794592926841</c:v>
                </c:pt>
                <c:pt idx="810">
                  <c:v>73.978964401294505</c:v>
                </c:pt>
                <c:pt idx="811">
                  <c:v>73.992448759439057</c:v>
                </c:pt>
                <c:pt idx="812">
                  <c:v>73.87558432218627</c:v>
                </c:pt>
                <c:pt idx="813">
                  <c:v>73.533980582524265</c:v>
                </c:pt>
                <c:pt idx="814">
                  <c:v>73.487534460026367</c:v>
                </c:pt>
                <c:pt idx="815">
                  <c:v>73.387150904950261</c:v>
                </c:pt>
                <c:pt idx="816">
                  <c:v>73.445583123576654</c:v>
                </c:pt>
                <c:pt idx="817">
                  <c:v>73.264293419633219</c:v>
                </c:pt>
                <c:pt idx="818">
                  <c:v>73.148927244396504</c:v>
                </c:pt>
                <c:pt idx="819">
                  <c:v>72.97188429305217</c:v>
                </c:pt>
                <c:pt idx="820">
                  <c:v>72.899792736775709</c:v>
                </c:pt>
                <c:pt idx="821">
                  <c:v>72.914211048031007</c:v>
                </c:pt>
                <c:pt idx="822">
                  <c:v>72.764621068757322</c:v>
                </c:pt>
                <c:pt idx="823">
                  <c:v>73.066522833513119</c:v>
                </c:pt>
                <c:pt idx="824">
                  <c:v>72.382535820492024</c:v>
                </c:pt>
                <c:pt idx="825">
                  <c:v>72.41137244300262</c:v>
                </c:pt>
                <c:pt idx="826">
                  <c:v>72.303235108587913</c:v>
                </c:pt>
                <c:pt idx="827">
                  <c:v>72.231143552311437</c:v>
                </c:pt>
                <c:pt idx="828">
                  <c:v>72.178877174010992</c:v>
                </c:pt>
                <c:pt idx="829">
                  <c:v>72.582589889159237</c:v>
                </c:pt>
                <c:pt idx="830">
                  <c:v>72.160854284941877</c:v>
                </c:pt>
                <c:pt idx="831">
                  <c:v>72.115797062269081</c:v>
                </c:pt>
                <c:pt idx="832">
                  <c:v>72.19329548526629</c:v>
                </c:pt>
                <c:pt idx="833">
                  <c:v>72.000450572226725</c:v>
                </c:pt>
                <c:pt idx="834">
                  <c:v>72.42038388753717</c:v>
                </c:pt>
                <c:pt idx="835">
                  <c:v>72.074344417410117</c:v>
                </c:pt>
                <c:pt idx="836">
                  <c:v>71.64544628326253</c:v>
                </c:pt>
                <c:pt idx="837">
                  <c:v>71.573584427113062</c:v>
                </c:pt>
                <c:pt idx="838">
                  <c:v>72.328467153284677</c:v>
                </c:pt>
                <c:pt idx="839">
                  <c:v>71.474245978906424</c:v>
                </c:pt>
                <c:pt idx="840">
                  <c:v>71.286137002515161</c:v>
                </c:pt>
                <c:pt idx="841">
                  <c:v>70.853766755406099</c:v>
                </c:pt>
                <c:pt idx="842">
                  <c:v>71.26922833047999</c:v>
                </c:pt>
                <c:pt idx="843">
                  <c:v>70.575872215216478</c:v>
                </c:pt>
                <c:pt idx="844">
                  <c:v>70.384381859791702</c:v>
                </c:pt>
                <c:pt idx="845">
                  <c:v>70.015412638363458</c:v>
                </c:pt>
                <c:pt idx="846">
                  <c:v>70.16486852552427</c:v>
                </c:pt>
                <c:pt idx="847">
                  <c:v>69.78429897165789</c:v>
                </c:pt>
                <c:pt idx="848">
                  <c:v>69.695120251929879</c:v>
                </c:pt>
                <c:pt idx="849">
                  <c:v>69.240866148315362</c:v>
                </c:pt>
                <c:pt idx="850">
                  <c:v>69.154474263578848</c:v>
                </c:pt>
                <c:pt idx="851">
                  <c:v>69.093163893765848</c:v>
                </c:pt>
                <c:pt idx="852">
                  <c:v>68.823531386371272</c:v>
                </c:pt>
                <c:pt idx="853">
                  <c:v>68.554984894259817</c:v>
                </c:pt>
                <c:pt idx="854">
                  <c:v>68.434138972809663</c:v>
                </c:pt>
                <c:pt idx="855">
                  <c:v>68.279724739845591</c:v>
                </c:pt>
                <c:pt idx="856">
                  <c:v>68.323363544813702</c:v>
                </c:pt>
                <c:pt idx="857">
                  <c:v>69.452665607669374</c:v>
                </c:pt>
                <c:pt idx="858">
                  <c:v>69.583646852269879</c:v>
                </c:pt>
                <c:pt idx="859">
                  <c:v>69.137753253629853</c:v>
                </c:pt>
                <c:pt idx="860">
                  <c:v>69.112671738706354</c:v>
                </c:pt>
                <c:pt idx="861">
                  <c:v>68.900738502853301</c:v>
                </c:pt>
                <c:pt idx="862">
                  <c:v>68.403927492447124</c:v>
                </c:pt>
                <c:pt idx="863">
                  <c:v>69.622662542150877</c:v>
                </c:pt>
                <c:pt idx="864">
                  <c:v>68.202517623363548</c:v>
                </c:pt>
                <c:pt idx="865">
                  <c:v>68.01453507888553</c:v>
                </c:pt>
                <c:pt idx="866">
                  <c:v>67.813057124921528</c:v>
                </c:pt>
                <c:pt idx="867">
                  <c:v>67.478259050010465</c:v>
                </c:pt>
                <c:pt idx="868">
                  <c:v>69.814954156564383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3-A441-978F-683478F12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235344"/>
        <c:axId val="641237056"/>
      </c:lineChart>
      <c:dateAx>
        <c:axId val="641235344"/>
        <c:scaling>
          <c:orientation val="minMax"/>
          <c:max val="46023"/>
          <c:min val="387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7056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641237056"/>
        <c:scaling>
          <c:orientation val="minMax"/>
          <c:max val="8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 Reservoir  Water Level</a:t>
                </a:r>
                <a:r>
                  <a:rPr lang="en-GB" sz="1400" b="1" baseline="0"/>
                  <a:t> Elevation (</a:t>
                </a:r>
                <a:r>
                  <a:rPr lang="en-GB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SRTM30-m</a:t>
                </a:r>
                <a:r>
                  <a:rPr lang="en-GB" sz="1400" b="1" baseline="0"/>
                  <a:t>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Info!$C$53</c:f>
          <c:strCache>
            <c:ptCount val="1"/>
            <c:pt idx="0">
              <c:v>Mirani Reservoir, Balochistan: Reservoir Capacity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Calcs!$H$4</c:f>
              <c:strCache>
                <c:ptCount val="1"/>
                <c:pt idx="0">
                  <c:v>Volume (Acre-ft)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numRef>
              <c:f>Calcs!$C$5:$C$873</c:f>
              <c:numCache>
                <c:formatCode>m/d/yy</c:formatCode>
                <c:ptCount val="869"/>
                <c:pt idx="0">
                  <c:v>38966</c:v>
                </c:pt>
                <c:pt idx="1">
                  <c:v>38982</c:v>
                </c:pt>
                <c:pt idx="2">
                  <c:v>39014</c:v>
                </c:pt>
                <c:pt idx="3">
                  <c:v>39174</c:v>
                </c:pt>
                <c:pt idx="4">
                  <c:v>39190</c:v>
                </c:pt>
                <c:pt idx="5">
                  <c:v>39206</c:v>
                </c:pt>
                <c:pt idx="6">
                  <c:v>39286</c:v>
                </c:pt>
                <c:pt idx="7">
                  <c:v>39302</c:v>
                </c:pt>
                <c:pt idx="8">
                  <c:v>39334</c:v>
                </c:pt>
                <c:pt idx="9">
                  <c:v>39350</c:v>
                </c:pt>
                <c:pt idx="10">
                  <c:v>39366</c:v>
                </c:pt>
                <c:pt idx="11">
                  <c:v>39478</c:v>
                </c:pt>
                <c:pt idx="12">
                  <c:v>39510</c:v>
                </c:pt>
                <c:pt idx="13">
                  <c:v>39526</c:v>
                </c:pt>
                <c:pt idx="14">
                  <c:v>39542</c:v>
                </c:pt>
                <c:pt idx="15">
                  <c:v>39558</c:v>
                </c:pt>
                <c:pt idx="16">
                  <c:v>39590</c:v>
                </c:pt>
                <c:pt idx="17">
                  <c:v>39606</c:v>
                </c:pt>
                <c:pt idx="18">
                  <c:v>39654</c:v>
                </c:pt>
                <c:pt idx="19">
                  <c:v>39670</c:v>
                </c:pt>
                <c:pt idx="20">
                  <c:v>39686</c:v>
                </c:pt>
                <c:pt idx="21">
                  <c:v>39702</c:v>
                </c:pt>
                <c:pt idx="22">
                  <c:v>39718</c:v>
                </c:pt>
                <c:pt idx="23">
                  <c:v>39734</c:v>
                </c:pt>
                <c:pt idx="24">
                  <c:v>39750</c:v>
                </c:pt>
                <c:pt idx="25">
                  <c:v>39766</c:v>
                </c:pt>
                <c:pt idx="26">
                  <c:v>39782</c:v>
                </c:pt>
                <c:pt idx="27">
                  <c:v>39878</c:v>
                </c:pt>
                <c:pt idx="28">
                  <c:v>39926</c:v>
                </c:pt>
                <c:pt idx="29">
                  <c:v>39942</c:v>
                </c:pt>
                <c:pt idx="30">
                  <c:v>39958</c:v>
                </c:pt>
                <c:pt idx="31">
                  <c:v>39974</c:v>
                </c:pt>
                <c:pt idx="32">
                  <c:v>39990</c:v>
                </c:pt>
                <c:pt idx="33">
                  <c:v>40070</c:v>
                </c:pt>
                <c:pt idx="34">
                  <c:v>40086</c:v>
                </c:pt>
                <c:pt idx="35">
                  <c:v>40102</c:v>
                </c:pt>
                <c:pt idx="36">
                  <c:v>40118</c:v>
                </c:pt>
                <c:pt idx="37">
                  <c:v>40134</c:v>
                </c:pt>
                <c:pt idx="38">
                  <c:v>40246</c:v>
                </c:pt>
                <c:pt idx="39">
                  <c:v>40262</c:v>
                </c:pt>
                <c:pt idx="40">
                  <c:v>40310</c:v>
                </c:pt>
                <c:pt idx="41">
                  <c:v>40326</c:v>
                </c:pt>
                <c:pt idx="42">
                  <c:v>40342</c:v>
                </c:pt>
                <c:pt idx="43">
                  <c:v>40358</c:v>
                </c:pt>
                <c:pt idx="44">
                  <c:v>40470</c:v>
                </c:pt>
                <c:pt idx="45">
                  <c:v>40486</c:v>
                </c:pt>
                <c:pt idx="46">
                  <c:v>40662</c:v>
                </c:pt>
                <c:pt idx="47">
                  <c:v>40678</c:v>
                </c:pt>
                <c:pt idx="48">
                  <c:v>40726</c:v>
                </c:pt>
                <c:pt idx="49">
                  <c:v>40742</c:v>
                </c:pt>
                <c:pt idx="50">
                  <c:v>40758</c:v>
                </c:pt>
                <c:pt idx="51">
                  <c:v>40806</c:v>
                </c:pt>
                <c:pt idx="52">
                  <c:v>40838</c:v>
                </c:pt>
                <c:pt idx="53">
                  <c:v>40854</c:v>
                </c:pt>
                <c:pt idx="54">
                  <c:v>40998</c:v>
                </c:pt>
                <c:pt idx="55">
                  <c:v>41014</c:v>
                </c:pt>
                <c:pt idx="56">
                  <c:v>41030</c:v>
                </c:pt>
                <c:pt idx="57">
                  <c:v>41046</c:v>
                </c:pt>
                <c:pt idx="58">
                  <c:v>41078</c:v>
                </c:pt>
                <c:pt idx="59">
                  <c:v>41094</c:v>
                </c:pt>
                <c:pt idx="60">
                  <c:v>41110</c:v>
                </c:pt>
                <c:pt idx="61">
                  <c:v>41126</c:v>
                </c:pt>
                <c:pt idx="62">
                  <c:v>41174</c:v>
                </c:pt>
                <c:pt idx="63">
                  <c:v>41190</c:v>
                </c:pt>
                <c:pt idx="64">
                  <c:v>41206</c:v>
                </c:pt>
                <c:pt idx="65">
                  <c:v>41350</c:v>
                </c:pt>
                <c:pt idx="66">
                  <c:v>41366</c:v>
                </c:pt>
                <c:pt idx="67">
                  <c:v>41369</c:v>
                </c:pt>
                <c:pt idx="68">
                  <c:v>41374</c:v>
                </c:pt>
                <c:pt idx="69">
                  <c:v>41382</c:v>
                </c:pt>
                <c:pt idx="70">
                  <c:v>41398</c:v>
                </c:pt>
                <c:pt idx="71">
                  <c:v>41414</c:v>
                </c:pt>
                <c:pt idx="72">
                  <c:v>41422</c:v>
                </c:pt>
                <c:pt idx="73">
                  <c:v>41486</c:v>
                </c:pt>
                <c:pt idx="74">
                  <c:v>41502</c:v>
                </c:pt>
                <c:pt idx="75">
                  <c:v>41526</c:v>
                </c:pt>
                <c:pt idx="76">
                  <c:v>41534</c:v>
                </c:pt>
                <c:pt idx="77">
                  <c:v>41558</c:v>
                </c:pt>
                <c:pt idx="78">
                  <c:v>41566</c:v>
                </c:pt>
                <c:pt idx="79">
                  <c:v>41574</c:v>
                </c:pt>
                <c:pt idx="80">
                  <c:v>41582</c:v>
                </c:pt>
                <c:pt idx="81">
                  <c:v>41598</c:v>
                </c:pt>
                <c:pt idx="82">
                  <c:v>41606</c:v>
                </c:pt>
                <c:pt idx="83">
                  <c:v>41614</c:v>
                </c:pt>
                <c:pt idx="84">
                  <c:v>41622</c:v>
                </c:pt>
                <c:pt idx="85">
                  <c:v>41630</c:v>
                </c:pt>
                <c:pt idx="86">
                  <c:v>41638</c:v>
                </c:pt>
                <c:pt idx="87">
                  <c:v>41646</c:v>
                </c:pt>
                <c:pt idx="88">
                  <c:v>41654</c:v>
                </c:pt>
                <c:pt idx="89">
                  <c:v>41662</c:v>
                </c:pt>
                <c:pt idx="90">
                  <c:v>41670</c:v>
                </c:pt>
                <c:pt idx="91">
                  <c:v>41678</c:v>
                </c:pt>
                <c:pt idx="92">
                  <c:v>41686</c:v>
                </c:pt>
                <c:pt idx="93">
                  <c:v>41694</c:v>
                </c:pt>
                <c:pt idx="94">
                  <c:v>41702</c:v>
                </c:pt>
                <c:pt idx="95">
                  <c:v>41718</c:v>
                </c:pt>
                <c:pt idx="96">
                  <c:v>41726</c:v>
                </c:pt>
                <c:pt idx="97">
                  <c:v>41734</c:v>
                </c:pt>
                <c:pt idx="98">
                  <c:v>41742</c:v>
                </c:pt>
                <c:pt idx="99">
                  <c:v>41750</c:v>
                </c:pt>
                <c:pt idx="100">
                  <c:v>41766</c:v>
                </c:pt>
                <c:pt idx="101">
                  <c:v>41782</c:v>
                </c:pt>
                <c:pt idx="102">
                  <c:v>41790</c:v>
                </c:pt>
                <c:pt idx="103">
                  <c:v>41798</c:v>
                </c:pt>
                <c:pt idx="104">
                  <c:v>41806</c:v>
                </c:pt>
                <c:pt idx="105">
                  <c:v>41814</c:v>
                </c:pt>
                <c:pt idx="106">
                  <c:v>41830</c:v>
                </c:pt>
                <c:pt idx="107">
                  <c:v>41838</c:v>
                </c:pt>
                <c:pt idx="108">
                  <c:v>41862</c:v>
                </c:pt>
                <c:pt idx="109">
                  <c:v>41870</c:v>
                </c:pt>
                <c:pt idx="110">
                  <c:v>41878</c:v>
                </c:pt>
                <c:pt idx="111">
                  <c:v>41886</c:v>
                </c:pt>
                <c:pt idx="112">
                  <c:v>41894</c:v>
                </c:pt>
                <c:pt idx="113">
                  <c:v>41902</c:v>
                </c:pt>
                <c:pt idx="114">
                  <c:v>41918</c:v>
                </c:pt>
                <c:pt idx="115">
                  <c:v>41926</c:v>
                </c:pt>
                <c:pt idx="116">
                  <c:v>41934</c:v>
                </c:pt>
                <c:pt idx="117">
                  <c:v>41942</c:v>
                </c:pt>
                <c:pt idx="118">
                  <c:v>41950</c:v>
                </c:pt>
                <c:pt idx="119">
                  <c:v>41958</c:v>
                </c:pt>
                <c:pt idx="120">
                  <c:v>41966</c:v>
                </c:pt>
                <c:pt idx="121">
                  <c:v>41974</c:v>
                </c:pt>
                <c:pt idx="122">
                  <c:v>41982</c:v>
                </c:pt>
                <c:pt idx="123">
                  <c:v>41990</c:v>
                </c:pt>
                <c:pt idx="124">
                  <c:v>41998</c:v>
                </c:pt>
                <c:pt idx="125">
                  <c:v>42022</c:v>
                </c:pt>
                <c:pt idx="126">
                  <c:v>42030</c:v>
                </c:pt>
                <c:pt idx="127">
                  <c:v>42054</c:v>
                </c:pt>
                <c:pt idx="128">
                  <c:v>42062</c:v>
                </c:pt>
                <c:pt idx="129">
                  <c:v>42078</c:v>
                </c:pt>
                <c:pt idx="130">
                  <c:v>42086</c:v>
                </c:pt>
                <c:pt idx="131">
                  <c:v>42094</c:v>
                </c:pt>
                <c:pt idx="132">
                  <c:v>42102</c:v>
                </c:pt>
                <c:pt idx="133">
                  <c:v>42110</c:v>
                </c:pt>
                <c:pt idx="134">
                  <c:v>42126</c:v>
                </c:pt>
                <c:pt idx="135">
                  <c:v>42142</c:v>
                </c:pt>
                <c:pt idx="136">
                  <c:v>42150</c:v>
                </c:pt>
                <c:pt idx="137">
                  <c:v>42158</c:v>
                </c:pt>
                <c:pt idx="138">
                  <c:v>42174</c:v>
                </c:pt>
                <c:pt idx="139">
                  <c:v>42182</c:v>
                </c:pt>
                <c:pt idx="140">
                  <c:v>42190</c:v>
                </c:pt>
                <c:pt idx="141">
                  <c:v>42206</c:v>
                </c:pt>
                <c:pt idx="142">
                  <c:v>42238</c:v>
                </c:pt>
                <c:pt idx="143">
                  <c:v>42246</c:v>
                </c:pt>
                <c:pt idx="144">
                  <c:v>42254</c:v>
                </c:pt>
                <c:pt idx="145">
                  <c:v>42262</c:v>
                </c:pt>
                <c:pt idx="146">
                  <c:v>42270</c:v>
                </c:pt>
                <c:pt idx="147">
                  <c:v>42278</c:v>
                </c:pt>
                <c:pt idx="148">
                  <c:v>42286</c:v>
                </c:pt>
                <c:pt idx="149">
                  <c:v>42294</c:v>
                </c:pt>
                <c:pt idx="150">
                  <c:v>42302</c:v>
                </c:pt>
                <c:pt idx="151">
                  <c:v>42310</c:v>
                </c:pt>
                <c:pt idx="152">
                  <c:v>42326</c:v>
                </c:pt>
                <c:pt idx="153">
                  <c:v>42334</c:v>
                </c:pt>
                <c:pt idx="154">
                  <c:v>42350</c:v>
                </c:pt>
                <c:pt idx="155">
                  <c:v>42358</c:v>
                </c:pt>
                <c:pt idx="156">
                  <c:v>42382</c:v>
                </c:pt>
                <c:pt idx="157">
                  <c:v>42390</c:v>
                </c:pt>
                <c:pt idx="158">
                  <c:v>42406</c:v>
                </c:pt>
                <c:pt idx="159">
                  <c:v>42414</c:v>
                </c:pt>
                <c:pt idx="160">
                  <c:v>42422</c:v>
                </c:pt>
                <c:pt idx="161">
                  <c:v>42440</c:v>
                </c:pt>
                <c:pt idx="162">
                  <c:v>42446</c:v>
                </c:pt>
                <c:pt idx="163">
                  <c:v>42454</c:v>
                </c:pt>
                <c:pt idx="164">
                  <c:v>42470</c:v>
                </c:pt>
                <c:pt idx="165">
                  <c:v>42470</c:v>
                </c:pt>
                <c:pt idx="166">
                  <c:v>42478</c:v>
                </c:pt>
                <c:pt idx="167">
                  <c:v>42486</c:v>
                </c:pt>
                <c:pt idx="168">
                  <c:v>42494</c:v>
                </c:pt>
                <c:pt idx="169">
                  <c:v>42502</c:v>
                </c:pt>
                <c:pt idx="170">
                  <c:v>42510</c:v>
                </c:pt>
                <c:pt idx="171">
                  <c:v>42510</c:v>
                </c:pt>
                <c:pt idx="172">
                  <c:v>42518</c:v>
                </c:pt>
                <c:pt idx="173">
                  <c:v>42526</c:v>
                </c:pt>
                <c:pt idx="174">
                  <c:v>42530</c:v>
                </c:pt>
                <c:pt idx="175">
                  <c:v>42534</c:v>
                </c:pt>
                <c:pt idx="176">
                  <c:v>42542</c:v>
                </c:pt>
                <c:pt idx="177">
                  <c:v>42558</c:v>
                </c:pt>
                <c:pt idx="178">
                  <c:v>42566</c:v>
                </c:pt>
                <c:pt idx="179">
                  <c:v>42582</c:v>
                </c:pt>
                <c:pt idx="180">
                  <c:v>42598</c:v>
                </c:pt>
                <c:pt idx="181">
                  <c:v>42606</c:v>
                </c:pt>
                <c:pt idx="182">
                  <c:v>42610</c:v>
                </c:pt>
                <c:pt idx="183">
                  <c:v>42614</c:v>
                </c:pt>
                <c:pt idx="184">
                  <c:v>42622</c:v>
                </c:pt>
                <c:pt idx="185">
                  <c:v>42638</c:v>
                </c:pt>
                <c:pt idx="186">
                  <c:v>42650</c:v>
                </c:pt>
                <c:pt idx="187">
                  <c:v>42654</c:v>
                </c:pt>
                <c:pt idx="188">
                  <c:v>42662</c:v>
                </c:pt>
                <c:pt idx="189">
                  <c:v>42670</c:v>
                </c:pt>
                <c:pt idx="190">
                  <c:v>42670</c:v>
                </c:pt>
                <c:pt idx="191">
                  <c:v>42678</c:v>
                </c:pt>
                <c:pt idx="192">
                  <c:v>42686</c:v>
                </c:pt>
                <c:pt idx="193">
                  <c:v>42690</c:v>
                </c:pt>
                <c:pt idx="194">
                  <c:v>42694</c:v>
                </c:pt>
                <c:pt idx="195">
                  <c:v>42700</c:v>
                </c:pt>
                <c:pt idx="196">
                  <c:v>42702</c:v>
                </c:pt>
                <c:pt idx="197">
                  <c:v>42710</c:v>
                </c:pt>
                <c:pt idx="198">
                  <c:v>42710</c:v>
                </c:pt>
                <c:pt idx="199">
                  <c:v>42718</c:v>
                </c:pt>
                <c:pt idx="200">
                  <c:v>42726</c:v>
                </c:pt>
                <c:pt idx="201">
                  <c:v>42730</c:v>
                </c:pt>
                <c:pt idx="202">
                  <c:v>42734</c:v>
                </c:pt>
                <c:pt idx="203">
                  <c:v>42740</c:v>
                </c:pt>
                <c:pt idx="204">
                  <c:v>42742</c:v>
                </c:pt>
                <c:pt idx="205">
                  <c:v>42750</c:v>
                </c:pt>
                <c:pt idx="206">
                  <c:v>42750</c:v>
                </c:pt>
                <c:pt idx="207">
                  <c:v>42766</c:v>
                </c:pt>
                <c:pt idx="208">
                  <c:v>42770</c:v>
                </c:pt>
                <c:pt idx="209">
                  <c:v>42782</c:v>
                </c:pt>
                <c:pt idx="210">
                  <c:v>42790</c:v>
                </c:pt>
                <c:pt idx="211">
                  <c:v>42798</c:v>
                </c:pt>
                <c:pt idx="212">
                  <c:v>42800</c:v>
                </c:pt>
                <c:pt idx="213">
                  <c:v>42814</c:v>
                </c:pt>
                <c:pt idx="214">
                  <c:v>42820</c:v>
                </c:pt>
                <c:pt idx="215">
                  <c:v>42822</c:v>
                </c:pt>
                <c:pt idx="216">
                  <c:v>42830</c:v>
                </c:pt>
                <c:pt idx="217">
                  <c:v>42838</c:v>
                </c:pt>
                <c:pt idx="218">
                  <c:v>42840</c:v>
                </c:pt>
                <c:pt idx="219">
                  <c:v>42846</c:v>
                </c:pt>
                <c:pt idx="220">
                  <c:v>42854</c:v>
                </c:pt>
                <c:pt idx="221">
                  <c:v>42860</c:v>
                </c:pt>
                <c:pt idx="222">
                  <c:v>42862</c:v>
                </c:pt>
                <c:pt idx="223">
                  <c:v>42870</c:v>
                </c:pt>
                <c:pt idx="224">
                  <c:v>42878</c:v>
                </c:pt>
                <c:pt idx="225">
                  <c:v>42880</c:v>
                </c:pt>
                <c:pt idx="226">
                  <c:v>42886</c:v>
                </c:pt>
                <c:pt idx="227">
                  <c:v>42894</c:v>
                </c:pt>
                <c:pt idx="228">
                  <c:v>42900</c:v>
                </c:pt>
                <c:pt idx="229">
                  <c:v>42910</c:v>
                </c:pt>
                <c:pt idx="230">
                  <c:v>42918</c:v>
                </c:pt>
                <c:pt idx="231">
                  <c:v>42920</c:v>
                </c:pt>
                <c:pt idx="232">
                  <c:v>42934</c:v>
                </c:pt>
                <c:pt idx="233">
                  <c:v>42942</c:v>
                </c:pt>
                <c:pt idx="234">
                  <c:v>42950</c:v>
                </c:pt>
                <c:pt idx="235">
                  <c:v>42960</c:v>
                </c:pt>
                <c:pt idx="236">
                  <c:v>42966</c:v>
                </c:pt>
                <c:pt idx="237">
                  <c:v>42974</c:v>
                </c:pt>
                <c:pt idx="238">
                  <c:v>42975</c:v>
                </c:pt>
                <c:pt idx="239">
                  <c:v>42982</c:v>
                </c:pt>
                <c:pt idx="240">
                  <c:v>42990</c:v>
                </c:pt>
                <c:pt idx="241">
                  <c:v>42995</c:v>
                </c:pt>
                <c:pt idx="242">
                  <c:v>42998</c:v>
                </c:pt>
                <c:pt idx="243">
                  <c:v>43000</c:v>
                </c:pt>
                <c:pt idx="244">
                  <c:v>43006</c:v>
                </c:pt>
                <c:pt idx="245">
                  <c:v>43014</c:v>
                </c:pt>
                <c:pt idx="246">
                  <c:v>43015</c:v>
                </c:pt>
                <c:pt idx="247">
                  <c:v>43020</c:v>
                </c:pt>
                <c:pt idx="248">
                  <c:v>43022</c:v>
                </c:pt>
                <c:pt idx="249">
                  <c:v>43030</c:v>
                </c:pt>
                <c:pt idx="250">
                  <c:v>43035</c:v>
                </c:pt>
                <c:pt idx="251">
                  <c:v>43038</c:v>
                </c:pt>
                <c:pt idx="252">
                  <c:v>43040</c:v>
                </c:pt>
                <c:pt idx="253">
                  <c:v>43045</c:v>
                </c:pt>
                <c:pt idx="254">
                  <c:v>43046</c:v>
                </c:pt>
                <c:pt idx="255">
                  <c:v>43054</c:v>
                </c:pt>
                <c:pt idx="256">
                  <c:v>43055</c:v>
                </c:pt>
                <c:pt idx="257">
                  <c:v>43060</c:v>
                </c:pt>
                <c:pt idx="258">
                  <c:v>43062</c:v>
                </c:pt>
                <c:pt idx="259">
                  <c:v>43065</c:v>
                </c:pt>
                <c:pt idx="260">
                  <c:v>43070</c:v>
                </c:pt>
                <c:pt idx="261">
                  <c:v>43075</c:v>
                </c:pt>
                <c:pt idx="262">
                  <c:v>43078</c:v>
                </c:pt>
                <c:pt idx="263">
                  <c:v>43080</c:v>
                </c:pt>
                <c:pt idx="264">
                  <c:v>43085</c:v>
                </c:pt>
                <c:pt idx="265">
                  <c:v>43086</c:v>
                </c:pt>
                <c:pt idx="266">
                  <c:v>43095</c:v>
                </c:pt>
                <c:pt idx="267">
                  <c:v>43102</c:v>
                </c:pt>
                <c:pt idx="268">
                  <c:v>43105</c:v>
                </c:pt>
                <c:pt idx="269">
                  <c:v>43110</c:v>
                </c:pt>
                <c:pt idx="270">
                  <c:v>43115</c:v>
                </c:pt>
                <c:pt idx="271">
                  <c:v>43118</c:v>
                </c:pt>
                <c:pt idx="272">
                  <c:v>43120</c:v>
                </c:pt>
                <c:pt idx="273">
                  <c:v>43125</c:v>
                </c:pt>
                <c:pt idx="274">
                  <c:v>43126</c:v>
                </c:pt>
                <c:pt idx="275">
                  <c:v>43134</c:v>
                </c:pt>
                <c:pt idx="276">
                  <c:v>43135</c:v>
                </c:pt>
                <c:pt idx="277">
                  <c:v>43140</c:v>
                </c:pt>
                <c:pt idx="278">
                  <c:v>43150</c:v>
                </c:pt>
                <c:pt idx="279">
                  <c:v>43150</c:v>
                </c:pt>
                <c:pt idx="280">
                  <c:v>43158</c:v>
                </c:pt>
                <c:pt idx="281">
                  <c:v>43160</c:v>
                </c:pt>
                <c:pt idx="282">
                  <c:v>43165</c:v>
                </c:pt>
                <c:pt idx="283">
                  <c:v>43166</c:v>
                </c:pt>
                <c:pt idx="284">
                  <c:v>43170</c:v>
                </c:pt>
                <c:pt idx="285">
                  <c:v>43174</c:v>
                </c:pt>
                <c:pt idx="286">
                  <c:v>43175</c:v>
                </c:pt>
                <c:pt idx="287">
                  <c:v>43180</c:v>
                </c:pt>
                <c:pt idx="288">
                  <c:v>43182</c:v>
                </c:pt>
                <c:pt idx="289">
                  <c:v>43185</c:v>
                </c:pt>
                <c:pt idx="290">
                  <c:v>43190</c:v>
                </c:pt>
                <c:pt idx="291">
                  <c:v>43190</c:v>
                </c:pt>
                <c:pt idx="292">
                  <c:v>43195</c:v>
                </c:pt>
                <c:pt idx="293">
                  <c:v>43198</c:v>
                </c:pt>
                <c:pt idx="294">
                  <c:v>43205</c:v>
                </c:pt>
                <c:pt idx="295">
                  <c:v>43206</c:v>
                </c:pt>
                <c:pt idx="296">
                  <c:v>43210</c:v>
                </c:pt>
                <c:pt idx="297">
                  <c:v>43214</c:v>
                </c:pt>
                <c:pt idx="298">
                  <c:v>43215</c:v>
                </c:pt>
                <c:pt idx="299">
                  <c:v>43220</c:v>
                </c:pt>
                <c:pt idx="300">
                  <c:v>43222</c:v>
                </c:pt>
                <c:pt idx="301">
                  <c:v>43230</c:v>
                </c:pt>
                <c:pt idx="302">
                  <c:v>43235</c:v>
                </c:pt>
                <c:pt idx="303">
                  <c:v>43270</c:v>
                </c:pt>
                <c:pt idx="304">
                  <c:v>43278</c:v>
                </c:pt>
                <c:pt idx="305">
                  <c:v>43294</c:v>
                </c:pt>
                <c:pt idx="306">
                  <c:v>43302</c:v>
                </c:pt>
                <c:pt idx="307">
                  <c:v>43310</c:v>
                </c:pt>
                <c:pt idx="308">
                  <c:v>43310</c:v>
                </c:pt>
                <c:pt idx="309">
                  <c:v>43330</c:v>
                </c:pt>
                <c:pt idx="310">
                  <c:v>43334</c:v>
                </c:pt>
                <c:pt idx="311">
                  <c:v>43345</c:v>
                </c:pt>
                <c:pt idx="312">
                  <c:v>43350</c:v>
                </c:pt>
                <c:pt idx="313">
                  <c:v>43350</c:v>
                </c:pt>
                <c:pt idx="314">
                  <c:v>43358</c:v>
                </c:pt>
                <c:pt idx="315">
                  <c:v>43360</c:v>
                </c:pt>
                <c:pt idx="316">
                  <c:v>43365</c:v>
                </c:pt>
                <c:pt idx="317">
                  <c:v>43366</c:v>
                </c:pt>
                <c:pt idx="318">
                  <c:v>43370</c:v>
                </c:pt>
                <c:pt idx="319">
                  <c:v>43374</c:v>
                </c:pt>
                <c:pt idx="320">
                  <c:v>43375</c:v>
                </c:pt>
                <c:pt idx="321">
                  <c:v>43380</c:v>
                </c:pt>
                <c:pt idx="322">
                  <c:v>43382</c:v>
                </c:pt>
                <c:pt idx="323">
                  <c:v>43385</c:v>
                </c:pt>
                <c:pt idx="324">
                  <c:v>43390</c:v>
                </c:pt>
                <c:pt idx="325">
                  <c:v>43390</c:v>
                </c:pt>
                <c:pt idx="326">
                  <c:v>43395</c:v>
                </c:pt>
                <c:pt idx="327">
                  <c:v>43398</c:v>
                </c:pt>
                <c:pt idx="328">
                  <c:v>43400</c:v>
                </c:pt>
                <c:pt idx="329">
                  <c:v>43405</c:v>
                </c:pt>
                <c:pt idx="330">
                  <c:v>43406</c:v>
                </c:pt>
                <c:pt idx="331">
                  <c:v>43410</c:v>
                </c:pt>
                <c:pt idx="332">
                  <c:v>43414</c:v>
                </c:pt>
                <c:pt idx="333">
                  <c:v>43415</c:v>
                </c:pt>
                <c:pt idx="334">
                  <c:v>43420</c:v>
                </c:pt>
                <c:pt idx="335">
                  <c:v>43425</c:v>
                </c:pt>
                <c:pt idx="336">
                  <c:v>43430</c:v>
                </c:pt>
                <c:pt idx="337">
                  <c:v>43430</c:v>
                </c:pt>
                <c:pt idx="338">
                  <c:v>43435</c:v>
                </c:pt>
                <c:pt idx="339">
                  <c:v>43438</c:v>
                </c:pt>
                <c:pt idx="340">
                  <c:v>43440</c:v>
                </c:pt>
                <c:pt idx="341">
                  <c:v>43445</c:v>
                </c:pt>
                <c:pt idx="342">
                  <c:v>43450</c:v>
                </c:pt>
                <c:pt idx="343">
                  <c:v>43454</c:v>
                </c:pt>
                <c:pt idx="344">
                  <c:v>43455</c:v>
                </c:pt>
                <c:pt idx="345">
                  <c:v>43460</c:v>
                </c:pt>
                <c:pt idx="346">
                  <c:v>43462</c:v>
                </c:pt>
                <c:pt idx="347">
                  <c:v>43465</c:v>
                </c:pt>
                <c:pt idx="348">
                  <c:v>43470</c:v>
                </c:pt>
                <c:pt idx="349">
                  <c:v>43470</c:v>
                </c:pt>
                <c:pt idx="350">
                  <c:v>43478</c:v>
                </c:pt>
                <c:pt idx="351">
                  <c:v>43480</c:v>
                </c:pt>
                <c:pt idx="352">
                  <c:v>43485</c:v>
                </c:pt>
                <c:pt idx="353">
                  <c:v>43486</c:v>
                </c:pt>
                <c:pt idx="354">
                  <c:v>43490</c:v>
                </c:pt>
                <c:pt idx="355">
                  <c:v>43493</c:v>
                </c:pt>
                <c:pt idx="356">
                  <c:v>43502</c:v>
                </c:pt>
                <c:pt idx="357">
                  <c:v>43505</c:v>
                </c:pt>
                <c:pt idx="358">
                  <c:v>43510</c:v>
                </c:pt>
                <c:pt idx="359">
                  <c:v>43510</c:v>
                </c:pt>
                <c:pt idx="360">
                  <c:v>43520</c:v>
                </c:pt>
                <c:pt idx="361">
                  <c:v>43526</c:v>
                </c:pt>
                <c:pt idx="362">
                  <c:v>43530</c:v>
                </c:pt>
                <c:pt idx="363">
                  <c:v>43534</c:v>
                </c:pt>
                <c:pt idx="364">
                  <c:v>43535</c:v>
                </c:pt>
                <c:pt idx="365">
                  <c:v>43545</c:v>
                </c:pt>
                <c:pt idx="366">
                  <c:v>43550</c:v>
                </c:pt>
                <c:pt idx="367">
                  <c:v>43555</c:v>
                </c:pt>
                <c:pt idx="368">
                  <c:v>43558</c:v>
                </c:pt>
                <c:pt idx="369">
                  <c:v>43560</c:v>
                </c:pt>
                <c:pt idx="370">
                  <c:v>43566</c:v>
                </c:pt>
                <c:pt idx="371">
                  <c:v>43570</c:v>
                </c:pt>
                <c:pt idx="372">
                  <c:v>43574</c:v>
                </c:pt>
                <c:pt idx="373">
                  <c:v>43575</c:v>
                </c:pt>
                <c:pt idx="374">
                  <c:v>43580</c:v>
                </c:pt>
                <c:pt idx="375">
                  <c:v>43582</c:v>
                </c:pt>
                <c:pt idx="376">
                  <c:v>43585</c:v>
                </c:pt>
                <c:pt idx="377">
                  <c:v>43590</c:v>
                </c:pt>
                <c:pt idx="378">
                  <c:v>43590</c:v>
                </c:pt>
                <c:pt idx="379">
                  <c:v>43595</c:v>
                </c:pt>
                <c:pt idx="380">
                  <c:v>43598</c:v>
                </c:pt>
                <c:pt idx="381">
                  <c:v>43600</c:v>
                </c:pt>
                <c:pt idx="382">
                  <c:v>43606</c:v>
                </c:pt>
                <c:pt idx="383">
                  <c:v>43610</c:v>
                </c:pt>
                <c:pt idx="384">
                  <c:v>43614</c:v>
                </c:pt>
                <c:pt idx="385">
                  <c:v>43615</c:v>
                </c:pt>
                <c:pt idx="386">
                  <c:v>43620</c:v>
                </c:pt>
                <c:pt idx="387">
                  <c:v>43622</c:v>
                </c:pt>
                <c:pt idx="388">
                  <c:v>43625</c:v>
                </c:pt>
                <c:pt idx="389">
                  <c:v>43630</c:v>
                </c:pt>
                <c:pt idx="390">
                  <c:v>43630</c:v>
                </c:pt>
                <c:pt idx="391">
                  <c:v>43635</c:v>
                </c:pt>
                <c:pt idx="392">
                  <c:v>43640</c:v>
                </c:pt>
                <c:pt idx="393">
                  <c:v>43645</c:v>
                </c:pt>
                <c:pt idx="394">
                  <c:v>43646</c:v>
                </c:pt>
                <c:pt idx="395">
                  <c:v>43650</c:v>
                </c:pt>
                <c:pt idx="396">
                  <c:v>43654</c:v>
                </c:pt>
                <c:pt idx="397">
                  <c:v>43655</c:v>
                </c:pt>
                <c:pt idx="398">
                  <c:v>43665</c:v>
                </c:pt>
                <c:pt idx="399">
                  <c:v>43678</c:v>
                </c:pt>
                <c:pt idx="400">
                  <c:v>43680</c:v>
                </c:pt>
                <c:pt idx="401">
                  <c:v>43686</c:v>
                </c:pt>
                <c:pt idx="402">
                  <c:v>43690</c:v>
                </c:pt>
                <c:pt idx="403">
                  <c:v>43694</c:v>
                </c:pt>
                <c:pt idx="404">
                  <c:v>43695</c:v>
                </c:pt>
                <c:pt idx="405">
                  <c:v>43700</c:v>
                </c:pt>
                <c:pt idx="406">
                  <c:v>43702</c:v>
                </c:pt>
                <c:pt idx="407">
                  <c:v>43705</c:v>
                </c:pt>
                <c:pt idx="408">
                  <c:v>43710</c:v>
                </c:pt>
                <c:pt idx="409">
                  <c:v>43715</c:v>
                </c:pt>
                <c:pt idx="410">
                  <c:v>43718</c:v>
                </c:pt>
                <c:pt idx="411">
                  <c:v>43720</c:v>
                </c:pt>
                <c:pt idx="412">
                  <c:v>43725</c:v>
                </c:pt>
                <c:pt idx="413">
                  <c:v>43726</c:v>
                </c:pt>
                <c:pt idx="414">
                  <c:v>43730</c:v>
                </c:pt>
                <c:pt idx="415">
                  <c:v>43734</c:v>
                </c:pt>
                <c:pt idx="416">
                  <c:v>43735</c:v>
                </c:pt>
                <c:pt idx="417">
                  <c:v>43740</c:v>
                </c:pt>
                <c:pt idx="418">
                  <c:v>43742</c:v>
                </c:pt>
                <c:pt idx="419">
                  <c:v>43750</c:v>
                </c:pt>
                <c:pt idx="420">
                  <c:v>43750</c:v>
                </c:pt>
                <c:pt idx="421">
                  <c:v>43755</c:v>
                </c:pt>
                <c:pt idx="422">
                  <c:v>43758</c:v>
                </c:pt>
                <c:pt idx="423">
                  <c:v>43760</c:v>
                </c:pt>
                <c:pt idx="424">
                  <c:v>43765</c:v>
                </c:pt>
                <c:pt idx="425">
                  <c:v>43766</c:v>
                </c:pt>
                <c:pt idx="426">
                  <c:v>43770</c:v>
                </c:pt>
                <c:pt idx="427">
                  <c:v>43774</c:v>
                </c:pt>
                <c:pt idx="428">
                  <c:v>43775</c:v>
                </c:pt>
                <c:pt idx="429">
                  <c:v>43780</c:v>
                </c:pt>
                <c:pt idx="430">
                  <c:v>43782</c:v>
                </c:pt>
                <c:pt idx="431">
                  <c:v>43785</c:v>
                </c:pt>
                <c:pt idx="432">
                  <c:v>43798</c:v>
                </c:pt>
                <c:pt idx="433">
                  <c:v>43800</c:v>
                </c:pt>
                <c:pt idx="434">
                  <c:v>43805</c:v>
                </c:pt>
                <c:pt idx="435">
                  <c:v>43814</c:v>
                </c:pt>
                <c:pt idx="436">
                  <c:v>43815</c:v>
                </c:pt>
                <c:pt idx="437">
                  <c:v>43820</c:v>
                </c:pt>
                <c:pt idx="438">
                  <c:v>43822</c:v>
                </c:pt>
                <c:pt idx="439">
                  <c:v>43825</c:v>
                </c:pt>
                <c:pt idx="440">
                  <c:v>43830</c:v>
                </c:pt>
                <c:pt idx="441">
                  <c:v>43830</c:v>
                </c:pt>
                <c:pt idx="442">
                  <c:v>43838</c:v>
                </c:pt>
                <c:pt idx="443">
                  <c:v>43846</c:v>
                </c:pt>
                <c:pt idx="444">
                  <c:v>43850</c:v>
                </c:pt>
                <c:pt idx="445">
                  <c:v>43855</c:v>
                </c:pt>
                <c:pt idx="446">
                  <c:v>43860</c:v>
                </c:pt>
                <c:pt idx="447">
                  <c:v>43862</c:v>
                </c:pt>
                <c:pt idx="448">
                  <c:v>43865</c:v>
                </c:pt>
                <c:pt idx="449">
                  <c:v>43870</c:v>
                </c:pt>
                <c:pt idx="450">
                  <c:v>43870</c:v>
                </c:pt>
                <c:pt idx="451">
                  <c:v>43875</c:v>
                </c:pt>
                <c:pt idx="452">
                  <c:v>43878</c:v>
                </c:pt>
                <c:pt idx="453">
                  <c:v>43880</c:v>
                </c:pt>
                <c:pt idx="454">
                  <c:v>43885</c:v>
                </c:pt>
                <c:pt idx="455">
                  <c:v>43890</c:v>
                </c:pt>
                <c:pt idx="456">
                  <c:v>43894</c:v>
                </c:pt>
                <c:pt idx="457">
                  <c:v>43895</c:v>
                </c:pt>
                <c:pt idx="458">
                  <c:v>43900</c:v>
                </c:pt>
                <c:pt idx="459">
                  <c:v>43902</c:v>
                </c:pt>
                <c:pt idx="460">
                  <c:v>43910</c:v>
                </c:pt>
                <c:pt idx="461">
                  <c:v>43910</c:v>
                </c:pt>
                <c:pt idx="462">
                  <c:v>43915</c:v>
                </c:pt>
                <c:pt idx="463">
                  <c:v>43918</c:v>
                </c:pt>
                <c:pt idx="464">
                  <c:v>43920</c:v>
                </c:pt>
                <c:pt idx="465">
                  <c:v>43925</c:v>
                </c:pt>
                <c:pt idx="466">
                  <c:v>43926</c:v>
                </c:pt>
                <c:pt idx="467">
                  <c:v>43930</c:v>
                </c:pt>
                <c:pt idx="468">
                  <c:v>43934</c:v>
                </c:pt>
                <c:pt idx="469">
                  <c:v>43935</c:v>
                </c:pt>
                <c:pt idx="470">
                  <c:v>43940</c:v>
                </c:pt>
                <c:pt idx="471">
                  <c:v>43942</c:v>
                </c:pt>
                <c:pt idx="472">
                  <c:v>43945</c:v>
                </c:pt>
                <c:pt idx="473">
                  <c:v>43950</c:v>
                </c:pt>
                <c:pt idx="474">
                  <c:v>43950</c:v>
                </c:pt>
                <c:pt idx="475">
                  <c:v>43955</c:v>
                </c:pt>
                <c:pt idx="476">
                  <c:v>43958</c:v>
                </c:pt>
                <c:pt idx="477">
                  <c:v>43960</c:v>
                </c:pt>
                <c:pt idx="478">
                  <c:v>43965</c:v>
                </c:pt>
                <c:pt idx="479">
                  <c:v>43966</c:v>
                </c:pt>
                <c:pt idx="480">
                  <c:v>43974</c:v>
                </c:pt>
                <c:pt idx="481">
                  <c:v>43975</c:v>
                </c:pt>
                <c:pt idx="482">
                  <c:v>43980</c:v>
                </c:pt>
                <c:pt idx="483">
                  <c:v>43982</c:v>
                </c:pt>
                <c:pt idx="484">
                  <c:v>43985</c:v>
                </c:pt>
                <c:pt idx="485">
                  <c:v>43995</c:v>
                </c:pt>
                <c:pt idx="486">
                  <c:v>43998</c:v>
                </c:pt>
                <c:pt idx="487">
                  <c:v>44000</c:v>
                </c:pt>
                <c:pt idx="488">
                  <c:v>44005</c:v>
                </c:pt>
                <c:pt idx="489">
                  <c:v>44006</c:v>
                </c:pt>
                <c:pt idx="490">
                  <c:v>44010</c:v>
                </c:pt>
                <c:pt idx="491">
                  <c:v>44014</c:v>
                </c:pt>
                <c:pt idx="492">
                  <c:v>44015</c:v>
                </c:pt>
                <c:pt idx="493">
                  <c:v>44022</c:v>
                </c:pt>
                <c:pt idx="494">
                  <c:v>44025</c:v>
                </c:pt>
                <c:pt idx="495">
                  <c:v>44030</c:v>
                </c:pt>
                <c:pt idx="496">
                  <c:v>44030</c:v>
                </c:pt>
                <c:pt idx="497">
                  <c:v>44038</c:v>
                </c:pt>
                <c:pt idx="498">
                  <c:v>44040</c:v>
                </c:pt>
                <c:pt idx="499">
                  <c:v>44045</c:v>
                </c:pt>
                <c:pt idx="500">
                  <c:v>44046</c:v>
                </c:pt>
                <c:pt idx="501">
                  <c:v>44060</c:v>
                </c:pt>
                <c:pt idx="502">
                  <c:v>44065</c:v>
                </c:pt>
                <c:pt idx="503">
                  <c:v>44075</c:v>
                </c:pt>
                <c:pt idx="504">
                  <c:v>44078</c:v>
                </c:pt>
                <c:pt idx="505">
                  <c:v>44080</c:v>
                </c:pt>
                <c:pt idx="506">
                  <c:v>44085</c:v>
                </c:pt>
                <c:pt idx="507">
                  <c:v>44086</c:v>
                </c:pt>
                <c:pt idx="508">
                  <c:v>44090</c:v>
                </c:pt>
                <c:pt idx="509">
                  <c:v>44094</c:v>
                </c:pt>
                <c:pt idx="510">
                  <c:v>44095</c:v>
                </c:pt>
                <c:pt idx="511">
                  <c:v>44100</c:v>
                </c:pt>
                <c:pt idx="512">
                  <c:v>44102</c:v>
                </c:pt>
                <c:pt idx="513">
                  <c:v>44105</c:v>
                </c:pt>
                <c:pt idx="514">
                  <c:v>44110</c:v>
                </c:pt>
                <c:pt idx="515">
                  <c:v>44115</c:v>
                </c:pt>
                <c:pt idx="516">
                  <c:v>44118</c:v>
                </c:pt>
                <c:pt idx="517">
                  <c:v>44120</c:v>
                </c:pt>
                <c:pt idx="518">
                  <c:v>44125</c:v>
                </c:pt>
                <c:pt idx="519">
                  <c:v>44126</c:v>
                </c:pt>
                <c:pt idx="520">
                  <c:v>44130</c:v>
                </c:pt>
                <c:pt idx="521">
                  <c:v>44134</c:v>
                </c:pt>
                <c:pt idx="522">
                  <c:v>44135</c:v>
                </c:pt>
                <c:pt idx="523">
                  <c:v>44140</c:v>
                </c:pt>
                <c:pt idx="524">
                  <c:v>44145</c:v>
                </c:pt>
                <c:pt idx="525">
                  <c:v>44150</c:v>
                </c:pt>
                <c:pt idx="526">
                  <c:v>44150</c:v>
                </c:pt>
                <c:pt idx="527">
                  <c:v>44155</c:v>
                </c:pt>
                <c:pt idx="528">
                  <c:v>44158</c:v>
                </c:pt>
                <c:pt idx="529">
                  <c:v>44160</c:v>
                </c:pt>
                <c:pt idx="530">
                  <c:v>44165</c:v>
                </c:pt>
                <c:pt idx="531">
                  <c:v>44166</c:v>
                </c:pt>
                <c:pt idx="532">
                  <c:v>44170</c:v>
                </c:pt>
                <c:pt idx="533">
                  <c:v>44174</c:v>
                </c:pt>
                <c:pt idx="534">
                  <c:v>44175</c:v>
                </c:pt>
                <c:pt idx="535">
                  <c:v>44180</c:v>
                </c:pt>
                <c:pt idx="536">
                  <c:v>44182</c:v>
                </c:pt>
                <c:pt idx="537">
                  <c:v>44185</c:v>
                </c:pt>
                <c:pt idx="538">
                  <c:v>44190</c:v>
                </c:pt>
                <c:pt idx="539">
                  <c:v>44198</c:v>
                </c:pt>
                <c:pt idx="540">
                  <c:v>44200</c:v>
                </c:pt>
                <c:pt idx="541">
                  <c:v>44205</c:v>
                </c:pt>
                <c:pt idx="542">
                  <c:v>44206</c:v>
                </c:pt>
                <c:pt idx="543">
                  <c:v>44210</c:v>
                </c:pt>
                <c:pt idx="544">
                  <c:v>44214</c:v>
                </c:pt>
                <c:pt idx="545">
                  <c:v>44215</c:v>
                </c:pt>
                <c:pt idx="546">
                  <c:v>44220</c:v>
                </c:pt>
                <c:pt idx="547">
                  <c:v>44222</c:v>
                </c:pt>
                <c:pt idx="548">
                  <c:v>44225</c:v>
                </c:pt>
                <c:pt idx="549">
                  <c:v>44230</c:v>
                </c:pt>
                <c:pt idx="550">
                  <c:v>44230</c:v>
                </c:pt>
                <c:pt idx="551">
                  <c:v>44235</c:v>
                </c:pt>
                <c:pt idx="552">
                  <c:v>44240</c:v>
                </c:pt>
                <c:pt idx="553">
                  <c:v>44245</c:v>
                </c:pt>
                <c:pt idx="554">
                  <c:v>44246</c:v>
                </c:pt>
                <c:pt idx="555">
                  <c:v>44250</c:v>
                </c:pt>
                <c:pt idx="556">
                  <c:v>44254</c:v>
                </c:pt>
                <c:pt idx="557">
                  <c:v>44255</c:v>
                </c:pt>
                <c:pt idx="558">
                  <c:v>44260</c:v>
                </c:pt>
                <c:pt idx="559">
                  <c:v>44262</c:v>
                </c:pt>
                <c:pt idx="560">
                  <c:v>44265</c:v>
                </c:pt>
                <c:pt idx="561">
                  <c:v>44270</c:v>
                </c:pt>
                <c:pt idx="562">
                  <c:v>44270</c:v>
                </c:pt>
                <c:pt idx="563">
                  <c:v>44275</c:v>
                </c:pt>
                <c:pt idx="564">
                  <c:v>44278</c:v>
                </c:pt>
                <c:pt idx="565">
                  <c:v>44280</c:v>
                </c:pt>
                <c:pt idx="566">
                  <c:v>44285</c:v>
                </c:pt>
                <c:pt idx="567">
                  <c:v>44286</c:v>
                </c:pt>
                <c:pt idx="568">
                  <c:v>44290</c:v>
                </c:pt>
                <c:pt idx="569">
                  <c:v>44294</c:v>
                </c:pt>
                <c:pt idx="570">
                  <c:v>44295</c:v>
                </c:pt>
                <c:pt idx="571">
                  <c:v>44300</c:v>
                </c:pt>
                <c:pt idx="572">
                  <c:v>44302</c:v>
                </c:pt>
                <c:pt idx="573">
                  <c:v>44310</c:v>
                </c:pt>
                <c:pt idx="574">
                  <c:v>44310</c:v>
                </c:pt>
                <c:pt idx="575">
                  <c:v>44315</c:v>
                </c:pt>
                <c:pt idx="576">
                  <c:v>44320</c:v>
                </c:pt>
                <c:pt idx="577">
                  <c:v>44325</c:v>
                </c:pt>
                <c:pt idx="578">
                  <c:v>44326</c:v>
                </c:pt>
                <c:pt idx="579">
                  <c:v>44330</c:v>
                </c:pt>
                <c:pt idx="580">
                  <c:v>44334</c:v>
                </c:pt>
                <c:pt idx="581">
                  <c:v>44335</c:v>
                </c:pt>
                <c:pt idx="582">
                  <c:v>44340</c:v>
                </c:pt>
                <c:pt idx="583">
                  <c:v>44342</c:v>
                </c:pt>
                <c:pt idx="584">
                  <c:v>44345</c:v>
                </c:pt>
                <c:pt idx="585">
                  <c:v>44350</c:v>
                </c:pt>
                <c:pt idx="586">
                  <c:v>44350</c:v>
                </c:pt>
                <c:pt idx="587">
                  <c:v>44365</c:v>
                </c:pt>
                <c:pt idx="588">
                  <c:v>44366</c:v>
                </c:pt>
                <c:pt idx="589">
                  <c:v>44370</c:v>
                </c:pt>
                <c:pt idx="590">
                  <c:v>44375</c:v>
                </c:pt>
                <c:pt idx="591">
                  <c:v>44380</c:v>
                </c:pt>
                <c:pt idx="592">
                  <c:v>44385</c:v>
                </c:pt>
                <c:pt idx="593">
                  <c:v>44390</c:v>
                </c:pt>
                <c:pt idx="594">
                  <c:v>44398</c:v>
                </c:pt>
                <c:pt idx="595">
                  <c:v>44400</c:v>
                </c:pt>
                <c:pt idx="596">
                  <c:v>44406</c:v>
                </c:pt>
                <c:pt idx="597">
                  <c:v>44410</c:v>
                </c:pt>
                <c:pt idx="598">
                  <c:v>44414</c:v>
                </c:pt>
                <c:pt idx="599">
                  <c:v>44415</c:v>
                </c:pt>
                <c:pt idx="600">
                  <c:v>44420</c:v>
                </c:pt>
                <c:pt idx="601">
                  <c:v>44425</c:v>
                </c:pt>
                <c:pt idx="602">
                  <c:v>44430</c:v>
                </c:pt>
                <c:pt idx="603">
                  <c:v>44430</c:v>
                </c:pt>
                <c:pt idx="604">
                  <c:v>44435</c:v>
                </c:pt>
                <c:pt idx="605">
                  <c:v>44438</c:v>
                </c:pt>
                <c:pt idx="606">
                  <c:v>44440</c:v>
                </c:pt>
                <c:pt idx="607">
                  <c:v>44445</c:v>
                </c:pt>
                <c:pt idx="608">
                  <c:v>44446</c:v>
                </c:pt>
                <c:pt idx="609">
                  <c:v>44450</c:v>
                </c:pt>
                <c:pt idx="610">
                  <c:v>44454</c:v>
                </c:pt>
                <c:pt idx="611">
                  <c:v>44455</c:v>
                </c:pt>
                <c:pt idx="612">
                  <c:v>44460</c:v>
                </c:pt>
                <c:pt idx="613">
                  <c:v>44465</c:v>
                </c:pt>
                <c:pt idx="614">
                  <c:v>44475</c:v>
                </c:pt>
                <c:pt idx="615">
                  <c:v>44478</c:v>
                </c:pt>
                <c:pt idx="616">
                  <c:v>44480</c:v>
                </c:pt>
                <c:pt idx="617">
                  <c:v>44485</c:v>
                </c:pt>
                <c:pt idx="618">
                  <c:v>44486</c:v>
                </c:pt>
                <c:pt idx="619">
                  <c:v>44494</c:v>
                </c:pt>
                <c:pt idx="620">
                  <c:v>44495</c:v>
                </c:pt>
                <c:pt idx="621">
                  <c:v>44500</c:v>
                </c:pt>
                <c:pt idx="622">
                  <c:v>44502</c:v>
                </c:pt>
                <c:pt idx="623">
                  <c:v>44505</c:v>
                </c:pt>
                <c:pt idx="624">
                  <c:v>44510</c:v>
                </c:pt>
                <c:pt idx="625">
                  <c:v>44515</c:v>
                </c:pt>
                <c:pt idx="626">
                  <c:v>44518</c:v>
                </c:pt>
                <c:pt idx="627">
                  <c:v>44520</c:v>
                </c:pt>
                <c:pt idx="628">
                  <c:v>44525</c:v>
                </c:pt>
                <c:pt idx="629">
                  <c:v>44526</c:v>
                </c:pt>
                <c:pt idx="630">
                  <c:v>44530</c:v>
                </c:pt>
                <c:pt idx="631">
                  <c:v>44534</c:v>
                </c:pt>
                <c:pt idx="632">
                  <c:v>44535</c:v>
                </c:pt>
                <c:pt idx="633">
                  <c:v>44540</c:v>
                </c:pt>
                <c:pt idx="634">
                  <c:v>44542</c:v>
                </c:pt>
                <c:pt idx="635">
                  <c:v>44550</c:v>
                </c:pt>
                <c:pt idx="636">
                  <c:v>44555</c:v>
                </c:pt>
                <c:pt idx="637">
                  <c:v>44558</c:v>
                </c:pt>
                <c:pt idx="638">
                  <c:v>44570</c:v>
                </c:pt>
                <c:pt idx="639">
                  <c:v>44575</c:v>
                </c:pt>
                <c:pt idx="640">
                  <c:v>44585</c:v>
                </c:pt>
                <c:pt idx="641">
                  <c:v>44620</c:v>
                </c:pt>
                <c:pt idx="642">
                  <c:v>44630</c:v>
                </c:pt>
                <c:pt idx="643">
                  <c:v>44635</c:v>
                </c:pt>
                <c:pt idx="644">
                  <c:v>44655</c:v>
                </c:pt>
                <c:pt idx="645">
                  <c:v>44660</c:v>
                </c:pt>
                <c:pt idx="646">
                  <c:v>44665</c:v>
                </c:pt>
                <c:pt idx="647">
                  <c:v>44670</c:v>
                </c:pt>
                <c:pt idx="648">
                  <c:v>44675</c:v>
                </c:pt>
                <c:pt idx="649">
                  <c:v>44680</c:v>
                </c:pt>
                <c:pt idx="650">
                  <c:v>44685</c:v>
                </c:pt>
                <c:pt idx="651">
                  <c:v>44690</c:v>
                </c:pt>
                <c:pt idx="652">
                  <c:v>44695</c:v>
                </c:pt>
                <c:pt idx="653">
                  <c:v>44700</c:v>
                </c:pt>
                <c:pt idx="654">
                  <c:v>44705</c:v>
                </c:pt>
                <c:pt idx="655">
                  <c:v>44710</c:v>
                </c:pt>
                <c:pt idx="656">
                  <c:v>44715</c:v>
                </c:pt>
                <c:pt idx="657">
                  <c:v>44720</c:v>
                </c:pt>
                <c:pt idx="658">
                  <c:v>44725</c:v>
                </c:pt>
                <c:pt idx="659">
                  <c:v>44730</c:v>
                </c:pt>
                <c:pt idx="660">
                  <c:v>44735</c:v>
                </c:pt>
                <c:pt idx="661">
                  <c:v>44740</c:v>
                </c:pt>
                <c:pt idx="662">
                  <c:v>44745</c:v>
                </c:pt>
                <c:pt idx="663">
                  <c:v>44755</c:v>
                </c:pt>
                <c:pt idx="664">
                  <c:v>44760</c:v>
                </c:pt>
                <c:pt idx="665">
                  <c:v>44780</c:v>
                </c:pt>
                <c:pt idx="666">
                  <c:v>44790</c:v>
                </c:pt>
                <c:pt idx="667">
                  <c:v>44795</c:v>
                </c:pt>
                <c:pt idx="668">
                  <c:v>44800</c:v>
                </c:pt>
                <c:pt idx="669">
                  <c:v>44805</c:v>
                </c:pt>
                <c:pt idx="670">
                  <c:v>44810</c:v>
                </c:pt>
                <c:pt idx="671">
                  <c:v>44815</c:v>
                </c:pt>
                <c:pt idx="672">
                  <c:v>44820</c:v>
                </c:pt>
                <c:pt idx="673">
                  <c:v>44825</c:v>
                </c:pt>
                <c:pt idx="674">
                  <c:v>44830</c:v>
                </c:pt>
                <c:pt idx="675">
                  <c:v>44835</c:v>
                </c:pt>
                <c:pt idx="676">
                  <c:v>44840</c:v>
                </c:pt>
                <c:pt idx="677">
                  <c:v>44845</c:v>
                </c:pt>
                <c:pt idx="678">
                  <c:v>44850</c:v>
                </c:pt>
                <c:pt idx="679">
                  <c:v>44855</c:v>
                </c:pt>
                <c:pt idx="680">
                  <c:v>44860</c:v>
                </c:pt>
                <c:pt idx="681">
                  <c:v>44865</c:v>
                </c:pt>
                <c:pt idx="682">
                  <c:v>44870</c:v>
                </c:pt>
                <c:pt idx="683">
                  <c:v>44875</c:v>
                </c:pt>
                <c:pt idx="684">
                  <c:v>44880</c:v>
                </c:pt>
                <c:pt idx="685">
                  <c:v>44885</c:v>
                </c:pt>
                <c:pt idx="686">
                  <c:v>44890</c:v>
                </c:pt>
                <c:pt idx="687">
                  <c:v>44895</c:v>
                </c:pt>
                <c:pt idx="688">
                  <c:v>44900</c:v>
                </c:pt>
                <c:pt idx="689">
                  <c:v>44905</c:v>
                </c:pt>
                <c:pt idx="690">
                  <c:v>44910</c:v>
                </c:pt>
                <c:pt idx="691">
                  <c:v>44915</c:v>
                </c:pt>
                <c:pt idx="692">
                  <c:v>44920</c:v>
                </c:pt>
                <c:pt idx="693">
                  <c:v>44925</c:v>
                </c:pt>
                <c:pt idx="694">
                  <c:v>44930</c:v>
                </c:pt>
                <c:pt idx="695">
                  <c:v>44935</c:v>
                </c:pt>
                <c:pt idx="696">
                  <c:v>44940</c:v>
                </c:pt>
                <c:pt idx="697">
                  <c:v>44945</c:v>
                </c:pt>
                <c:pt idx="698">
                  <c:v>44950</c:v>
                </c:pt>
                <c:pt idx="699">
                  <c:v>44955</c:v>
                </c:pt>
                <c:pt idx="700">
                  <c:v>44960</c:v>
                </c:pt>
                <c:pt idx="701">
                  <c:v>44965</c:v>
                </c:pt>
                <c:pt idx="702">
                  <c:v>44970</c:v>
                </c:pt>
                <c:pt idx="703">
                  <c:v>44975</c:v>
                </c:pt>
                <c:pt idx="704">
                  <c:v>44980</c:v>
                </c:pt>
                <c:pt idx="705">
                  <c:v>44985</c:v>
                </c:pt>
                <c:pt idx="706">
                  <c:v>44990</c:v>
                </c:pt>
                <c:pt idx="707">
                  <c:v>44990</c:v>
                </c:pt>
                <c:pt idx="708">
                  <c:v>44995</c:v>
                </c:pt>
                <c:pt idx="709">
                  <c:v>45000</c:v>
                </c:pt>
                <c:pt idx="710">
                  <c:v>45005</c:v>
                </c:pt>
                <c:pt idx="711">
                  <c:v>45005</c:v>
                </c:pt>
                <c:pt idx="712">
                  <c:v>45010</c:v>
                </c:pt>
                <c:pt idx="713">
                  <c:v>45015</c:v>
                </c:pt>
                <c:pt idx="714">
                  <c:v>45020</c:v>
                </c:pt>
                <c:pt idx="715">
                  <c:v>45025</c:v>
                </c:pt>
                <c:pt idx="716">
                  <c:v>45030</c:v>
                </c:pt>
                <c:pt idx="717">
                  <c:v>45035</c:v>
                </c:pt>
                <c:pt idx="718">
                  <c:v>45040</c:v>
                </c:pt>
                <c:pt idx="719">
                  <c:v>45050</c:v>
                </c:pt>
                <c:pt idx="720">
                  <c:v>45055</c:v>
                </c:pt>
                <c:pt idx="721">
                  <c:v>45060</c:v>
                </c:pt>
                <c:pt idx="722">
                  <c:v>45070</c:v>
                </c:pt>
                <c:pt idx="723">
                  <c:v>45080</c:v>
                </c:pt>
                <c:pt idx="724">
                  <c:v>45085</c:v>
                </c:pt>
                <c:pt idx="725">
                  <c:v>45090</c:v>
                </c:pt>
                <c:pt idx="726">
                  <c:v>45095</c:v>
                </c:pt>
                <c:pt idx="727">
                  <c:v>45100</c:v>
                </c:pt>
                <c:pt idx="728">
                  <c:v>45105</c:v>
                </c:pt>
                <c:pt idx="729">
                  <c:v>45110</c:v>
                </c:pt>
                <c:pt idx="730">
                  <c:v>45115</c:v>
                </c:pt>
                <c:pt idx="731">
                  <c:v>45120</c:v>
                </c:pt>
                <c:pt idx="732">
                  <c:v>45125</c:v>
                </c:pt>
                <c:pt idx="733">
                  <c:v>45150</c:v>
                </c:pt>
                <c:pt idx="734">
                  <c:v>45155</c:v>
                </c:pt>
                <c:pt idx="735">
                  <c:v>45160</c:v>
                </c:pt>
                <c:pt idx="736">
                  <c:v>45165</c:v>
                </c:pt>
                <c:pt idx="737">
                  <c:v>45175</c:v>
                </c:pt>
                <c:pt idx="738">
                  <c:v>45180</c:v>
                </c:pt>
                <c:pt idx="739">
                  <c:v>45185</c:v>
                </c:pt>
                <c:pt idx="740">
                  <c:v>45190</c:v>
                </c:pt>
                <c:pt idx="741">
                  <c:v>45195</c:v>
                </c:pt>
                <c:pt idx="742">
                  <c:v>45200</c:v>
                </c:pt>
                <c:pt idx="743">
                  <c:v>45205</c:v>
                </c:pt>
                <c:pt idx="744">
                  <c:v>45210</c:v>
                </c:pt>
                <c:pt idx="745">
                  <c:v>45215</c:v>
                </c:pt>
                <c:pt idx="746">
                  <c:v>45220</c:v>
                </c:pt>
                <c:pt idx="747">
                  <c:v>45225</c:v>
                </c:pt>
                <c:pt idx="748">
                  <c:v>45230</c:v>
                </c:pt>
                <c:pt idx="749">
                  <c:v>45235</c:v>
                </c:pt>
                <c:pt idx="750">
                  <c:v>45240</c:v>
                </c:pt>
                <c:pt idx="751">
                  <c:v>45245</c:v>
                </c:pt>
                <c:pt idx="752">
                  <c:v>45250</c:v>
                </c:pt>
                <c:pt idx="753">
                  <c:v>45260</c:v>
                </c:pt>
                <c:pt idx="754">
                  <c:v>45270</c:v>
                </c:pt>
                <c:pt idx="755">
                  <c:v>45275</c:v>
                </c:pt>
                <c:pt idx="756">
                  <c:v>45280</c:v>
                </c:pt>
                <c:pt idx="757">
                  <c:v>45285</c:v>
                </c:pt>
                <c:pt idx="758">
                  <c:v>45290</c:v>
                </c:pt>
                <c:pt idx="759">
                  <c:v>45295</c:v>
                </c:pt>
                <c:pt idx="760">
                  <c:v>45300</c:v>
                </c:pt>
                <c:pt idx="761">
                  <c:v>45305</c:v>
                </c:pt>
                <c:pt idx="762">
                  <c:v>45310</c:v>
                </c:pt>
                <c:pt idx="763">
                  <c:v>45315</c:v>
                </c:pt>
                <c:pt idx="764">
                  <c:v>45320</c:v>
                </c:pt>
                <c:pt idx="765">
                  <c:v>45325</c:v>
                </c:pt>
                <c:pt idx="766">
                  <c:v>45330</c:v>
                </c:pt>
                <c:pt idx="767">
                  <c:v>45335</c:v>
                </c:pt>
                <c:pt idx="768">
                  <c:v>45340</c:v>
                </c:pt>
                <c:pt idx="769">
                  <c:v>45345</c:v>
                </c:pt>
                <c:pt idx="770">
                  <c:v>45355</c:v>
                </c:pt>
                <c:pt idx="771">
                  <c:v>45360</c:v>
                </c:pt>
                <c:pt idx="772">
                  <c:v>45365</c:v>
                </c:pt>
                <c:pt idx="773">
                  <c:v>45370</c:v>
                </c:pt>
                <c:pt idx="774">
                  <c:v>45375</c:v>
                </c:pt>
                <c:pt idx="775">
                  <c:v>45380</c:v>
                </c:pt>
                <c:pt idx="776">
                  <c:v>45385</c:v>
                </c:pt>
                <c:pt idx="777">
                  <c:v>45390</c:v>
                </c:pt>
                <c:pt idx="778">
                  <c:v>45400</c:v>
                </c:pt>
                <c:pt idx="779">
                  <c:v>45405</c:v>
                </c:pt>
                <c:pt idx="780">
                  <c:v>45410</c:v>
                </c:pt>
                <c:pt idx="781">
                  <c:v>45415</c:v>
                </c:pt>
                <c:pt idx="782">
                  <c:v>45420</c:v>
                </c:pt>
                <c:pt idx="783">
                  <c:v>45425</c:v>
                </c:pt>
                <c:pt idx="784">
                  <c:v>45430</c:v>
                </c:pt>
                <c:pt idx="785">
                  <c:v>45435</c:v>
                </c:pt>
                <c:pt idx="786">
                  <c:v>45440</c:v>
                </c:pt>
                <c:pt idx="787">
                  <c:v>45450</c:v>
                </c:pt>
                <c:pt idx="788">
                  <c:v>45454</c:v>
                </c:pt>
                <c:pt idx="789">
                  <c:v>45455</c:v>
                </c:pt>
                <c:pt idx="790">
                  <c:v>45460</c:v>
                </c:pt>
                <c:pt idx="791">
                  <c:v>45465</c:v>
                </c:pt>
                <c:pt idx="792">
                  <c:v>45470</c:v>
                </c:pt>
                <c:pt idx="793">
                  <c:v>45475</c:v>
                </c:pt>
                <c:pt idx="794">
                  <c:v>45480</c:v>
                </c:pt>
                <c:pt idx="795">
                  <c:v>45485</c:v>
                </c:pt>
                <c:pt idx="796">
                  <c:v>45486</c:v>
                </c:pt>
                <c:pt idx="797">
                  <c:v>45490</c:v>
                </c:pt>
                <c:pt idx="798">
                  <c:v>45495</c:v>
                </c:pt>
                <c:pt idx="799">
                  <c:v>45500</c:v>
                </c:pt>
                <c:pt idx="800">
                  <c:v>45502</c:v>
                </c:pt>
                <c:pt idx="801">
                  <c:v>45505</c:v>
                </c:pt>
                <c:pt idx="802">
                  <c:v>45530</c:v>
                </c:pt>
                <c:pt idx="803">
                  <c:v>45535</c:v>
                </c:pt>
                <c:pt idx="804">
                  <c:v>45540</c:v>
                </c:pt>
                <c:pt idx="805">
                  <c:v>45545</c:v>
                </c:pt>
                <c:pt idx="806">
                  <c:v>45550</c:v>
                </c:pt>
                <c:pt idx="807">
                  <c:v>45555</c:v>
                </c:pt>
                <c:pt idx="808">
                  <c:v>45560</c:v>
                </c:pt>
                <c:pt idx="809">
                  <c:v>45565</c:v>
                </c:pt>
                <c:pt idx="810">
                  <c:v>45566</c:v>
                </c:pt>
                <c:pt idx="811">
                  <c:v>45570</c:v>
                </c:pt>
                <c:pt idx="812">
                  <c:v>45575</c:v>
                </c:pt>
                <c:pt idx="813">
                  <c:v>45582</c:v>
                </c:pt>
                <c:pt idx="814">
                  <c:v>45585</c:v>
                </c:pt>
                <c:pt idx="815">
                  <c:v>45590</c:v>
                </c:pt>
                <c:pt idx="816">
                  <c:v>45595</c:v>
                </c:pt>
                <c:pt idx="817">
                  <c:v>45598</c:v>
                </c:pt>
                <c:pt idx="818">
                  <c:v>45600</c:v>
                </c:pt>
                <c:pt idx="819">
                  <c:v>45610</c:v>
                </c:pt>
                <c:pt idx="820">
                  <c:v>45614</c:v>
                </c:pt>
                <c:pt idx="821">
                  <c:v>45615</c:v>
                </c:pt>
                <c:pt idx="822">
                  <c:v>45620</c:v>
                </c:pt>
                <c:pt idx="823">
                  <c:v>45625</c:v>
                </c:pt>
                <c:pt idx="824">
                  <c:v>45630</c:v>
                </c:pt>
                <c:pt idx="825">
                  <c:v>45635</c:v>
                </c:pt>
                <c:pt idx="826">
                  <c:v>45640</c:v>
                </c:pt>
                <c:pt idx="827">
                  <c:v>45645</c:v>
                </c:pt>
                <c:pt idx="828">
                  <c:v>45650</c:v>
                </c:pt>
                <c:pt idx="829">
                  <c:v>45655</c:v>
                </c:pt>
                <c:pt idx="830">
                  <c:v>45660</c:v>
                </c:pt>
                <c:pt idx="831">
                  <c:v>45662</c:v>
                </c:pt>
                <c:pt idx="832">
                  <c:v>45665</c:v>
                </c:pt>
                <c:pt idx="833">
                  <c:v>45670</c:v>
                </c:pt>
                <c:pt idx="834">
                  <c:v>45678</c:v>
                </c:pt>
                <c:pt idx="835">
                  <c:v>45680</c:v>
                </c:pt>
                <c:pt idx="836">
                  <c:v>45690</c:v>
                </c:pt>
                <c:pt idx="837">
                  <c:v>45694</c:v>
                </c:pt>
                <c:pt idx="838">
                  <c:v>45695</c:v>
                </c:pt>
                <c:pt idx="839">
                  <c:v>45700</c:v>
                </c:pt>
                <c:pt idx="840">
                  <c:v>45710</c:v>
                </c:pt>
                <c:pt idx="841">
                  <c:v>45720</c:v>
                </c:pt>
                <c:pt idx="842">
                  <c:v>45725</c:v>
                </c:pt>
                <c:pt idx="843">
                  <c:v>45730</c:v>
                </c:pt>
                <c:pt idx="844">
                  <c:v>45735</c:v>
                </c:pt>
                <c:pt idx="845">
                  <c:v>45740</c:v>
                </c:pt>
                <c:pt idx="846">
                  <c:v>45742</c:v>
                </c:pt>
                <c:pt idx="847">
                  <c:v>45745</c:v>
                </c:pt>
                <c:pt idx="848">
                  <c:v>45750</c:v>
                </c:pt>
                <c:pt idx="849">
                  <c:v>45758</c:v>
                </c:pt>
                <c:pt idx="850">
                  <c:v>45760</c:v>
                </c:pt>
                <c:pt idx="851">
                  <c:v>45762</c:v>
                </c:pt>
                <c:pt idx="852">
                  <c:v>45770</c:v>
                </c:pt>
                <c:pt idx="853">
                  <c:v>45775</c:v>
                </c:pt>
                <c:pt idx="854">
                  <c:v>45780</c:v>
                </c:pt>
                <c:pt idx="855">
                  <c:v>45782</c:v>
                </c:pt>
                <c:pt idx="856">
                  <c:v>45785</c:v>
                </c:pt>
                <c:pt idx="857">
                  <c:v>45790</c:v>
                </c:pt>
                <c:pt idx="858">
                  <c:v>45795</c:v>
                </c:pt>
                <c:pt idx="859">
                  <c:v>45800</c:v>
                </c:pt>
                <c:pt idx="860">
                  <c:v>45802</c:v>
                </c:pt>
                <c:pt idx="861">
                  <c:v>45805</c:v>
                </c:pt>
                <c:pt idx="862">
                  <c:v>45810</c:v>
                </c:pt>
                <c:pt idx="863">
                  <c:v>45813</c:v>
                </c:pt>
                <c:pt idx="864">
                  <c:v>45815</c:v>
                </c:pt>
                <c:pt idx="865">
                  <c:v>45820</c:v>
                </c:pt>
                <c:pt idx="866">
                  <c:v>45822</c:v>
                </c:pt>
                <c:pt idx="867">
                  <c:v>45825</c:v>
                </c:pt>
                <c:pt idx="868">
                  <c:v>45835</c:v>
                </c:pt>
              </c:numCache>
            </c:numRef>
          </c:cat>
          <c:val>
            <c:numRef>
              <c:f>Calcs!$H$5:$H$873</c:f>
              <c:numCache>
                <c:formatCode>#,##0</c:formatCode>
                <c:ptCount val="869"/>
                <c:pt idx="0">
                  <c:v>72864.01382554369</c:v>
                </c:pt>
                <c:pt idx="1">
                  <c:v>67492.038870998629</c:v>
                </c:pt>
                <c:pt idx="2">
                  <c:v>74829.37051623092</c:v>
                </c:pt>
                <c:pt idx="3">
                  <c:v>174685.55857299111</c:v>
                </c:pt>
                <c:pt idx="4">
                  <c:v>170187.85069836999</c:v>
                </c:pt>
                <c:pt idx="5">
                  <c:v>168353.25932845875</c:v>
                </c:pt>
                <c:pt idx="6">
                  <c:v>339905.92743452173</c:v>
                </c:pt>
                <c:pt idx="7">
                  <c:v>332200.37833578157</c:v>
                </c:pt>
                <c:pt idx="8">
                  <c:v>325157.02486271434</c:v>
                </c:pt>
                <c:pt idx="9">
                  <c:v>319558.46184566087</c:v>
                </c:pt>
                <c:pt idx="10">
                  <c:v>310588.72109790868</c:v>
                </c:pt>
                <c:pt idx="11">
                  <c:v>339484.5302181844</c:v>
                </c:pt>
                <c:pt idx="12">
                  <c:v>327926.20657007408</c:v>
                </c:pt>
                <c:pt idx="13">
                  <c:v>327504.80935373675</c:v>
                </c:pt>
                <c:pt idx="14">
                  <c:v>326541.61571639421</c:v>
                </c:pt>
                <c:pt idx="15">
                  <c:v>316428.0825242977</c:v>
                </c:pt>
                <c:pt idx="16">
                  <c:v>296867.22725832637</c:v>
                </c:pt>
                <c:pt idx="17">
                  <c:v>291694.61913201225</c:v>
                </c:pt>
                <c:pt idx="18">
                  <c:v>273107.33498580661</c:v>
                </c:pt>
                <c:pt idx="19">
                  <c:v>321906.24633668328</c:v>
                </c:pt>
                <c:pt idx="20">
                  <c:v>305712.55330886215</c:v>
                </c:pt>
                <c:pt idx="21">
                  <c:v>300618.78919609264</c:v>
                </c:pt>
                <c:pt idx="22">
                  <c:v>273789.43715630955</c:v>
                </c:pt>
                <c:pt idx="23">
                  <c:v>282202.03059251269</c:v>
                </c:pt>
                <c:pt idx="24">
                  <c:v>273789.43715630955</c:v>
                </c:pt>
                <c:pt idx="25">
                  <c:v>263103.1698184298</c:v>
                </c:pt>
                <c:pt idx="26">
                  <c:v>257532.66875932235</c:v>
                </c:pt>
                <c:pt idx="27">
                  <c:v>302822.97239683458</c:v>
                </c:pt>
                <c:pt idx="28">
                  <c:v>313117.10439593275</c:v>
                </c:pt>
                <c:pt idx="29">
                  <c:v>312876.30598659714</c:v>
                </c:pt>
                <c:pt idx="30">
                  <c:v>298515.64083704184</c:v>
                </c:pt>
                <c:pt idx="31">
                  <c:v>287829.37349916215</c:v>
                </c:pt>
                <c:pt idx="32">
                  <c:v>270435.76815133664</c:v>
                </c:pt>
                <c:pt idx="33">
                  <c:v>198937.36294843396</c:v>
                </c:pt>
                <c:pt idx="34">
                  <c:v>198703.07801314504</c:v>
                </c:pt>
                <c:pt idx="35">
                  <c:v>198878.79171461173</c:v>
                </c:pt>
                <c:pt idx="36">
                  <c:v>191791.67242212218</c:v>
                </c:pt>
                <c:pt idx="37">
                  <c:v>182852.44918743469</c:v>
                </c:pt>
                <c:pt idx="38">
                  <c:v>326361.01690939249</c:v>
                </c:pt>
                <c:pt idx="39">
                  <c:v>317692.27417330979</c:v>
                </c:pt>
                <c:pt idx="40">
                  <c:v>299595.63594033819</c:v>
                </c:pt>
                <c:pt idx="41">
                  <c:v>290500.94033363205</c:v>
                </c:pt>
                <c:pt idx="42">
                  <c:v>309745.92666523397</c:v>
                </c:pt>
                <c:pt idx="43">
                  <c:v>306013.55132053164</c:v>
                </c:pt>
                <c:pt idx="44">
                  <c:v>232768.16228623057</c:v>
                </c:pt>
                <c:pt idx="45">
                  <c:v>230098.65515201021</c:v>
                </c:pt>
                <c:pt idx="46">
                  <c:v>300846.1565862603</c:v>
                </c:pt>
                <c:pt idx="47">
                  <c:v>305170.75688785693</c:v>
                </c:pt>
                <c:pt idx="48">
                  <c:v>267934.72685949242</c:v>
                </c:pt>
                <c:pt idx="49">
                  <c:v>253726.63319106703</c:v>
                </c:pt>
                <c:pt idx="50">
                  <c:v>231688.99982771598</c:v>
                </c:pt>
                <c:pt idx="51">
                  <c:v>262534.75134301069</c:v>
                </c:pt>
                <c:pt idx="52">
                  <c:v>233904.12276887751</c:v>
                </c:pt>
                <c:pt idx="53">
                  <c:v>230041.85712787783</c:v>
                </c:pt>
                <c:pt idx="54">
                  <c:v>211354.46451874622</c:v>
                </c:pt>
                <c:pt idx="55">
                  <c:v>214107.31250839093</c:v>
                </c:pt>
                <c:pt idx="56">
                  <c:v>197180.22593376713</c:v>
                </c:pt>
                <c:pt idx="57">
                  <c:v>203271.6342512788</c:v>
                </c:pt>
                <c:pt idx="58">
                  <c:v>197180.22593376713</c:v>
                </c:pt>
                <c:pt idx="59">
                  <c:v>183385.0724883767</c:v>
                </c:pt>
                <c:pt idx="60">
                  <c:v>175869.16590841772</c:v>
                </c:pt>
                <c:pt idx="61">
                  <c:v>167465.55382688879</c:v>
                </c:pt>
                <c:pt idx="62">
                  <c:v>142722.48602814748</c:v>
                </c:pt>
                <c:pt idx="63">
                  <c:v>141876.04215828827</c:v>
                </c:pt>
                <c:pt idx="64">
                  <c:v>139562.42891400639</c:v>
                </c:pt>
                <c:pt idx="65">
                  <c:v>210241.61107612384</c:v>
                </c:pt>
                <c:pt idx="66">
                  <c:v>207430.19185265695</c:v>
                </c:pt>
                <c:pt idx="67">
                  <c:v>204033.06029096773</c:v>
                </c:pt>
                <c:pt idx="68">
                  <c:v>341049.71987886599</c:v>
                </c:pt>
                <c:pt idx="69">
                  <c:v>323230.63758802926</c:v>
                </c:pt>
                <c:pt idx="70">
                  <c:v>322327.64355302067</c:v>
                </c:pt>
                <c:pt idx="71">
                  <c:v>313418.1024076023</c:v>
                </c:pt>
                <c:pt idx="72">
                  <c:v>311852.91274692072</c:v>
                </c:pt>
                <c:pt idx="73">
                  <c:v>294366.18596648215</c:v>
                </c:pt>
                <c:pt idx="74">
                  <c:v>328347.60378641146</c:v>
                </c:pt>
                <c:pt idx="75">
                  <c:v>315224.09047761955</c:v>
                </c:pt>
                <c:pt idx="76">
                  <c:v>314381.29604494484</c:v>
                </c:pt>
                <c:pt idx="77">
                  <c:v>306194.15012753336</c:v>
                </c:pt>
                <c:pt idx="78">
                  <c:v>292831.45608285058</c:v>
                </c:pt>
                <c:pt idx="79">
                  <c:v>290614.62402871589</c:v>
                </c:pt>
                <c:pt idx="80">
                  <c:v>286522.01100569812</c:v>
                </c:pt>
                <c:pt idx="81">
                  <c:v>282599.92352530611</c:v>
                </c:pt>
                <c:pt idx="82">
                  <c:v>327625.20855840459</c:v>
                </c:pt>
                <c:pt idx="83">
                  <c:v>323531.63559969881</c:v>
                </c:pt>
                <c:pt idx="84">
                  <c:v>317993.27218497929</c:v>
                </c:pt>
                <c:pt idx="85">
                  <c:v>316247.48371729598</c:v>
                </c:pt>
                <c:pt idx="86">
                  <c:v>311612.11433758505</c:v>
                </c:pt>
                <c:pt idx="87">
                  <c:v>288909.36860245839</c:v>
                </c:pt>
                <c:pt idx="88">
                  <c:v>317632.07457097585</c:v>
                </c:pt>
                <c:pt idx="89">
                  <c:v>320822.65349467297</c:v>
                </c:pt>
                <c:pt idx="90">
                  <c:v>318896.26621998794</c:v>
                </c:pt>
                <c:pt idx="91">
                  <c:v>331718.7815171103</c:v>
                </c:pt>
                <c:pt idx="92">
                  <c:v>320581.8550853373</c:v>
                </c:pt>
                <c:pt idx="93">
                  <c:v>321725.64752968156</c:v>
                </c:pt>
                <c:pt idx="94">
                  <c:v>330273.99106109649</c:v>
                </c:pt>
                <c:pt idx="95">
                  <c:v>330936.18668676948</c:v>
                </c:pt>
                <c:pt idx="96">
                  <c:v>323531.63559969881</c:v>
                </c:pt>
                <c:pt idx="97">
                  <c:v>319739.06065266259</c:v>
                </c:pt>
                <c:pt idx="98">
                  <c:v>320100.25826666609</c:v>
                </c:pt>
                <c:pt idx="99">
                  <c:v>317933.0725826454</c:v>
                </c:pt>
                <c:pt idx="100">
                  <c:v>314321.0964426109</c:v>
                </c:pt>
                <c:pt idx="101">
                  <c:v>324494.82923704135</c:v>
                </c:pt>
                <c:pt idx="102">
                  <c:v>323471.43599736493</c:v>
                </c:pt>
                <c:pt idx="103">
                  <c:v>312635.50757726148</c:v>
                </c:pt>
                <c:pt idx="104">
                  <c:v>322929.63957635971</c:v>
                </c:pt>
                <c:pt idx="105">
                  <c:v>310287.72308623907</c:v>
                </c:pt>
                <c:pt idx="106">
                  <c:v>298856.69192229328</c:v>
                </c:pt>
                <c:pt idx="107">
                  <c:v>299084.05931246094</c:v>
                </c:pt>
                <c:pt idx="108">
                  <c:v>277029.42246619862</c:v>
                </c:pt>
                <c:pt idx="109">
                  <c:v>269242.08935295645</c:v>
                </c:pt>
                <c:pt idx="110">
                  <c:v>254805.79564958162</c:v>
                </c:pt>
                <c:pt idx="111">
                  <c:v>255544.16996330215</c:v>
                </c:pt>
                <c:pt idx="112">
                  <c:v>238504.76272359773</c:v>
                </c:pt>
                <c:pt idx="113">
                  <c:v>239924.71332690641</c:v>
                </c:pt>
                <c:pt idx="114">
                  <c:v>224589.24681117243</c:v>
                </c:pt>
                <c:pt idx="115">
                  <c:v>222033.33572521678</c:v>
                </c:pt>
                <c:pt idx="116">
                  <c:v>221067.7693149668</c:v>
                </c:pt>
                <c:pt idx="117">
                  <c:v>216333.01939363556</c:v>
                </c:pt>
                <c:pt idx="118">
                  <c:v>217680.1577715468</c:v>
                </c:pt>
                <c:pt idx="119">
                  <c:v>201748.78217190085</c:v>
                </c:pt>
                <c:pt idx="120">
                  <c:v>202275.92327630092</c:v>
                </c:pt>
                <c:pt idx="121">
                  <c:v>197238.79716758936</c:v>
                </c:pt>
                <c:pt idx="122">
                  <c:v>193490.23820296678</c:v>
                </c:pt>
                <c:pt idx="123">
                  <c:v>196067.37249114478</c:v>
                </c:pt>
                <c:pt idx="124">
                  <c:v>192318.81352652222</c:v>
                </c:pt>
                <c:pt idx="125">
                  <c:v>181313.7596513801</c:v>
                </c:pt>
                <c:pt idx="126">
                  <c:v>221806.14362868736</c:v>
                </c:pt>
                <c:pt idx="127">
                  <c:v>222317.32584587848</c:v>
                </c:pt>
                <c:pt idx="128">
                  <c:v>221408.55745976095</c:v>
                </c:pt>
                <c:pt idx="129">
                  <c:v>255032.987746111</c:v>
                </c:pt>
                <c:pt idx="130">
                  <c:v>252874.66282908179</c:v>
                </c:pt>
                <c:pt idx="131">
                  <c:v>255884.95810809624</c:v>
                </c:pt>
                <c:pt idx="132">
                  <c:v>252193.08653949364</c:v>
                </c:pt>
                <c:pt idx="133">
                  <c:v>252988.25887734655</c:v>
                </c:pt>
                <c:pt idx="134">
                  <c:v>236460.03385483319</c:v>
                </c:pt>
                <c:pt idx="135">
                  <c:v>222771.71003893731</c:v>
                </c:pt>
                <c:pt idx="136">
                  <c:v>216450.16186127998</c:v>
                </c:pt>
                <c:pt idx="137">
                  <c:v>207605.9055541236</c:v>
                </c:pt>
                <c:pt idx="138">
                  <c:v>198000.22320727832</c:v>
                </c:pt>
                <c:pt idx="139">
                  <c:v>197180.22593376713</c:v>
                </c:pt>
                <c:pt idx="140">
                  <c:v>190444.53404421094</c:v>
                </c:pt>
                <c:pt idx="141">
                  <c:v>177822.11801187164</c:v>
                </c:pt>
                <c:pt idx="142">
                  <c:v>163500.46925320965</c:v>
                </c:pt>
                <c:pt idx="143">
                  <c:v>156829.88385913469</c:v>
                </c:pt>
                <c:pt idx="144">
                  <c:v>159535.38467953054</c:v>
                </c:pt>
                <c:pt idx="145">
                  <c:v>153500.53797102169</c:v>
                </c:pt>
                <c:pt idx="146">
                  <c:v>147180.42374273945</c:v>
                </c:pt>
                <c:pt idx="147">
                  <c:v>139957.43605327402</c:v>
                </c:pt>
                <c:pt idx="148">
                  <c:v>136571.66057383711</c:v>
                </c:pt>
                <c:pt idx="149">
                  <c:v>132298.11233805539</c:v>
                </c:pt>
                <c:pt idx="150">
                  <c:v>136853.80853045685</c:v>
                </c:pt>
                <c:pt idx="151">
                  <c:v>132240.44535492049</c:v>
                </c:pt>
                <c:pt idx="152">
                  <c:v>124859.07151365402</c:v>
                </c:pt>
                <c:pt idx="153">
                  <c:v>124455.40263170975</c:v>
                </c:pt>
                <c:pt idx="154">
                  <c:v>123532.73090155146</c:v>
                </c:pt>
                <c:pt idx="155">
                  <c:v>123244.39598587698</c:v>
                </c:pt>
                <c:pt idx="156">
                  <c:v>114882.68343131735</c:v>
                </c:pt>
                <c:pt idx="157">
                  <c:v>114248.3466168335</c:v>
                </c:pt>
                <c:pt idx="158">
                  <c:v>113199.03699657436</c:v>
                </c:pt>
                <c:pt idx="159">
                  <c:v>105378.80690574752</c:v>
                </c:pt>
                <c:pt idx="160">
                  <c:v>107886.05624784467</c:v>
                </c:pt>
                <c:pt idx="161">
                  <c:v>170247.03106514132</c:v>
                </c:pt>
                <c:pt idx="162">
                  <c:v>235948.85163764207</c:v>
                </c:pt>
                <c:pt idx="163">
                  <c:v>230325.84724853959</c:v>
                </c:pt>
                <c:pt idx="164">
                  <c:v>220272.59697711395</c:v>
                </c:pt>
                <c:pt idx="165">
                  <c:v>222601.31596654019</c:v>
                </c:pt>
                <c:pt idx="166">
                  <c:v>219988.60685645221</c:v>
                </c:pt>
                <c:pt idx="167">
                  <c:v>211120.17958345727</c:v>
                </c:pt>
                <c:pt idx="168">
                  <c:v>205497.34113652344</c:v>
                </c:pt>
                <c:pt idx="169">
                  <c:v>196945.94099847824</c:v>
                </c:pt>
                <c:pt idx="170">
                  <c:v>193021.66833238897</c:v>
                </c:pt>
                <c:pt idx="171">
                  <c:v>196008.80125732257</c:v>
                </c:pt>
                <c:pt idx="172">
                  <c:v>194895.94781470025</c:v>
                </c:pt>
                <c:pt idx="173">
                  <c:v>182911.62955420604</c:v>
                </c:pt>
                <c:pt idx="174">
                  <c:v>179005.72534729823</c:v>
                </c:pt>
                <c:pt idx="175">
                  <c:v>176283.42847581703</c:v>
                </c:pt>
                <c:pt idx="176">
                  <c:v>174803.91930653376</c:v>
                </c:pt>
                <c:pt idx="177">
                  <c:v>193373.09573532233</c:v>
                </c:pt>
                <c:pt idx="178">
                  <c:v>192845.95463092226</c:v>
                </c:pt>
                <c:pt idx="179">
                  <c:v>175987.52664196037</c:v>
                </c:pt>
                <c:pt idx="180">
                  <c:v>164920.79805572159</c:v>
                </c:pt>
                <c:pt idx="181">
                  <c:v>164388.17475477961</c:v>
                </c:pt>
                <c:pt idx="182">
                  <c:v>160304.72944755782</c:v>
                </c:pt>
                <c:pt idx="183">
                  <c:v>158943.58101181721</c:v>
                </c:pt>
                <c:pt idx="184">
                  <c:v>157619.89813766998</c:v>
                </c:pt>
                <c:pt idx="185">
                  <c:v>148478.30434319028</c:v>
                </c:pt>
                <c:pt idx="186">
                  <c:v>142666.05643682356</c:v>
                </c:pt>
                <c:pt idx="187">
                  <c:v>140747.45033180929</c:v>
                </c:pt>
                <c:pt idx="188">
                  <c:v>137418.10444369636</c:v>
                </c:pt>
                <c:pt idx="189">
                  <c:v>136515.23098251314</c:v>
                </c:pt>
                <c:pt idx="190">
                  <c:v>136571.66057383711</c:v>
                </c:pt>
                <c:pt idx="191">
                  <c:v>139449.56973135847</c:v>
                </c:pt>
                <c:pt idx="192">
                  <c:v>129645.43111385024</c:v>
                </c:pt>
                <c:pt idx="193">
                  <c:v>126243.07910889151</c:v>
                </c:pt>
                <c:pt idx="194">
                  <c:v>128203.75653547789</c:v>
                </c:pt>
                <c:pt idx="195">
                  <c:v>125320.4073787332</c:v>
                </c:pt>
                <c:pt idx="196">
                  <c:v>125205.0734124634</c:v>
                </c:pt>
                <c:pt idx="197">
                  <c:v>127973.08860293833</c:v>
                </c:pt>
                <c:pt idx="198">
                  <c:v>124859.07151365402</c:v>
                </c:pt>
                <c:pt idx="199">
                  <c:v>124455.40263170975</c:v>
                </c:pt>
                <c:pt idx="200">
                  <c:v>127684.75368726384</c:v>
                </c:pt>
                <c:pt idx="201">
                  <c:v>123302.06296901191</c:v>
                </c:pt>
                <c:pt idx="202">
                  <c:v>123648.06486782126</c:v>
                </c:pt>
                <c:pt idx="203">
                  <c:v>128953.42731623152</c:v>
                </c:pt>
                <c:pt idx="204">
                  <c:v>122437.05822198847</c:v>
                </c:pt>
                <c:pt idx="205">
                  <c:v>123532.73090155146</c:v>
                </c:pt>
                <c:pt idx="206">
                  <c:v>116497.35895909439</c:v>
                </c:pt>
                <c:pt idx="207">
                  <c:v>124743.73754738423</c:v>
                </c:pt>
                <c:pt idx="208">
                  <c:v>124224.73469917019</c:v>
                </c:pt>
                <c:pt idx="209">
                  <c:v>122783.06012079785</c:v>
                </c:pt>
                <c:pt idx="210">
                  <c:v>114248.3466168335</c:v>
                </c:pt>
                <c:pt idx="211">
                  <c:v>114075.34566742883</c:v>
                </c:pt>
                <c:pt idx="212">
                  <c:v>114248.3466168335</c:v>
                </c:pt>
                <c:pt idx="213">
                  <c:v>124801.40453051915</c:v>
                </c:pt>
                <c:pt idx="214">
                  <c:v>124109.40073290041</c:v>
                </c:pt>
                <c:pt idx="215">
                  <c:v>122206.3902894489</c:v>
                </c:pt>
                <c:pt idx="216">
                  <c:v>115055.68438072201</c:v>
                </c:pt>
                <c:pt idx="217">
                  <c:v>113497.51906110974</c:v>
                </c:pt>
                <c:pt idx="218">
                  <c:v>114248.3466168335</c:v>
                </c:pt>
                <c:pt idx="219">
                  <c:v>113556.3428192148</c:v>
                </c:pt>
                <c:pt idx="220">
                  <c:v>108483.02037691543</c:v>
                </c:pt>
                <c:pt idx="221">
                  <c:v>106214.55668644658</c:v>
                </c:pt>
                <c:pt idx="222">
                  <c:v>105020.62842830509</c:v>
                </c:pt>
                <c:pt idx="223">
                  <c:v>123648.06486782126</c:v>
                </c:pt>
                <c:pt idx="224">
                  <c:v>122610.05917139316</c:v>
                </c:pt>
                <c:pt idx="225">
                  <c:v>117477.69767238759</c:v>
                </c:pt>
                <c:pt idx="226">
                  <c:v>114421.34756623818</c:v>
                </c:pt>
                <c:pt idx="227">
                  <c:v>114075.34566742883</c:v>
                </c:pt>
                <c:pt idx="228">
                  <c:v>114363.68058310328</c:v>
                </c:pt>
                <c:pt idx="229">
                  <c:v>112721.46569331779</c:v>
                </c:pt>
                <c:pt idx="230">
                  <c:v>108244.23472528713</c:v>
                </c:pt>
                <c:pt idx="231">
                  <c:v>103826.70017016357</c:v>
                </c:pt>
                <c:pt idx="232">
                  <c:v>105319.11049284044</c:v>
                </c:pt>
                <c:pt idx="233">
                  <c:v>95887.077253522584</c:v>
                </c:pt>
                <c:pt idx="234">
                  <c:v>93067.912721154484</c:v>
                </c:pt>
                <c:pt idx="235">
                  <c:v>92810.646400991813</c:v>
                </c:pt>
                <c:pt idx="236">
                  <c:v>90945.465579812459</c:v>
                </c:pt>
                <c:pt idx="237">
                  <c:v>89980.716879202446</c:v>
                </c:pt>
                <c:pt idx="238">
                  <c:v>89787.767139080461</c:v>
                </c:pt>
                <c:pt idx="239">
                  <c:v>89466.184238877118</c:v>
                </c:pt>
                <c:pt idx="240">
                  <c:v>87858.269737860435</c:v>
                </c:pt>
                <c:pt idx="241">
                  <c:v>83420.425715054385</c:v>
                </c:pt>
                <c:pt idx="242">
                  <c:v>82455.677014444387</c:v>
                </c:pt>
                <c:pt idx="243">
                  <c:v>82455.677014444387</c:v>
                </c:pt>
                <c:pt idx="244">
                  <c:v>82005.460954159716</c:v>
                </c:pt>
                <c:pt idx="245">
                  <c:v>82262.727274322358</c:v>
                </c:pt>
                <c:pt idx="246">
                  <c:v>81812.511214037688</c:v>
                </c:pt>
                <c:pt idx="247">
                  <c:v>81683.87805395636</c:v>
                </c:pt>
                <c:pt idx="248">
                  <c:v>81362.295153753017</c:v>
                </c:pt>
                <c:pt idx="249">
                  <c:v>75877.5607512641</c:v>
                </c:pt>
                <c:pt idx="250">
                  <c:v>76008.58453064326</c:v>
                </c:pt>
                <c:pt idx="251">
                  <c:v>75943.072640953673</c:v>
                </c:pt>
                <c:pt idx="252">
                  <c:v>75550.001302816236</c:v>
                </c:pt>
                <c:pt idx="253">
                  <c:v>75156.929964678784</c:v>
                </c:pt>
                <c:pt idx="254">
                  <c:v>75025.906185299653</c:v>
                </c:pt>
                <c:pt idx="255">
                  <c:v>74829.37051623092</c:v>
                </c:pt>
                <c:pt idx="256">
                  <c:v>74370.78728840391</c:v>
                </c:pt>
                <c:pt idx="257">
                  <c:v>74501.811067783041</c:v>
                </c:pt>
                <c:pt idx="258">
                  <c:v>80135.833581086423</c:v>
                </c:pt>
                <c:pt idx="259">
                  <c:v>74239.763509024764</c:v>
                </c:pt>
                <c:pt idx="260">
                  <c:v>74174.251619335177</c:v>
                </c:pt>
                <c:pt idx="261">
                  <c:v>73388.108943060288</c:v>
                </c:pt>
                <c:pt idx="262">
                  <c:v>77711.893662572184</c:v>
                </c:pt>
                <c:pt idx="263">
                  <c:v>71029.680914235636</c:v>
                </c:pt>
                <c:pt idx="264">
                  <c:v>73322.597053370715</c:v>
                </c:pt>
                <c:pt idx="265">
                  <c:v>78432.524449157499</c:v>
                </c:pt>
                <c:pt idx="266">
                  <c:v>70833.145245166917</c:v>
                </c:pt>
                <c:pt idx="267">
                  <c:v>76008.58453064326</c:v>
                </c:pt>
                <c:pt idx="268">
                  <c:v>70309.05012765032</c:v>
                </c:pt>
                <c:pt idx="269">
                  <c:v>76205.120199711964</c:v>
                </c:pt>
                <c:pt idx="270">
                  <c:v>69653.931230754592</c:v>
                </c:pt>
                <c:pt idx="271">
                  <c:v>75418.977523437105</c:v>
                </c:pt>
                <c:pt idx="272">
                  <c:v>69784.955010133708</c:v>
                </c:pt>
                <c:pt idx="273">
                  <c:v>67623.062650377775</c:v>
                </c:pt>
                <c:pt idx="274">
                  <c:v>69784.955010133708</c:v>
                </c:pt>
                <c:pt idx="275">
                  <c:v>68998.812333858834</c:v>
                </c:pt>
                <c:pt idx="276">
                  <c:v>66583.802256256167</c:v>
                </c:pt>
                <c:pt idx="277">
                  <c:v>66647.747507189328</c:v>
                </c:pt>
                <c:pt idx="278">
                  <c:v>66647.747507189328</c:v>
                </c:pt>
                <c:pt idx="279">
                  <c:v>66775.638009055649</c:v>
                </c:pt>
                <c:pt idx="280">
                  <c:v>73977.715950266444</c:v>
                </c:pt>
                <c:pt idx="281">
                  <c:v>66455.911754389832</c:v>
                </c:pt>
                <c:pt idx="282">
                  <c:v>70309.05012765032</c:v>
                </c:pt>
                <c:pt idx="283">
                  <c:v>75418.977523437105</c:v>
                </c:pt>
                <c:pt idx="284">
                  <c:v>68016.133988515227</c:v>
                </c:pt>
                <c:pt idx="285">
                  <c:v>69653.931230754592</c:v>
                </c:pt>
                <c:pt idx="286">
                  <c:v>67688.574540067362</c:v>
                </c:pt>
                <c:pt idx="287">
                  <c:v>67229.991312240352</c:v>
                </c:pt>
                <c:pt idx="288">
                  <c:v>67033.455643171619</c:v>
                </c:pt>
                <c:pt idx="289">
                  <c:v>65177.006735726602</c:v>
                </c:pt>
                <c:pt idx="290">
                  <c:v>66647.747507189328</c:v>
                </c:pt>
                <c:pt idx="291">
                  <c:v>66455.911754389832</c:v>
                </c:pt>
                <c:pt idx="292">
                  <c:v>65688.568743191892</c:v>
                </c:pt>
                <c:pt idx="293">
                  <c:v>65880.404495991374</c:v>
                </c:pt>
                <c:pt idx="294">
                  <c:v>63706.26596426389</c:v>
                </c:pt>
                <c:pt idx="295">
                  <c:v>63642.32071333073</c:v>
                </c:pt>
                <c:pt idx="296">
                  <c:v>75812.048861574513</c:v>
                </c:pt>
                <c:pt idx="297">
                  <c:v>70571.097686408611</c:v>
                </c:pt>
                <c:pt idx="298">
                  <c:v>68016.133988515227</c:v>
                </c:pt>
                <c:pt idx="299">
                  <c:v>68474.717216342236</c:v>
                </c:pt>
                <c:pt idx="300">
                  <c:v>67492.038870998629</c:v>
                </c:pt>
                <c:pt idx="301">
                  <c:v>66264.076001590351</c:v>
                </c:pt>
                <c:pt idx="302">
                  <c:v>66072.240248790855</c:v>
                </c:pt>
                <c:pt idx="303">
                  <c:v>59038.262646143099</c:v>
                </c:pt>
                <c:pt idx="304">
                  <c:v>59166.153148009427</c:v>
                </c:pt>
                <c:pt idx="305">
                  <c:v>57055.959867215104</c:v>
                </c:pt>
                <c:pt idx="306">
                  <c:v>58398.810136811488</c:v>
                </c:pt>
                <c:pt idx="307">
                  <c:v>65944.349746924534</c:v>
                </c:pt>
                <c:pt idx="308">
                  <c:v>64793.335230127632</c:v>
                </c:pt>
                <c:pt idx="309">
                  <c:v>68016.133988515227</c:v>
                </c:pt>
                <c:pt idx="310">
                  <c:v>67819.598319446508</c:v>
                </c:pt>
                <c:pt idx="311">
                  <c:v>63898.101717063364</c:v>
                </c:pt>
                <c:pt idx="312">
                  <c:v>63258.64920773176</c:v>
                </c:pt>
                <c:pt idx="313">
                  <c:v>63386.539709598095</c:v>
                </c:pt>
                <c:pt idx="314">
                  <c:v>63322.59445866492</c:v>
                </c:pt>
                <c:pt idx="315">
                  <c:v>60445.058166672658</c:v>
                </c:pt>
                <c:pt idx="316">
                  <c:v>60189.277162940016</c:v>
                </c:pt>
                <c:pt idx="317">
                  <c:v>59549.824653608397</c:v>
                </c:pt>
                <c:pt idx="318">
                  <c:v>60061.38666107368</c:v>
                </c:pt>
                <c:pt idx="319">
                  <c:v>66391.966503456671</c:v>
                </c:pt>
                <c:pt idx="320">
                  <c:v>65816.459245058199</c:v>
                </c:pt>
                <c:pt idx="321">
                  <c:v>63834.156466130204</c:v>
                </c:pt>
                <c:pt idx="322">
                  <c:v>66328.021252523511</c:v>
                </c:pt>
                <c:pt idx="323">
                  <c:v>64665.444728261318</c:v>
                </c:pt>
                <c:pt idx="324">
                  <c:v>69129.83611323798</c:v>
                </c:pt>
                <c:pt idx="325">
                  <c:v>65816.459245058199</c:v>
                </c:pt>
                <c:pt idx="326">
                  <c:v>63258.64920773176</c:v>
                </c:pt>
                <c:pt idx="327">
                  <c:v>65113.061484793441</c:v>
                </c:pt>
                <c:pt idx="328">
                  <c:v>64729.389979194471</c:v>
                </c:pt>
                <c:pt idx="329">
                  <c:v>63322.59445866492</c:v>
                </c:pt>
                <c:pt idx="330">
                  <c:v>64217.827971729173</c:v>
                </c:pt>
                <c:pt idx="331">
                  <c:v>59933.496159207367</c:v>
                </c:pt>
                <c:pt idx="332">
                  <c:v>61340.291679736925</c:v>
                </c:pt>
                <c:pt idx="333">
                  <c:v>62683.141949333301</c:v>
                </c:pt>
                <c:pt idx="334">
                  <c:v>59485.879402675237</c:v>
                </c:pt>
                <c:pt idx="335">
                  <c:v>62043.689440001697</c:v>
                </c:pt>
                <c:pt idx="336">
                  <c:v>66775.638009055649</c:v>
                </c:pt>
                <c:pt idx="337">
                  <c:v>64217.827971729173</c:v>
                </c:pt>
                <c:pt idx="338">
                  <c:v>63130.758705865446</c:v>
                </c:pt>
                <c:pt idx="339">
                  <c:v>66008.294997857694</c:v>
                </c:pt>
                <c:pt idx="340">
                  <c:v>62107.63469093485</c:v>
                </c:pt>
                <c:pt idx="341">
                  <c:v>62683.141949333301</c:v>
                </c:pt>
                <c:pt idx="342">
                  <c:v>62938.92295306595</c:v>
                </c:pt>
                <c:pt idx="343">
                  <c:v>64665.444728261318</c:v>
                </c:pt>
                <c:pt idx="344">
                  <c:v>61851.853687202209</c:v>
                </c:pt>
                <c:pt idx="345">
                  <c:v>58910.372144276778</c:v>
                </c:pt>
                <c:pt idx="346">
                  <c:v>64729.389979194471</c:v>
                </c:pt>
                <c:pt idx="347">
                  <c:v>64345.718473595494</c:v>
                </c:pt>
                <c:pt idx="348">
                  <c:v>62363.415694667499</c:v>
                </c:pt>
                <c:pt idx="349">
                  <c:v>58334.864885878327</c:v>
                </c:pt>
                <c:pt idx="350">
                  <c:v>62491.30619653382</c:v>
                </c:pt>
                <c:pt idx="351">
                  <c:v>69129.83611323798</c:v>
                </c:pt>
                <c:pt idx="352">
                  <c:v>56736.233612549295</c:v>
                </c:pt>
                <c:pt idx="353">
                  <c:v>59166.153148009427</c:v>
                </c:pt>
                <c:pt idx="354">
                  <c:v>58079.083882145693</c:v>
                </c:pt>
                <c:pt idx="355">
                  <c:v>65688.568743191892</c:v>
                </c:pt>
                <c:pt idx="356">
                  <c:v>142553.19725417567</c:v>
                </c:pt>
                <c:pt idx="357">
                  <c:v>137813.11158296396</c:v>
                </c:pt>
                <c:pt idx="358">
                  <c:v>140803.8799231333</c:v>
                </c:pt>
                <c:pt idx="359">
                  <c:v>139449.56973135847</c:v>
                </c:pt>
                <c:pt idx="360">
                  <c:v>256112.15020462562</c:v>
                </c:pt>
                <c:pt idx="361">
                  <c:v>275039.9578022316</c:v>
                </c:pt>
                <c:pt idx="362">
                  <c:v>352006.04750363721</c:v>
                </c:pt>
                <c:pt idx="363">
                  <c:v>336414.35049915512</c:v>
                </c:pt>
                <c:pt idx="364">
                  <c:v>332982.97316612233</c:v>
                </c:pt>
                <c:pt idx="365">
                  <c:v>322869.43997402582</c:v>
                </c:pt>
                <c:pt idx="366">
                  <c:v>351404.05148029811</c:v>
                </c:pt>
                <c:pt idx="367">
                  <c:v>309745.92666523397</c:v>
                </c:pt>
                <c:pt idx="368">
                  <c:v>304749.35967151955</c:v>
                </c:pt>
                <c:pt idx="369">
                  <c:v>309745.92666523397</c:v>
                </c:pt>
                <c:pt idx="370">
                  <c:v>303786.16603417706</c:v>
                </c:pt>
                <c:pt idx="371">
                  <c:v>313117.10439593275</c:v>
                </c:pt>
                <c:pt idx="372">
                  <c:v>326601.8153187281</c:v>
                </c:pt>
                <c:pt idx="373">
                  <c:v>329792.39424242522</c:v>
                </c:pt>
                <c:pt idx="374">
                  <c:v>332802.37435912061</c:v>
                </c:pt>
                <c:pt idx="375">
                  <c:v>329310.797423754</c:v>
                </c:pt>
                <c:pt idx="376">
                  <c:v>325096.8252603804</c:v>
                </c:pt>
                <c:pt idx="377">
                  <c:v>316668.88093363331</c:v>
                </c:pt>
                <c:pt idx="378">
                  <c:v>320100.25826666609</c:v>
                </c:pt>
                <c:pt idx="379">
                  <c:v>320040.0586643322</c:v>
                </c:pt>
                <c:pt idx="380">
                  <c:v>320521.65548300341</c:v>
                </c:pt>
                <c:pt idx="381">
                  <c:v>319799.26025499648</c:v>
                </c:pt>
                <c:pt idx="382">
                  <c:v>341591.51629987115</c:v>
                </c:pt>
                <c:pt idx="383">
                  <c:v>332019.77952877979</c:v>
                </c:pt>
                <c:pt idx="384">
                  <c:v>327324.21054673498</c:v>
                </c:pt>
                <c:pt idx="385">
                  <c:v>325999.81929538905</c:v>
                </c:pt>
                <c:pt idx="386">
                  <c:v>322448.0427576885</c:v>
                </c:pt>
                <c:pt idx="387">
                  <c:v>318053.47178731323</c:v>
                </c:pt>
                <c:pt idx="388">
                  <c:v>318836.06661765405</c:v>
                </c:pt>
                <c:pt idx="389">
                  <c:v>315043.49167061778</c:v>
                </c:pt>
                <c:pt idx="390">
                  <c:v>314742.49365894828</c:v>
                </c:pt>
                <c:pt idx="391">
                  <c:v>312334.50956559199</c:v>
                </c:pt>
                <c:pt idx="392">
                  <c:v>309565.32785823219</c:v>
                </c:pt>
                <c:pt idx="393">
                  <c:v>306495.14813920297</c:v>
                </c:pt>
                <c:pt idx="394">
                  <c:v>307879.73899288278</c:v>
                </c:pt>
                <c:pt idx="395">
                  <c:v>307458.34177654545</c:v>
                </c:pt>
                <c:pt idx="396">
                  <c:v>299595.63594033819</c:v>
                </c:pt>
                <c:pt idx="397">
                  <c:v>297492.48758128739</c:v>
                </c:pt>
                <c:pt idx="398">
                  <c:v>290557.78218117397</c:v>
                </c:pt>
                <c:pt idx="399">
                  <c:v>293058.82347301813</c:v>
                </c:pt>
                <c:pt idx="400">
                  <c:v>314983.29206828389</c:v>
                </c:pt>
                <c:pt idx="401">
                  <c:v>316969.87894530286</c:v>
                </c:pt>
                <c:pt idx="402">
                  <c:v>298572.48268458375</c:v>
                </c:pt>
                <c:pt idx="403">
                  <c:v>299652.47778788005</c:v>
                </c:pt>
                <c:pt idx="404">
                  <c:v>295389.33922223659</c:v>
                </c:pt>
                <c:pt idx="405">
                  <c:v>289989.36370575486</c:v>
                </c:pt>
                <c:pt idx="406">
                  <c:v>293115.6653205601</c:v>
                </c:pt>
                <c:pt idx="407">
                  <c:v>288227.2664319555</c:v>
                </c:pt>
                <c:pt idx="408">
                  <c:v>284362.02079910546</c:v>
                </c:pt>
                <c:pt idx="409">
                  <c:v>277086.26431374048</c:v>
                </c:pt>
                <c:pt idx="410">
                  <c:v>279359.93821541697</c:v>
                </c:pt>
                <c:pt idx="411">
                  <c:v>274869.43225960585</c:v>
                </c:pt>
                <c:pt idx="412">
                  <c:v>263160.01166597178</c:v>
                </c:pt>
                <c:pt idx="413">
                  <c:v>266456.83882340271</c:v>
                </c:pt>
                <c:pt idx="414">
                  <c:v>262875.80242826213</c:v>
                </c:pt>
                <c:pt idx="415">
                  <c:v>261341.0725446305</c:v>
                </c:pt>
                <c:pt idx="416">
                  <c:v>270833.66108413006</c:v>
                </c:pt>
                <c:pt idx="417">
                  <c:v>272027.33988251019</c:v>
                </c:pt>
                <c:pt idx="418">
                  <c:v>286010.43437782087</c:v>
                </c:pt>
                <c:pt idx="419">
                  <c:v>300618.78919609264</c:v>
                </c:pt>
                <c:pt idx="420">
                  <c:v>301980.17796415981</c:v>
                </c:pt>
                <c:pt idx="421">
                  <c:v>297663.0131239132</c:v>
                </c:pt>
                <c:pt idx="422">
                  <c:v>297776.69681899698</c:v>
                </c:pt>
                <c:pt idx="423">
                  <c:v>293399.87455826969</c:v>
                </c:pt>
                <c:pt idx="424">
                  <c:v>293001.98162547627</c:v>
                </c:pt>
                <c:pt idx="425">
                  <c:v>294593.55335664976</c:v>
                </c:pt>
                <c:pt idx="426">
                  <c:v>287431.48056636873</c:v>
                </c:pt>
                <c:pt idx="427">
                  <c:v>289932.52185821295</c:v>
                </c:pt>
                <c:pt idx="428">
                  <c:v>284646.23003681499</c:v>
                </c:pt>
                <c:pt idx="429">
                  <c:v>277143.1061612824</c:v>
                </c:pt>
                <c:pt idx="430">
                  <c:v>280667.300708881</c:v>
                </c:pt>
                <c:pt idx="431">
                  <c:v>276858.89692357287</c:v>
                </c:pt>
                <c:pt idx="432">
                  <c:v>328407.80338874535</c:v>
                </c:pt>
                <c:pt idx="433">
                  <c:v>324073.43202070397</c:v>
                </c:pt>
                <c:pt idx="434">
                  <c:v>321605.24832501379</c:v>
                </c:pt>
                <c:pt idx="435">
                  <c:v>319859.45985733042</c:v>
                </c:pt>
                <c:pt idx="436">
                  <c:v>309685.72706290003</c:v>
                </c:pt>
                <c:pt idx="437">
                  <c:v>317993.27218497929</c:v>
                </c:pt>
                <c:pt idx="438">
                  <c:v>317812.67337797757</c:v>
                </c:pt>
                <c:pt idx="439">
                  <c:v>316127.08451262815</c:v>
                </c:pt>
                <c:pt idx="440">
                  <c:v>313177.3039982667</c:v>
                </c:pt>
                <c:pt idx="441">
                  <c:v>314802.69326128217</c:v>
                </c:pt>
                <c:pt idx="442">
                  <c:v>340387.524253193</c:v>
                </c:pt>
                <c:pt idx="443">
                  <c:v>349176.66619394353</c:v>
                </c:pt>
                <c:pt idx="444">
                  <c:v>330815.78748210164</c:v>
                </c:pt>
                <c:pt idx="445">
                  <c:v>322628.64156469022</c:v>
                </c:pt>
                <c:pt idx="446">
                  <c:v>319257.46383399138</c:v>
                </c:pt>
                <c:pt idx="447">
                  <c:v>319197.26423165749</c:v>
                </c:pt>
                <c:pt idx="448">
                  <c:v>319618.66144799488</c:v>
                </c:pt>
                <c:pt idx="449">
                  <c:v>318113.67138964712</c:v>
                </c:pt>
                <c:pt idx="450">
                  <c:v>317571.87496864196</c:v>
                </c:pt>
                <c:pt idx="451">
                  <c:v>316127.08451262815</c:v>
                </c:pt>
                <c:pt idx="452">
                  <c:v>313117.10439593275</c:v>
                </c:pt>
                <c:pt idx="453">
                  <c:v>320581.8550853373</c:v>
                </c:pt>
                <c:pt idx="454">
                  <c:v>311913.1123492546</c:v>
                </c:pt>
                <c:pt idx="455">
                  <c:v>311491.71513291728</c:v>
                </c:pt>
                <c:pt idx="456">
                  <c:v>312033.51155392244</c:v>
                </c:pt>
                <c:pt idx="457">
                  <c:v>314200.69723794312</c:v>
                </c:pt>
                <c:pt idx="458">
                  <c:v>306495.14813920297</c:v>
                </c:pt>
                <c:pt idx="459">
                  <c:v>306133.95052519947</c:v>
                </c:pt>
                <c:pt idx="460">
                  <c:v>302401.5751804972</c:v>
                </c:pt>
                <c:pt idx="461">
                  <c:v>303003.57120383624</c:v>
                </c:pt>
                <c:pt idx="462">
                  <c:v>338581.53618317581</c:v>
                </c:pt>
                <c:pt idx="463">
                  <c:v>327805.8073654063</c:v>
                </c:pt>
                <c:pt idx="464">
                  <c:v>301558.78074782249</c:v>
                </c:pt>
                <c:pt idx="465">
                  <c:v>324976.42605571263</c:v>
                </c:pt>
                <c:pt idx="466">
                  <c:v>323471.43599736493</c:v>
                </c:pt>
                <c:pt idx="467">
                  <c:v>320280.85707366781</c:v>
                </c:pt>
                <c:pt idx="468">
                  <c:v>319438.0626409931</c:v>
                </c:pt>
                <c:pt idx="469">
                  <c:v>324073.43202070397</c:v>
                </c:pt>
                <c:pt idx="470">
                  <c:v>333524.76958712749</c:v>
                </c:pt>
                <c:pt idx="471">
                  <c:v>314682.2940566144</c:v>
                </c:pt>
                <c:pt idx="472">
                  <c:v>312454.90877025976</c:v>
                </c:pt>
                <c:pt idx="473">
                  <c:v>310287.72308623907</c:v>
                </c:pt>
                <c:pt idx="474">
                  <c:v>311250.91672358167</c:v>
                </c:pt>
                <c:pt idx="475">
                  <c:v>310347.92268857302</c:v>
                </c:pt>
                <c:pt idx="476">
                  <c:v>304448.36165985005</c:v>
                </c:pt>
                <c:pt idx="477">
                  <c:v>310046.92467690347</c:v>
                </c:pt>
                <c:pt idx="478">
                  <c:v>306555.34774153685</c:v>
                </c:pt>
                <c:pt idx="479">
                  <c:v>300220.89626329922</c:v>
                </c:pt>
                <c:pt idx="480">
                  <c:v>294707.23705173371</c:v>
                </c:pt>
                <c:pt idx="481">
                  <c:v>294536.7115091079</c:v>
                </c:pt>
                <c:pt idx="482">
                  <c:v>293058.82347301813</c:v>
                </c:pt>
                <c:pt idx="483">
                  <c:v>283566.23493351863</c:v>
                </c:pt>
                <c:pt idx="484">
                  <c:v>282599.92352530611</c:v>
                </c:pt>
                <c:pt idx="485">
                  <c:v>269867.34967591753</c:v>
                </c:pt>
                <c:pt idx="486">
                  <c:v>273164.17683334847</c:v>
                </c:pt>
                <c:pt idx="487">
                  <c:v>265320.00187256443</c:v>
                </c:pt>
                <c:pt idx="488">
                  <c:v>257646.35245440609</c:v>
                </c:pt>
                <c:pt idx="489">
                  <c:v>259522.13342328928</c:v>
                </c:pt>
                <c:pt idx="490">
                  <c:v>255430.57391503747</c:v>
                </c:pt>
                <c:pt idx="491">
                  <c:v>251795.5003705672</c:v>
                </c:pt>
                <c:pt idx="492">
                  <c:v>247762.84065717048</c:v>
                </c:pt>
                <c:pt idx="493">
                  <c:v>238447.96469946534</c:v>
                </c:pt>
                <c:pt idx="494">
                  <c:v>235551.26546871566</c:v>
                </c:pt>
                <c:pt idx="495">
                  <c:v>244695.74735402365</c:v>
                </c:pt>
                <c:pt idx="496">
                  <c:v>241799.04812327391</c:v>
                </c:pt>
                <c:pt idx="497">
                  <c:v>290330.4147910063</c:v>
                </c:pt>
                <c:pt idx="498">
                  <c:v>301077.18392915122</c:v>
                </c:pt>
                <c:pt idx="499">
                  <c:v>303244.36961317185</c:v>
                </c:pt>
                <c:pt idx="500">
                  <c:v>296412.49247799104</c:v>
                </c:pt>
                <c:pt idx="501">
                  <c:v>313297.70320293447</c:v>
                </c:pt>
                <c:pt idx="502">
                  <c:v>311491.71513291728</c:v>
                </c:pt>
                <c:pt idx="503">
                  <c:v>317571.87496864196</c:v>
                </c:pt>
                <c:pt idx="504">
                  <c:v>314441.49564727879</c:v>
                </c:pt>
                <c:pt idx="505">
                  <c:v>313177.3039982667</c:v>
                </c:pt>
                <c:pt idx="506">
                  <c:v>308722.53342555749</c:v>
                </c:pt>
                <c:pt idx="507">
                  <c:v>308000.13819755061</c:v>
                </c:pt>
                <c:pt idx="508">
                  <c:v>308963.33183489315</c:v>
                </c:pt>
                <c:pt idx="509">
                  <c:v>306976.74495787418</c:v>
                </c:pt>
                <c:pt idx="510">
                  <c:v>303906.56523884489</c:v>
                </c:pt>
                <c:pt idx="511">
                  <c:v>303003.57120383624</c:v>
                </c:pt>
                <c:pt idx="512">
                  <c:v>301799.57915715815</c:v>
                </c:pt>
                <c:pt idx="513">
                  <c:v>300164.0544157573</c:v>
                </c:pt>
                <c:pt idx="514">
                  <c:v>294138.81857631454</c:v>
                </c:pt>
                <c:pt idx="515">
                  <c:v>293229.34901564388</c:v>
                </c:pt>
                <c:pt idx="516">
                  <c:v>292206.1957598895</c:v>
                </c:pt>
                <c:pt idx="517">
                  <c:v>287317.79687128495</c:v>
                </c:pt>
                <c:pt idx="518">
                  <c:v>280269.40777608764</c:v>
                </c:pt>
                <c:pt idx="519">
                  <c:v>282315.71428759658</c:v>
                </c:pt>
                <c:pt idx="520">
                  <c:v>276233.63660061179</c:v>
                </c:pt>
                <c:pt idx="521">
                  <c:v>275437.85073502501</c:v>
                </c:pt>
                <c:pt idx="522">
                  <c:v>270435.76815133664</c:v>
                </c:pt>
                <c:pt idx="523">
                  <c:v>269185.24750541453</c:v>
                </c:pt>
                <c:pt idx="524">
                  <c:v>264808.42524468724</c:v>
                </c:pt>
                <c:pt idx="525">
                  <c:v>264751.58339714527</c:v>
                </c:pt>
                <c:pt idx="526">
                  <c:v>263160.01166597178</c:v>
                </c:pt>
                <c:pt idx="527">
                  <c:v>256225.74625289036</c:v>
                </c:pt>
                <c:pt idx="528">
                  <c:v>256964.25028390318</c:v>
                </c:pt>
                <c:pt idx="529">
                  <c:v>258385.29647245101</c:v>
                </c:pt>
                <c:pt idx="530">
                  <c:v>254748.99762544929</c:v>
                </c:pt>
                <c:pt idx="531">
                  <c:v>258555.82201507676</c:v>
                </c:pt>
                <c:pt idx="532">
                  <c:v>254692.19960131694</c:v>
                </c:pt>
                <c:pt idx="533">
                  <c:v>253783.43121519935</c:v>
                </c:pt>
                <c:pt idx="534">
                  <c:v>230893.82748986306</c:v>
                </c:pt>
                <c:pt idx="535">
                  <c:v>242594.22046112677</c:v>
                </c:pt>
                <c:pt idx="536">
                  <c:v>246797.27424692051</c:v>
                </c:pt>
                <c:pt idx="537">
                  <c:v>238107.17655467128</c:v>
                </c:pt>
                <c:pt idx="538">
                  <c:v>239583.92518211232</c:v>
                </c:pt>
                <c:pt idx="539">
                  <c:v>238959.14691665646</c:v>
                </c:pt>
                <c:pt idx="540">
                  <c:v>231688.99982771598</c:v>
                </c:pt>
                <c:pt idx="541">
                  <c:v>223680.47842505484</c:v>
                </c:pt>
                <c:pt idx="542">
                  <c:v>229360.28083828965</c:v>
                </c:pt>
                <c:pt idx="543">
                  <c:v>222714.9120148049</c:v>
                </c:pt>
                <c:pt idx="544">
                  <c:v>225554.81322142229</c:v>
                </c:pt>
                <c:pt idx="545">
                  <c:v>223623.68040092249</c:v>
                </c:pt>
                <c:pt idx="546">
                  <c:v>217738.72900536904</c:v>
                </c:pt>
                <c:pt idx="547">
                  <c:v>217035.87419950229</c:v>
                </c:pt>
                <c:pt idx="548">
                  <c:v>214985.8810157243</c:v>
                </c:pt>
                <c:pt idx="549">
                  <c:v>215395.87965247993</c:v>
                </c:pt>
                <c:pt idx="550">
                  <c:v>214985.8810157243</c:v>
                </c:pt>
                <c:pt idx="551">
                  <c:v>208250.18912616817</c:v>
                </c:pt>
                <c:pt idx="552">
                  <c:v>210358.75354376834</c:v>
                </c:pt>
                <c:pt idx="553">
                  <c:v>201455.92600278973</c:v>
                </c:pt>
                <c:pt idx="554">
                  <c:v>207957.33295705696</c:v>
                </c:pt>
                <c:pt idx="555">
                  <c:v>201748.78217190085</c:v>
                </c:pt>
                <c:pt idx="556">
                  <c:v>201807.35340572312</c:v>
                </c:pt>
                <c:pt idx="557">
                  <c:v>198058.79444110056</c:v>
                </c:pt>
                <c:pt idx="558">
                  <c:v>194251.66424265574</c:v>
                </c:pt>
                <c:pt idx="559">
                  <c:v>199171.64788372285</c:v>
                </c:pt>
                <c:pt idx="560">
                  <c:v>191557.38748683329</c:v>
                </c:pt>
                <c:pt idx="561">
                  <c:v>196008.80125732257</c:v>
                </c:pt>
                <c:pt idx="562">
                  <c:v>201163.06983367863</c:v>
                </c:pt>
                <c:pt idx="563">
                  <c:v>182142.28478617873</c:v>
                </c:pt>
                <c:pt idx="564">
                  <c:v>192435.9559941667</c:v>
                </c:pt>
                <c:pt idx="565">
                  <c:v>188394.54086043302</c:v>
                </c:pt>
                <c:pt idx="566">
                  <c:v>186284.91046017187</c:v>
                </c:pt>
                <c:pt idx="567">
                  <c:v>183503.43322191932</c:v>
                </c:pt>
                <c:pt idx="568">
                  <c:v>173206.04940370785</c:v>
                </c:pt>
                <c:pt idx="569">
                  <c:v>176283.42847581703</c:v>
                </c:pt>
                <c:pt idx="570">
                  <c:v>170247.03106514132</c:v>
                </c:pt>
                <c:pt idx="571">
                  <c:v>170483.75253222667</c:v>
                </c:pt>
                <c:pt idx="572">
                  <c:v>178946.5449805269</c:v>
                </c:pt>
                <c:pt idx="573">
                  <c:v>176401.7892093597</c:v>
                </c:pt>
                <c:pt idx="574">
                  <c:v>170542.93289899797</c:v>
                </c:pt>
                <c:pt idx="575">
                  <c:v>160363.90981432915</c:v>
                </c:pt>
                <c:pt idx="576">
                  <c:v>164033.09255415166</c:v>
                </c:pt>
                <c:pt idx="577">
                  <c:v>177289.49471092963</c:v>
                </c:pt>
                <c:pt idx="578">
                  <c:v>178473.10204635625</c:v>
                </c:pt>
                <c:pt idx="579">
                  <c:v>171134.7365667113</c:v>
                </c:pt>
                <c:pt idx="580">
                  <c:v>168471.62006200143</c:v>
                </c:pt>
                <c:pt idx="581">
                  <c:v>167347.19309334614</c:v>
                </c:pt>
                <c:pt idx="582">
                  <c:v>160245.5490807865</c:v>
                </c:pt>
                <c:pt idx="583">
                  <c:v>167347.19309334614</c:v>
                </c:pt>
                <c:pt idx="584">
                  <c:v>154459.84102352883</c:v>
                </c:pt>
                <c:pt idx="585">
                  <c:v>153274.8196057259</c:v>
                </c:pt>
                <c:pt idx="586">
                  <c:v>153331.24919704985</c:v>
                </c:pt>
                <c:pt idx="587">
                  <c:v>141593.89420166853</c:v>
                </c:pt>
                <c:pt idx="588">
                  <c:v>142666.05643682356</c:v>
                </c:pt>
                <c:pt idx="589">
                  <c:v>140070.29523592192</c:v>
                </c:pt>
                <c:pt idx="590">
                  <c:v>137700.25240031609</c:v>
                </c:pt>
                <c:pt idx="591">
                  <c:v>134427.33610352705</c:v>
                </c:pt>
                <c:pt idx="592">
                  <c:v>130683.43681027833</c:v>
                </c:pt>
                <c:pt idx="593">
                  <c:v>134085.78881523709</c:v>
                </c:pt>
                <c:pt idx="594">
                  <c:v>314441.49564727879</c:v>
                </c:pt>
                <c:pt idx="595">
                  <c:v>309324.52944889659</c:v>
                </c:pt>
                <c:pt idx="596">
                  <c:v>311672.313939919</c:v>
                </c:pt>
                <c:pt idx="597">
                  <c:v>306916.54535554029</c:v>
                </c:pt>
                <c:pt idx="598">
                  <c:v>303786.16603417706</c:v>
                </c:pt>
                <c:pt idx="599">
                  <c:v>299652.47778788005</c:v>
                </c:pt>
                <c:pt idx="600">
                  <c:v>288056.74088932981</c:v>
                </c:pt>
                <c:pt idx="601">
                  <c:v>284987.28112206643</c:v>
                </c:pt>
                <c:pt idx="602">
                  <c:v>290159.88924838061</c:v>
                </c:pt>
                <c:pt idx="603">
                  <c:v>291637.77728447033</c:v>
                </c:pt>
                <c:pt idx="604">
                  <c:v>284589.38818927307</c:v>
                </c:pt>
                <c:pt idx="605">
                  <c:v>286522.01100569812</c:v>
                </c:pt>
                <c:pt idx="606">
                  <c:v>283793.6023236863</c:v>
                </c:pt>
                <c:pt idx="607">
                  <c:v>281065.19364167447</c:v>
                </c:pt>
                <c:pt idx="608">
                  <c:v>279928.35669083614</c:v>
                </c:pt>
                <c:pt idx="609">
                  <c:v>274812.59041206399</c:v>
                </c:pt>
                <c:pt idx="610">
                  <c:v>264240.00676926813</c:v>
                </c:pt>
                <c:pt idx="611">
                  <c:v>263046.32797088788</c:v>
                </c:pt>
                <c:pt idx="612">
                  <c:v>259351.60788066353</c:v>
                </c:pt>
                <c:pt idx="613">
                  <c:v>252704.26875668473</c:v>
                </c:pt>
                <c:pt idx="614">
                  <c:v>271629.44694971677</c:v>
                </c:pt>
                <c:pt idx="615">
                  <c:v>263387.37905613938</c:v>
                </c:pt>
                <c:pt idx="616">
                  <c:v>263330.53720859747</c:v>
                </c:pt>
                <c:pt idx="617">
                  <c:v>254067.42133586115</c:v>
                </c:pt>
                <c:pt idx="618">
                  <c:v>252817.8648049495</c:v>
                </c:pt>
                <c:pt idx="619">
                  <c:v>252193.08653949364</c:v>
                </c:pt>
                <c:pt idx="620">
                  <c:v>252931.46085321417</c:v>
                </c:pt>
                <c:pt idx="621">
                  <c:v>241571.8560267445</c:v>
                </c:pt>
                <c:pt idx="622">
                  <c:v>244809.34340228836</c:v>
                </c:pt>
                <c:pt idx="623">
                  <c:v>241458.25997847979</c:v>
                </c:pt>
                <c:pt idx="624">
                  <c:v>238561.56074773005</c:v>
                </c:pt>
                <c:pt idx="625">
                  <c:v>233336.14252755404</c:v>
                </c:pt>
                <c:pt idx="626">
                  <c:v>234131.31486540692</c:v>
                </c:pt>
                <c:pt idx="627">
                  <c:v>226406.78358340752</c:v>
                </c:pt>
                <c:pt idx="628">
                  <c:v>225611.6112455547</c:v>
                </c:pt>
                <c:pt idx="629">
                  <c:v>224191.66064224599</c:v>
                </c:pt>
                <c:pt idx="630">
                  <c:v>223510.08435265781</c:v>
                </c:pt>
                <c:pt idx="631">
                  <c:v>232029.78797251001</c:v>
                </c:pt>
                <c:pt idx="632">
                  <c:v>220272.59697711395</c:v>
                </c:pt>
                <c:pt idx="633">
                  <c:v>219931.80883231992</c:v>
                </c:pt>
                <c:pt idx="634">
                  <c:v>217270.15913479117</c:v>
                </c:pt>
                <c:pt idx="635">
                  <c:v>210065.89737465716</c:v>
                </c:pt>
                <c:pt idx="636">
                  <c:v>235948.85163764207</c:v>
                </c:pt>
                <c:pt idx="637">
                  <c:v>215278.73718483542</c:v>
                </c:pt>
                <c:pt idx="638">
                  <c:v>299936.68702558969</c:v>
                </c:pt>
                <c:pt idx="639">
                  <c:v>298345.11529441609</c:v>
                </c:pt>
                <c:pt idx="640">
                  <c:v>291865.144674638</c:v>
                </c:pt>
                <c:pt idx="641">
                  <c:v>288284.10827949742</c:v>
                </c:pt>
                <c:pt idx="642">
                  <c:v>284305.17895156355</c:v>
                </c:pt>
                <c:pt idx="643">
                  <c:v>277029.42246619862</c:v>
                </c:pt>
                <c:pt idx="644">
                  <c:v>251170.72210511137</c:v>
                </c:pt>
                <c:pt idx="645">
                  <c:v>246513.2841262588</c:v>
                </c:pt>
                <c:pt idx="646">
                  <c:v>239924.71332690641</c:v>
                </c:pt>
                <c:pt idx="647">
                  <c:v>238277.57062706834</c:v>
                </c:pt>
                <c:pt idx="648">
                  <c:v>232824.96031036286</c:v>
                </c:pt>
                <c:pt idx="649">
                  <c:v>223794.07447331955</c:v>
                </c:pt>
                <c:pt idx="650">
                  <c:v>227940.33023498091</c:v>
                </c:pt>
                <c:pt idx="651">
                  <c:v>218383.01257741352</c:v>
                </c:pt>
                <c:pt idx="652">
                  <c:v>209773.04120554606</c:v>
                </c:pt>
                <c:pt idx="653">
                  <c:v>209421.61380261264</c:v>
                </c:pt>
                <c:pt idx="654">
                  <c:v>210300.18230994607</c:v>
                </c:pt>
                <c:pt idx="655">
                  <c:v>202275.92327630092</c:v>
                </c:pt>
                <c:pt idx="656">
                  <c:v>192963.09709856671</c:v>
                </c:pt>
                <c:pt idx="657">
                  <c:v>192377.38476034449</c:v>
                </c:pt>
                <c:pt idx="658">
                  <c:v>193900.23683972238</c:v>
                </c:pt>
                <c:pt idx="659">
                  <c:v>185811.46752600119</c:v>
                </c:pt>
                <c:pt idx="660">
                  <c:v>178591.46277989889</c:v>
                </c:pt>
                <c:pt idx="661">
                  <c:v>175277.36224070439</c:v>
                </c:pt>
                <c:pt idx="662">
                  <c:v>174567.19783944843</c:v>
                </c:pt>
                <c:pt idx="663">
                  <c:v>344842.29482590221</c:v>
                </c:pt>
                <c:pt idx="664">
                  <c:v>311612.11433758505</c:v>
                </c:pt>
                <c:pt idx="665">
                  <c:v>294423.02781402413</c:v>
                </c:pt>
                <c:pt idx="666">
                  <c:v>388116.79208114592</c:v>
                </c:pt>
                <c:pt idx="667">
                  <c:v>308421.53541388799</c:v>
                </c:pt>
                <c:pt idx="668">
                  <c:v>304448.36165985005</c:v>
                </c:pt>
                <c:pt idx="669">
                  <c:v>296867.22725832637</c:v>
                </c:pt>
                <c:pt idx="670">
                  <c:v>294195.66042385646</c:v>
                </c:pt>
                <c:pt idx="671">
                  <c:v>296810.38541078439</c:v>
                </c:pt>
                <c:pt idx="672">
                  <c:v>293343.03271072771</c:v>
                </c:pt>
                <c:pt idx="673">
                  <c:v>278791.51973999786</c:v>
                </c:pt>
                <c:pt idx="674">
                  <c:v>280724.14255642297</c:v>
                </c:pt>
                <c:pt idx="675">
                  <c:v>278166.2594170369</c:v>
                </c:pt>
                <c:pt idx="676">
                  <c:v>273334.70237597422</c:v>
                </c:pt>
                <c:pt idx="677">
                  <c:v>266684.20621357037</c:v>
                </c:pt>
                <c:pt idx="678">
                  <c:v>263898.95568401663</c:v>
                </c:pt>
                <c:pt idx="679">
                  <c:v>259010.55679541201</c:v>
                </c:pt>
                <c:pt idx="680">
                  <c:v>256112.15020462562</c:v>
                </c:pt>
                <c:pt idx="681">
                  <c:v>254181.01738412579</c:v>
                </c:pt>
                <c:pt idx="682">
                  <c:v>254862.593673714</c:v>
                </c:pt>
                <c:pt idx="683">
                  <c:v>249466.7813811409</c:v>
                </c:pt>
                <c:pt idx="684">
                  <c:v>250034.7616224644</c:v>
                </c:pt>
                <c:pt idx="685">
                  <c:v>246570.08215039116</c:v>
                </c:pt>
                <c:pt idx="686">
                  <c:v>237709.59038574481</c:v>
                </c:pt>
                <c:pt idx="687">
                  <c:v>233279.34450342163</c:v>
                </c:pt>
                <c:pt idx="688">
                  <c:v>232370.5761173041</c:v>
                </c:pt>
                <c:pt idx="689">
                  <c:v>230553.03934506897</c:v>
                </c:pt>
                <c:pt idx="690">
                  <c:v>223112.49818373137</c:v>
                </c:pt>
                <c:pt idx="691">
                  <c:v>219363.82859099639</c:v>
                </c:pt>
                <c:pt idx="692">
                  <c:v>228224.32035564267</c:v>
                </c:pt>
                <c:pt idx="693">
                  <c:v>265149.47632993868</c:v>
                </c:pt>
                <c:pt idx="694">
                  <c:v>263444.2209036813</c:v>
                </c:pt>
                <c:pt idx="695">
                  <c:v>258442.1383199929</c:v>
                </c:pt>
                <c:pt idx="696">
                  <c:v>257930.56169211571</c:v>
                </c:pt>
                <c:pt idx="697">
                  <c:v>255714.56403569921</c:v>
                </c:pt>
                <c:pt idx="698">
                  <c:v>251397.91420164076</c:v>
                </c:pt>
                <c:pt idx="699">
                  <c:v>248614.81101915566</c:v>
                </c:pt>
                <c:pt idx="700">
                  <c:v>248330.82089849396</c:v>
                </c:pt>
                <c:pt idx="701">
                  <c:v>245604.51574014121</c:v>
                </c:pt>
                <c:pt idx="702">
                  <c:v>241515.0580026122</c:v>
                </c:pt>
                <c:pt idx="703">
                  <c:v>231064.22156226006</c:v>
                </c:pt>
                <c:pt idx="704">
                  <c:v>232824.96031036286</c:v>
                </c:pt>
                <c:pt idx="705">
                  <c:v>230837.02946573071</c:v>
                </c:pt>
                <c:pt idx="706">
                  <c:v>220442.99104951098</c:v>
                </c:pt>
                <c:pt idx="707">
                  <c:v>221806.14362868736</c:v>
                </c:pt>
                <c:pt idx="708">
                  <c:v>218265.87010976902</c:v>
                </c:pt>
                <c:pt idx="709">
                  <c:v>214751.59608043541</c:v>
                </c:pt>
                <c:pt idx="710">
                  <c:v>214400.16867750199</c:v>
                </c:pt>
                <c:pt idx="711">
                  <c:v>214985.8810157243</c:v>
                </c:pt>
                <c:pt idx="712">
                  <c:v>256339.342301155</c:v>
                </c:pt>
                <c:pt idx="713">
                  <c:v>257191.61767407085</c:v>
                </c:pt>
                <c:pt idx="714">
                  <c:v>261625.28178234005</c:v>
                </c:pt>
                <c:pt idx="715">
                  <c:v>263728.43014139088</c:v>
                </c:pt>
                <c:pt idx="716">
                  <c:v>257873.71984457379</c:v>
                </c:pt>
                <c:pt idx="717">
                  <c:v>251852.29839469952</c:v>
                </c:pt>
                <c:pt idx="718">
                  <c:v>344360.69800723094</c:v>
                </c:pt>
                <c:pt idx="719">
                  <c:v>308782.73302789137</c:v>
                </c:pt>
                <c:pt idx="720">
                  <c:v>296071.44139273959</c:v>
                </c:pt>
                <c:pt idx="721">
                  <c:v>296014.59954519768</c:v>
                </c:pt>
                <c:pt idx="722">
                  <c:v>298060.90605670656</c:v>
                </c:pt>
                <c:pt idx="723">
                  <c:v>287545.16426145262</c:v>
                </c:pt>
                <c:pt idx="724">
                  <c:v>294366.18596648215</c:v>
                </c:pt>
                <c:pt idx="725">
                  <c:v>298629.32453212567</c:v>
                </c:pt>
                <c:pt idx="726">
                  <c:v>296298.8087829072</c:v>
                </c:pt>
                <c:pt idx="727">
                  <c:v>295161.97183206893</c:v>
                </c:pt>
                <c:pt idx="728">
                  <c:v>293740.92564352113</c:v>
                </c:pt>
                <c:pt idx="729">
                  <c:v>287886.215346704</c:v>
                </c:pt>
                <c:pt idx="730">
                  <c:v>285953.59253027901</c:v>
                </c:pt>
                <c:pt idx="731">
                  <c:v>274244.17193664482</c:v>
                </c:pt>
                <c:pt idx="732">
                  <c:v>269924.19152345945</c:v>
                </c:pt>
                <c:pt idx="733">
                  <c:v>300164.0544157573</c:v>
                </c:pt>
                <c:pt idx="734">
                  <c:v>300164.0544157573</c:v>
                </c:pt>
                <c:pt idx="735">
                  <c:v>292717.77238776663</c:v>
                </c:pt>
                <c:pt idx="736">
                  <c:v>290557.78218117397</c:v>
                </c:pt>
                <c:pt idx="737">
                  <c:v>286465.1691581562</c:v>
                </c:pt>
                <c:pt idx="738">
                  <c:v>277370.47355145012</c:v>
                </c:pt>
                <c:pt idx="739">
                  <c:v>278507.31050228834</c:v>
                </c:pt>
                <c:pt idx="740">
                  <c:v>270151.55891362706</c:v>
                </c:pt>
                <c:pt idx="741">
                  <c:v>267309.4665365314</c:v>
                </c:pt>
                <c:pt idx="742">
                  <c:v>257191.61767407085</c:v>
                </c:pt>
                <c:pt idx="743">
                  <c:v>253556.23911866997</c:v>
                </c:pt>
                <c:pt idx="744">
                  <c:v>244354.95920922959</c:v>
                </c:pt>
                <c:pt idx="745">
                  <c:v>242423.82638872974</c:v>
                </c:pt>
                <c:pt idx="746">
                  <c:v>252136.28851536123</c:v>
                </c:pt>
                <c:pt idx="747">
                  <c:v>260147.39374625034</c:v>
                </c:pt>
                <c:pt idx="748">
                  <c:v>256736.92847008145</c:v>
                </c:pt>
                <c:pt idx="749">
                  <c:v>255998.55415636091</c:v>
                </c:pt>
                <c:pt idx="750">
                  <c:v>241628.65405087685</c:v>
                </c:pt>
                <c:pt idx="751">
                  <c:v>238447.96469946534</c:v>
                </c:pt>
                <c:pt idx="752">
                  <c:v>235835.25558937731</c:v>
                </c:pt>
                <c:pt idx="753">
                  <c:v>234244.9109136716</c:v>
                </c:pt>
                <c:pt idx="754">
                  <c:v>227315.55196952511</c:v>
                </c:pt>
                <c:pt idx="755">
                  <c:v>235096.88127565684</c:v>
                </c:pt>
                <c:pt idx="756">
                  <c:v>219704.61673579045</c:v>
                </c:pt>
                <c:pt idx="757">
                  <c:v>216567.30432892442</c:v>
                </c:pt>
                <c:pt idx="758">
                  <c:v>214868.73854807985</c:v>
                </c:pt>
                <c:pt idx="759">
                  <c:v>211178.75081727954</c:v>
                </c:pt>
                <c:pt idx="760">
                  <c:v>208543.04529527927</c:v>
                </c:pt>
                <c:pt idx="761">
                  <c:v>210358.75354376834</c:v>
                </c:pt>
                <c:pt idx="762">
                  <c:v>213638.74263781303</c:v>
                </c:pt>
                <c:pt idx="763">
                  <c:v>201631.63970425643</c:v>
                </c:pt>
                <c:pt idx="764">
                  <c:v>201573.06847043423</c:v>
                </c:pt>
                <c:pt idx="765">
                  <c:v>238391.16667533305</c:v>
                </c:pt>
                <c:pt idx="766">
                  <c:v>271913.65618742642</c:v>
                </c:pt>
                <c:pt idx="767">
                  <c:v>279189.41267279134</c:v>
                </c:pt>
                <c:pt idx="768">
                  <c:v>296696.70171570062</c:v>
                </c:pt>
                <c:pt idx="769">
                  <c:v>288909.36860245839</c:v>
                </c:pt>
                <c:pt idx="770">
                  <c:v>308963.33183489315</c:v>
                </c:pt>
                <c:pt idx="771">
                  <c:v>272766.28390055511</c:v>
                </c:pt>
                <c:pt idx="772">
                  <c:v>292376.72130251525</c:v>
                </c:pt>
                <c:pt idx="773">
                  <c:v>290444.09848609014</c:v>
                </c:pt>
                <c:pt idx="774">
                  <c:v>304147.36364818056</c:v>
                </c:pt>
                <c:pt idx="775">
                  <c:v>288340.95012703934</c:v>
                </c:pt>
                <c:pt idx="776">
                  <c:v>287090.42948111729</c:v>
                </c:pt>
                <c:pt idx="777">
                  <c:v>282770.44906793186</c:v>
                </c:pt>
                <c:pt idx="778">
                  <c:v>327143.61173973331</c:v>
                </c:pt>
                <c:pt idx="779">
                  <c:v>305230.95649019087</c:v>
                </c:pt>
                <c:pt idx="780">
                  <c:v>299766.16148296394</c:v>
                </c:pt>
                <c:pt idx="781">
                  <c:v>294479.86966156604</c:v>
                </c:pt>
                <c:pt idx="782">
                  <c:v>293286.1908631858</c:v>
                </c:pt>
                <c:pt idx="783">
                  <c:v>291012.5169615093</c:v>
                </c:pt>
                <c:pt idx="784">
                  <c:v>290216.73109592247</c:v>
                </c:pt>
                <c:pt idx="785">
                  <c:v>288795.68490737467</c:v>
                </c:pt>
                <c:pt idx="786">
                  <c:v>289193.57784016803</c:v>
                </c:pt>
                <c:pt idx="787">
                  <c:v>279189.41267279134</c:v>
                </c:pt>
                <c:pt idx="788">
                  <c:v>284930.43927452457</c:v>
                </c:pt>
                <c:pt idx="789">
                  <c:v>285100.96481715032</c:v>
                </c:pt>
                <c:pt idx="790">
                  <c:v>289193.57784016803</c:v>
                </c:pt>
                <c:pt idx="791">
                  <c:v>286578.85285324004</c:v>
                </c:pt>
                <c:pt idx="792">
                  <c:v>286806.2202434077</c:v>
                </c:pt>
                <c:pt idx="793">
                  <c:v>282997.81645809952</c:v>
                </c:pt>
                <c:pt idx="794">
                  <c:v>277086.26431374048</c:v>
                </c:pt>
                <c:pt idx="795">
                  <c:v>249239.58928461155</c:v>
                </c:pt>
                <c:pt idx="796">
                  <c:v>272709.44205301319</c:v>
                </c:pt>
                <c:pt idx="797">
                  <c:v>273618.9116136838</c:v>
                </c:pt>
                <c:pt idx="798">
                  <c:v>259522.13342328928</c:v>
                </c:pt>
                <c:pt idx="799">
                  <c:v>252136.28851536123</c:v>
                </c:pt>
                <c:pt idx="800">
                  <c:v>246740.47622278822</c:v>
                </c:pt>
                <c:pt idx="801">
                  <c:v>249125.99323634678</c:v>
                </c:pt>
                <c:pt idx="802">
                  <c:v>284816.75557944068</c:v>
                </c:pt>
                <c:pt idx="803">
                  <c:v>270947.34477921389</c:v>
                </c:pt>
                <c:pt idx="804">
                  <c:v>286806.2202434077</c:v>
                </c:pt>
                <c:pt idx="805">
                  <c:v>277086.26431374048</c:v>
                </c:pt>
                <c:pt idx="806">
                  <c:v>276347.32029569562</c:v>
                </c:pt>
                <c:pt idx="807">
                  <c:v>270435.76815133664</c:v>
                </c:pt>
                <c:pt idx="808">
                  <c:v>265149.47632993868</c:v>
                </c:pt>
                <c:pt idx="809">
                  <c:v>260943.17961183711</c:v>
                </c:pt>
                <c:pt idx="810">
                  <c:v>255998.55415636091</c:v>
                </c:pt>
                <c:pt idx="811">
                  <c:v>256509.73637355206</c:v>
                </c:pt>
                <c:pt idx="812">
                  <c:v>252079.49049122891</c:v>
                </c:pt>
                <c:pt idx="813">
                  <c:v>239129.54098905352</c:v>
                </c:pt>
                <c:pt idx="814">
                  <c:v>237368.80224095078</c:v>
                </c:pt>
                <c:pt idx="815">
                  <c:v>233563.33462408342</c:v>
                </c:pt>
                <c:pt idx="816">
                  <c:v>235778.45756524501</c:v>
                </c:pt>
                <c:pt idx="817">
                  <c:v>228905.89664523088</c:v>
                </c:pt>
                <c:pt idx="818">
                  <c:v>224532.44878704008</c:v>
                </c:pt>
                <c:pt idx="819">
                  <c:v>217973.0139406579</c:v>
                </c:pt>
                <c:pt idx="820">
                  <c:v>215630.16458776881</c:v>
                </c:pt>
                <c:pt idx="821">
                  <c:v>216098.73445834662</c:v>
                </c:pt>
                <c:pt idx="822">
                  <c:v>211237.32205110177</c:v>
                </c:pt>
                <c:pt idx="823">
                  <c:v>221408.55745976095</c:v>
                </c:pt>
                <c:pt idx="824">
                  <c:v>198820.22048078949</c:v>
                </c:pt>
                <c:pt idx="825">
                  <c:v>199757.36022194516</c:v>
                </c:pt>
                <c:pt idx="826">
                  <c:v>196243.08619261146</c:v>
                </c:pt>
                <c:pt idx="827">
                  <c:v>193900.23683972238</c:v>
                </c:pt>
                <c:pt idx="828">
                  <c:v>192201.67105887778</c:v>
                </c:pt>
                <c:pt idx="829">
                  <c:v>205321.62743505678</c:v>
                </c:pt>
                <c:pt idx="830">
                  <c:v>191615.9587206555</c:v>
                </c:pt>
                <c:pt idx="831">
                  <c:v>190151.67787509982</c:v>
                </c:pt>
                <c:pt idx="832">
                  <c:v>192670.24092945558</c:v>
                </c:pt>
                <c:pt idx="833">
                  <c:v>186403.11891047726</c:v>
                </c:pt>
                <c:pt idx="834">
                  <c:v>200050.21639105625</c:v>
                </c:pt>
                <c:pt idx="835">
                  <c:v>188804.53949718858</c:v>
                </c:pt>
                <c:pt idx="836">
                  <c:v>176460.969576131</c:v>
                </c:pt>
                <c:pt idx="837">
                  <c:v>174448.83710590581</c:v>
                </c:pt>
                <c:pt idx="838">
                  <c:v>197063.08346612265</c:v>
                </c:pt>
                <c:pt idx="839">
                  <c:v>171667.35986765323</c:v>
                </c:pt>
                <c:pt idx="840">
                  <c:v>166400.30722500486</c:v>
                </c:pt>
                <c:pt idx="841">
                  <c:v>154854.84816279646</c:v>
                </c:pt>
                <c:pt idx="842">
                  <c:v>165926.8642908342</c:v>
                </c:pt>
                <c:pt idx="843">
                  <c:v>148139.72679524656</c:v>
                </c:pt>
                <c:pt idx="844">
                  <c:v>143512.50030668281</c:v>
                </c:pt>
                <c:pt idx="845">
                  <c:v>134596.62487749889</c:v>
                </c:pt>
                <c:pt idx="846">
                  <c:v>138208.11872223162</c:v>
                </c:pt>
                <c:pt idx="847">
                  <c:v>129760.76508012002</c:v>
                </c:pt>
                <c:pt idx="848">
                  <c:v>127915.4216198034</c:v>
                </c:pt>
                <c:pt idx="849">
                  <c:v>118515.70336881568</c:v>
                </c:pt>
                <c:pt idx="850">
                  <c:v>116728.02689163396</c:v>
                </c:pt>
                <c:pt idx="851">
                  <c:v>115459.35326266629</c:v>
                </c:pt>
                <c:pt idx="852">
                  <c:v>110393.30558994183</c:v>
                </c:pt>
                <c:pt idx="853">
                  <c:v>105617.59255737583</c:v>
                </c:pt>
                <c:pt idx="854">
                  <c:v>103468.52169272113</c:v>
                </c:pt>
                <c:pt idx="855">
                  <c:v>100722.48669899566</c:v>
                </c:pt>
                <c:pt idx="856">
                  <c:v>101498.54006678765</c:v>
                </c:pt>
                <c:pt idx="857">
                  <c:v>122898.39408706763</c:v>
                </c:pt>
                <c:pt idx="858">
                  <c:v>125608.74229440765</c:v>
                </c:pt>
                <c:pt idx="859">
                  <c:v>116382.02499282459</c:v>
                </c:pt>
                <c:pt idx="860">
                  <c:v>115863.02214461056</c:v>
                </c:pt>
                <c:pt idx="861">
                  <c:v>111766.32308680456</c:v>
                </c:pt>
                <c:pt idx="862">
                  <c:v>102931.25397655745</c:v>
                </c:pt>
                <c:pt idx="863">
                  <c:v>126416.08005829615</c:v>
                </c:pt>
                <c:pt idx="864">
                  <c:v>99349.469202132925</c:v>
                </c:pt>
                <c:pt idx="865">
                  <c:v>96006.470079336737</c:v>
                </c:pt>
                <c:pt idx="866">
                  <c:v>92874.962981032499</c:v>
                </c:pt>
                <c:pt idx="867">
                  <c:v>87729.636577779107</c:v>
                </c:pt>
                <c:pt idx="868">
                  <c:v>130395.10189460388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7-054A-A634-BD1012C56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235344"/>
        <c:axId val="641237056"/>
      </c:lineChart>
      <c:dateAx>
        <c:axId val="641235344"/>
        <c:scaling>
          <c:orientation val="minMax"/>
          <c:max val="46023"/>
          <c:min val="387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7056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6412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Reservoir Capacity</a:t>
                </a:r>
                <a:r>
                  <a:rPr lang="en-GB" sz="1400" b="1" baseline="0"/>
                  <a:t> (acre-ft)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Info!$C$54</c:f>
          <c:strCache>
            <c:ptCount val="1"/>
            <c:pt idx="0">
              <c:v>Mirani Reservoir, Balochistan: Reservoir Water Area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Calcs!$G$4</c:f>
              <c:strCache>
                <c:ptCount val="1"/>
                <c:pt idx="0">
                  <c:v>Area (Acre)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Calcs!$C$5:$C$873</c:f>
              <c:numCache>
                <c:formatCode>m/d/yy</c:formatCode>
                <c:ptCount val="869"/>
                <c:pt idx="0">
                  <c:v>38966</c:v>
                </c:pt>
                <c:pt idx="1">
                  <c:v>38982</c:v>
                </c:pt>
                <c:pt idx="2">
                  <c:v>39014</c:v>
                </c:pt>
                <c:pt idx="3">
                  <c:v>39174</c:v>
                </c:pt>
                <c:pt idx="4">
                  <c:v>39190</c:v>
                </c:pt>
                <c:pt idx="5">
                  <c:v>39206</c:v>
                </c:pt>
                <c:pt idx="6">
                  <c:v>39286</c:v>
                </c:pt>
                <c:pt idx="7">
                  <c:v>39302</c:v>
                </c:pt>
                <c:pt idx="8">
                  <c:v>39334</c:v>
                </c:pt>
                <c:pt idx="9">
                  <c:v>39350</c:v>
                </c:pt>
                <c:pt idx="10">
                  <c:v>39366</c:v>
                </c:pt>
                <c:pt idx="11">
                  <c:v>39478</c:v>
                </c:pt>
                <c:pt idx="12">
                  <c:v>39510</c:v>
                </c:pt>
                <c:pt idx="13">
                  <c:v>39526</c:v>
                </c:pt>
                <c:pt idx="14">
                  <c:v>39542</c:v>
                </c:pt>
                <c:pt idx="15">
                  <c:v>39558</c:v>
                </c:pt>
                <c:pt idx="16">
                  <c:v>39590</c:v>
                </c:pt>
                <c:pt idx="17">
                  <c:v>39606</c:v>
                </c:pt>
                <c:pt idx="18">
                  <c:v>39654</c:v>
                </c:pt>
                <c:pt idx="19">
                  <c:v>39670</c:v>
                </c:pt>
                <c:pt idx="20">
                  <c:v>39686</c:v>
                </c:pt>
                <c:pt idx="21">
                  <c:v>39702</c:v>
                </c:pt>
                <c:pt idx="22">
                  <c:v>39718</c:v>
                </c:pt>
                <c:pt idx="23">
                  <c:v>39734</c:v>
                </c:pt>
                <c:pt idx="24">
                  <c:v>39750</c:v>
                </c:pt>
                <c:pt idx="25">
                  <c:v>39766</c:v>
                </c:pt>
                <c:pt idx="26">
                  <c:v>39782</c:v>
                </c:pt>
                <c:pt idx="27">
                  <c:v>39878</c:v>
                </c:pt>
                <c:pt idx="28">
                  <c:v>39926</c:v>
                </c:pt>
                <c:pt idx="29">
                  <c:v>39942</c:v>
                </c:pt>
                <c:pt idx="30">
                  <c:v>39958</c:v>
                </c:pt>
                <c:pt idx="31">
                  <c:v>39974</c:v>
                </c:pt>
                <c:pt idx="32">
                  <c:v>39990</c:v>
                </c:pt>
                <c:pt idx="33">
                  <c:v>40070</c:v>
                </c:pt>
                <c:pt idx="34">
                  <c:v>40086</c:v>
                </c:pt>
                <c:pt idx="35">
                  <c:v>40102</c:v>
                </c:pt>
                <c:pt idx="36">
                  <c:v>40118</c:v>
                </c:pt>
                <c:pt idx="37">
                  <c:v>40134</c:v>
                </c:pt>
                <c:pt idx="38">
                  <c:v>40246</c:v>
                </c:pt>
                <c:pt idx="39">
                  <c:v>40262</c:v>
                </c:pt>
                <c:pt idx="40">
                  <c:v>40310</c:v>
                </c:pt>
                <c:pt idx="41">
                  <c:v>40326</c:v>
                </c:pt>
                <c:pt idx="42">
                  <c:v>40342</c:v>
                </c:pt>
                <c:pt idx="43">
                  <c:v>40358</c:v>
                </c:pt>
                <c:pt idx="44">
                  <c:v>40470</c:v>
                </c:pt>
                <c:pt idx="45">
                  <c:v>40486</c:v>
                </c:pt>
                <c:pt idx="46">
                  <c:v>40662</c:v>
                </c:pt>
                <c:pt idx="47">
                  <c:v>40678</c:v>
                </c:pt>
                <c:pt idx="48">
                  <c:v>40726</c:v>
                </c:pt>
                <c:pt idx="49">
                  <c:v>40742</c:v>
                </c:pt>
                <c:pt idx="50">
                  <c:v>40758</c:v>
                </c:pt>
                <c:pt idx="51">
                  <c:v>40806</c:v>
                </c:pt>
                <c:pt idx="52">
                  <c:v>40838</c:v>
                </c:pt>
                <c:pt idx="53">
                  <c:v>40854</c:v>
                </c:pt>
                <c:pt idx="54">
                  <c:v>40998</c:v>
                </c:pt>
                <c:pt idx="55">
                  <c:v>41014</c:v>
                </c:pt>
                <c:pt idx="56">
                  <c:v>41030</c:v>
                </c:pt>
                <c:pt idx="57">
                  <c:v>41046</c:v>
                </c:pt>
                <c:pt idx="58">
                  <c:v>41078</c:v>
                </c:pt>
                <c:pt idx="59">
                  <c:v>41094</c:v>
                </c:pt>
                <c:pt idx="60">
                  <c:v>41110</c:v>
                </c:pt>
                <c:pt idx="61">
                  <c:v>41126</c:v>
                </c:pt>
                <c:pt idx="62">
                  <c:v>41174</c:v>
                </c:pt>
                <c:pt idx="63">
                  <c:v>41190</c:v>
                </c:pt>
                <c:pt idx="64">
                  <c:v>41206</c:v>
                </c:pt>
                <c:pt idx="65">
                  <c:v>41350</c:v>
                </c:pt>
                <c:pt idx="66">
                  <c:v>41366</c:v>
                </c:pt>
                <c:pt idx="67">
                  <c:v>41369</c:v>
                </c:pt>
                <c:pt idx="68">
                  <c:v>41374</c:v>
                </c:pt>
                <c:pt idx="69">
                  <c:v>41382</c:v>
                </c:pt>
                <c:pt idx="70">
                  <c:v>41398</c:v>
                </c:pt>
                <c:pt idx="71">
                  <c:v>41414</c:v>
                </c:pt>
                <c:pt idx="72">
                  <c:v>41422</c:v>
                </c:pt>
                <c:pt idx="73">
                  <c:v>41486</c:v>
                </c:pt>
                <c:pt idx="74">
                  <c:v>41502</c:v>
                </c:pt>
                <c:pt idx="75">
                  <c:v>41526</c:v>
                </c:pt>
                <c:pt idx="76">
                  <c:v>41534</c:v>
                </c:pt>
                <c:pt idx="77">
                  <c:v>41558</c:v>
                </c:pt>
                <c:pt idx="78">
                  <c:v>41566</c:v>
                </c:pt>
                <c:pt idx="79">
                  <c:v>41574</c:v>
                </c:pt>
                <c:pt idx="80">
                  <c:v>41582</c:v>
                </c:pt>
                <c:pt idx="81">
                  <c:v>41598</c:v>
                </c:pt>
                <c:pt idx="82">
                  <c:v>41606</c:v>
                </c:pt>
                <c:pt idx="83">
                  <c:v>41614</c:v>
                </c:pt>
                <c:pt idx="84">
                  <c:v>41622</c:v>
                </c:pt>
                <c:pt idx="85">
                  <c:v>41630</c:v>
                </c:pt>
                <c:pt idx="86">
                  <c:v>41638</c:v>
                </c:pt>
                <c:pt idx="87">
                  <c:v>41646</c:v>
                </c:pt>
                <c:pt idx="88">
                  <c:v>41654</c:v>
                </c:pt>
                <c:pt idx="89">
                  <c:v>41662</c:v>
                </c:pt>
                <c:pt idx="90">
                  <c:v>41670</c:v>
                </c:pt>
                <c:pt idx="91">
                  <c:v>41678</c:v>
                </c:pt>
                <c:pt idx="92">
                  <c:v>41686</c:v>
                </c:pt>
                <c:pt idx="93">
                  <c:v>41694</c:v>
                </c:pt>
                <c:pt idx="94">
                  <c:v>41702</c:v>
                </c:pt>
                <c:pt idx="95">
                  <c:v>41718</c:v>
                </c:pt>
                <c:pt idx="96">
                  <c:v>41726</c:v>
                </c:pt>
                <c:pt idx="97">
                  <c:v>41734</c:v>
                </c:pt>
                <c:pt idx="98">
                  <c:v>41742</c:v>
                </c:pt>
                <c:pt idx="99">
                  <c:v>41750</c:v>
                </c:pt>
                <c:pt idx="100">
                  <c:v>41766</c:v>
                </c:pt>
                <c:pt idx="101">
                  <c:v>41782</c:v>
                </c:pt>
                <c:pt idx="102">
                  <c:v>41790</c:v>
                </c:pt>
                <c:pt idx="103">
                  <c:v>41798</c:v>
                </c:pt>
                <c:pt idx="104">
                  <c:v>41806</c:v>
                </c:pt>
                <c:pt idx="105">
                  <c:v>41814</c:v>
                </c:pt>
                <c:pt idx="106">
                  <c:v>41830</c:v>
                </c:pt>
                <c:pt idx="107">
                  <c:v>41838</c:v>
                </c:pt>
                <c:pt idx="108">
                  <c:v>41862</c:v>
                </c:pt>
                <c:pt idx="109">
                  <c:v>41870</c:v>
                </c:pt>
                <c:pt idx="110">
                  <c:v>41878</c:v>
                </c:pt>
                <c:pt idx="111">
                  <c:v>41886</c:v>
                </c:pt>
                <c:pt idx="112">
                  <c:v>41894</c:v>
                </c:pt>
                <c:pt idx="113">
                  <c:v>41902</c:v>
                </c:pt>
                <c:pt idx="114">
                  <c:v>41918</c:v>
                </c:pt>
                <c:pt idx="115">
                  <c:v>41926</c:v>
                </c:pt>
                <c:pt idx="116">
                  <c:v>41934</c:v>
                </c:pt>
                <c:pt idx="117">
                  <c:v>41942</c:v>
                </c:pt>
                <c:pt idx="118">
                  <c:v>41950</c:v>
                </c:pt>
                <c:pt idx="119">
                  <c:v>41958</c:v>
                </c:pt>
                <c:pt idx="120">
                  <c:v>41966</c:v>
                </c:pt>
                <c:pt idx="121">
                  <c:v>41974</c:v>
                </c:pt>
                <c:pt idx="122">
                  <c:v>41982</c:v>
                </c:pt>
                <c:pt idx="123">
                  <c:v>41990</c:v>
                </c:pt>
                <c:pt idx="124">
                  <c:v>41998</c:v>
                </c:pt>
                <c:pt idx="125">
                  <c:v>42022</c:v>
                </c:pt>
                <c:pt idx="126">
                  <c:v>42030</c:v>
                </c:pt>
                <c:pt idx="127">
                  <c:v>42054</c:v>
                </c:pt>
                <c:pt idx="128">
                  <c:v>42062</c:v>
                </c:pt>
                <c:pt idx="129">
                  <c:v>42078</c:v>
                </c:pt>
                <c:pt idx="130">
                  <c:v>42086</c:v>
                </c:pt>
                <c:pt idx="131">
                  <c:v>42094</c:v>
                </c:pt>
                <c:pt idx="132">
                  <c:v>42102</c:v>
                </c:pt>
                <c:pt idx="133">
                  <c:v>42110</c:v>
                </c:pt>
                <c:pt idx="134">
                  <c:v>42126</c:v>
                </c:pt>
                <c:pt idx="135">
                  <c:v>42142</c:v>
                </c:pt>
                <c:pt idx="136">
                  <c:v>42150</c:v>
                </c:pt>
                <c:pt idx="137">
                  <c:v>42158</c:v>
                </c:pt>
                <c:pt idx="138">
                  <c:v>42174</c:v>
                </c:pt>
                <c:pt idx="139">
                  <c:v>42182</c:v>
                </c:pt>
                <c:pt idx="140">
                  <c:v>42190</c:v>
                </c:pt>
                <c:pt idx="141">
                  <c:v>42206</c:v>
                </c:pt>
                <c:pt idx="142">
                  <c:v>42238</c:v>
                </c:pt>
                <c:pt idx="143">
                  <c:v>42246</c:v>
                </c:pt>
                <c:pt idx="144">
                  <c:v>42254</c:v>
                </c:pt>
                <c:pt idx="145">
                  <c:v>42262</c:v>
                </c:pt>
                <c:pt idx="146">
                  <c:v>42270</c:v>
                </c:pt>
                <c:pt idx="147">
                  <c:v>42278</c:v>
                </c:pt>
                <c:pt idx="148">
                  <c:v>42286</c:v>
                </c:pt>
                <c:pt idx="149">
                  <c:v>42294</c:v>
                </c:pt>
                <c:pt idx="150">
                  <c:v>42302</c:v>
                </c:pt>
                <c:pt idx="151">
                  <c:v>42310</c:v>
                </c:pt>
                <c:pt idx="152">
                  <c:v>42326</c:v>
                </c:pt>
                <c:pt idx="153">
                  <c:v>42334</c:v>
                </c:pt>
                <c:pt idx="154">
                  <c:v>42350</c:v>
                </c:pt>
                <c:pt idx="155">
                  <c:v>42358</c:v>
                </c:pt>
                <c:pt idx="156">
                  <c:v>42382</c:v>
                </c:pt>
                <c:pt idx="157">
                  <c:v>42390</c:v>
                </c:pt>
                <c:pt idx="158">
                  <c:v>42406</c:v>
                </c:pt>
                <c:pt idx="159">
                  <c:v>42414</c:v>
                </c:pt>
                <c:pt idx="160">
                  <c:v>42422</c:v>
                </c:pt>
                <c:pt idx="161">
                  <c:v>42440</c:v>
                </c:pt>
                <c:pt idx="162">
                  <c:v>42446</c:v>
                </c:pt>
                <c:pt idx="163">
                  <c:v>42454</c:v>
                </c:pt>
                <c:pt idx="164">
                  <c:v>42470</c:v>
                </c:pt>
                <c:pt idx="165">
                  <c:v>42470</c:v>
                </c:pt>
                <c:pt idx="166">
                  <c:v>42478</c:v>
                </c:pt>
                <c:pt idx="167">
                  <c:v>42486</c:v>
                </c:pt>
                <c:pt idx="168">
                  <c:v>42494</c:v>
                </c:pt>
                <c:pt idx="169">
                  <c:v>42502</c:v>
                </c:pt>
                <c:pt idx="170">
                  <c:v>42510</c:v>
                </c:pt>
                <c:pt idx="171">
                  <c:v>42510</c:v>
                </c:pt>
                <c:pt idx="172">
                  <c:v>42518</c:v>
                </c:pt>
                <c:pt idx="173">
                  <c:v>42526</c:v>
                </c:pt>
                <c:pt idx="174">
                  <c:v>42530</c:v>
                </c:pt>
                <c:pt idx="175">
                  <c:v>42534</c:v>
                </c:pt>
                <c:pt idx="176">
                  <c:v>42542</c:v>
                </c:pt>
                <c:pt idx="177">
                  <c:v>42558</c:v>
                </c:pt>
                <c:pt idx="178">
                  <c:v>42566</c:v>
                </c:pt>
                <c:pt idx="179">
                  <c:v>42582</c:v>
                </c:pt>
                <c:pt idx="180">
                  <c:v>42598</c:v>
                </c:pt>
                <c:pt idx="181">
                  <c:v>42606</c:v>
                </c:pt>
                <c:pt idx="182">
                  <c:v>42610</c:v>
                </c:pt>
                <c:pt idx="183">
                  <c:v>42614</c:v>
                </c:pt>
                <c:pt idx="184">
                  <c:v>42622</c:v>
                </c:pt>
                <c:pt idx="185">
                  <c:v>42638</c:v>
                </c:pt>
                <c:pt idx="186">
                  <c:v>42650</c:v>
                </c:pt>
                <c:pt idx="187">
                  <c:v>42654</c:v>
                </c:pt>
                <c:pt idx="188">
                  <c:v>42662</c:v>
                </c:pt>
                <c:pt idx="189">
                  <c:v>42670</c:v>
                </c:pt>
                <c:pt idx="190">
                  <c:v>42670</c:v>
                </c:pt>
                <c:pt idx="191">
                  <c:v>42678</c:v>
                </c:pt>
                <c:pt idx="192">
                  <c:v>42686</c:v>
                </c:pt>
                <c:pt idx="193">
                  <c:v>42690</c:v>
                </c:pt>
                <c:pt idx="194">
                  <c:v>42694</c:v>
                </c:pt>
                <c:pt idx="195">
                  <c:v>42700</c:v>
                </c:pt>
                <c:pt idx="196">
                  <c:v>42702</c:v>
                </c:pt>
                <c:pt idx="197">
                  <c:v>42710</c:v>
                </c:pt>
                <c:pt idx="198">
                  <c:v>42710</c:v>
                </c:pt>
                <c:pt idx="199">
                  <c:v>42718</c:v>
                </c:pt>
                <c:pt idx="200">
                  <c:v>42726</c:v>
                </c:pt>
                <c:pt idx="201">
                  <c:v>42730</c:v>
                </c:pt>
                <c:pt idx="202">
                  <c:v>42734</c:v>
                </c:pt>
                <c:pt idx="203">
                  <c:v>42740</c:v>
                </c:pt>
                <c:pt idx="204">
                  <c:v>42742</c:v>
                </c:pt>
                <c:pt idx="205">
                  <c:v>42750</c:v>
                </c:pt>
                <c:pt idx="206">
                  <c:v>42750</c:v>
                </c:pt>
                <c:pt idx="207">
                  <c:v>42766</c:v>
                </c:pt>
                <c:pt idx="208">
                  <c:v>42770</c:v>
                </c:pt>
                <c:pt idx="209">
                  <c:v>42782</c:v>
                </c:pt>
                <c:pt idx="210">
                  <c:v>42790</c:v>
                </c:pt>
                <c:pt idx="211">
                  <c:v>42798</c:v>
                </c:pt>
                <c:pt idx="212">
                  <c:v>42800</c:v>
                </c:pt>
                <c:pt idx="213">
                  <c:v>42814</c:v>
                </c:pt>
                <c:pt idx="214">
                  <c:v>42820</c:v>
                </c:pt>
                <c:pt idx="215">
                  <c:v>42822</c:v>
                </c:pt>
                <c:pt idx="216">
                  <c:v>42830</c:v>
                </c:pt>
                <c:pt idx="217">
                  <c:v>42838</c:v>
                </c:pt>
                <c:pt idx="218">
                  <c:v>42840</c:v>
                </c:pt>
                <c:pt idx="219">
                  <c:v>42846</c:v>
                </c:pt>
                <c:pt idx="220">
                  <c:v>42854</c:v>
                </c:pt>
                <c:pt idx="221">
                  <c:v>42860</c:v>
                </c:pt>
                <c:pt idx="222">
                  <c:v>42862</c:v>
                </c:pt>
                <c:pt idx="223">
                  <c:v>42870</c:v>
                </c:pt>
                <c:pt idx="224">
                  <c:v>42878</c:v>
                </c:pt>
                <c:pt idx="225">
                  <c:v>42880</c:v>
                </c:pt>
                <c:pt idx="226">
                  <c:v>42886</c:v>
                </c:pt>
                <c:pt idx="227">
                  <c:v>42894</c:v>
                </c:pt>
                <c:pt idx="228">
                  <c:v>42900</c:v>
                </c:pt>
                <c:pt idx="229">
                  <c:v>42910</c:v>
                </c:pt>
                <c:pt idx="230">
                  <c:v>42918</c:v>
                </c:pt>
                <c:pt idx="231">
                  <c:v>42920</c:v>
                </c:pt>
                <c:pt idx="232">
                  <c:v>42934</c:v>
                </c:pt>
                <c:pt idx="233">
                  <c:v>42942</c:v>
                </c:pt>
                <c:pt idx="234">
                  <c:v>42950</c:v>
                </c:pt>
                <c:pt idx="235">
                  <c:v>42960</c:v>
                </c:pt>
                <c:pt idx="236">
                  <c:v>42966</c:v>
                </c:pt>
                <c:pt idx="237">
                  <c:v>42974</c:v>
                </c:pt>
                <c:pt idx="238">
                  <c:v>42975</c:v>
                </c:pt>
                <c:pt idx="239">
                  <c:v>42982</c:v>
                </c:pt>
                <c:pt idx="240">
                  <c:v>42990</c:v>
                </c:pt>
                <c:pt idx="241">
                  <c:v>42995</c:v>
                </c:pt>
                <c:pt idx="242">
                  <c:v>42998</c:v>
                </c:pt>
                <c:pt idx="243">
                  <c:v>43000</c:v>
                </c:pt>
                <c:pt idx="244">
                  <c:v>43006</c:v>
                </c:pt>
                <c:pt idx="245">
                  <c:v>43014</c:v>
                </c:pt>
                <c:pt idx="246">
                  <c:v>43015</c:v>
                </c:pt>
                <c:pt idx="247">
                  <c:v>43020</c:v>
                </c:pt>
                <c:pt idx="248">
                  <c:v>43022</c:v>
                </c:pt>
                <c:pt idx="249">
                  <c:v>43030</c:v>
                </c:pt>
                <c:pt idx="250">
                  <c:v>43035</c:v>
                </c:pt>
                <c:pt idx="251">
                  <c:v>43038</c:v>
                </c:pt>
                <c:pt idx="252">
                  <c:v>43040</c:v>
                </c:pt>
                <c:pt idx="253">
                  <c:v>43045</c:v>
                </c:pt>
                <c:pt idx="254">
                  <c:v>43046</c:v>
                </c:pt>
                <c:pt idx="255">
                  <c:v>43054</c:v>
                </c:pt>
                <c:pt idx="256">
                  <c:v>43055</c:v>
                </c:pt>
                <c:pt idx="257">
                  <c:v>43060</c:v>
                </c:pt>
                <c:pt idx="258">
                  <c:v>43062</c:v>
                </c:pt>
                <c:pt idx="259">
                  <c:v>43065</c:v>
                </c:pt>
                <c:pt idx="260">
                  <c:v>43070</c:v>
                </c:pt>
                <c:pt idx="261">
                  <c:v>43075</c:v>
                </c:pt>
                <c:pt idx="262">
                  <c:v>43078</c:v>
                </c:pt>
                <c:pt idx="263">
                  <c:v>43080</c:v>
                </c:pt>
                <c:pt idx="264">
                  <c:v>43085</c:v>
                </c:pt>
                <c:pt idx="265">
                  <c:v>43086</c:v>
                </c:pt>
                <c:pt idx="266">
                  <c:v>43095</c:v>
                </c:pt>
                <c:pt idx="267">
                  <c:v>43102</c:v>
                </c:pt>
                <c:pt idx="268">
                  <c:v>43105</c:v>
                </c:pt>
                <c:pt idx="269">
                  <c:v>43110</c:v>
                </c:pt>
                <c:pt idx="270">
                  <c:v>43115</c:v>
                </c:pt>
                <c:pt idx="271">
                  <c:v>43118</c:v>
                </c:pt>
                <c:pt idx="272">
                  <c:v>43120</c:v>
                </c:pt>
                <c:pt idx="273">
                  <c:v>43125</c:v>
                </c:pt>
                <c:pt idx="274">
                  <c:v>43126</c:v>
                </c:pt>
                <c:pt idx="275">
                  <c:v>43134</c:v>
                </c:pt>
                <c:pt idx="276">
                  <c:v>43135</c:v>
                </c:pt>
                <c:pt idx="277">
                  <c:v>43140</c:v>
                </c:pt>
                <c:pt idx="278">
                  <c:v>43150</c:v>
                </c:pt>
                <c:pt idx="279">
                  <c:v>43150</c:v>
                </c:pt>
                <c:pt idx="280">
                  <c:v>43158</c:v>
                </c:pt>
                <c:pt idx="281">
                  <c:v>43160</c:v>
                </c:pt>
                <c:pt idx="282">
                  <c:v>43165</c:v>
                </c:pt>
                <c:pt idx="283">
                  <c:v>43166</c:v>
                </c:pt>
                <c:pt idx="284">
                  <c:v>43170</c:v>
                </c:pt>
                <c:pt idx="285">
                  <c:v>43174</c:v>
                </c:pt>
                <c:pt idx="286">
                  <c:v>43175</c:v>
                </c:pt>
                <c:pt idx="287">
                  <c:v>43180</c:v>
                </c:pt>
                <c:pt idx="288">
                  <c:v>43182</c:v>
                </c:pt>
                <c:pt idx="289">
                  <c:v>43185</c:v>
                </c:pt>
                <c:pt idx="290">
                  <c:v>43190</c:v>
                </c:pt>
                <c:pt idx="291">
                  <c:v>43190</c:v>
                </c:pt>
                <c:pt idx="292">
                  <c:v>43195</c:v>
                </c:pt>
                <c:pt idx="293">
                  <c:v>43198</c:v>
                </c:pt>
                <c:pt idx="294">
                  <c:v>43205</c:v>
                </c:pt>
                <c:pt idx="295">
                  <c:v>43206</c:v>
                </c:pt>
                <c:pt idx="296">
                  <c:v>43210</c:v>
                </c:pt>
                <c:pt idx="297">
                  <c:v>43214</c:v>
                </c:pt>
                <c:pt idx="298">
                  <c:v>43215</c:v>
                </c:pt>
                <c:pt idx="299">
                  <c:v>43220</c:v>
                </c:pt>
                <c:pt idx="300">
                  <c:v>43222</c:v>
                </c:pt>
                <c:pt idx="301">
                  <c:v>43230</c:v>
                </c:pt>
                <c:pt idx="302">
                  <c:v>43235</c:v>
                </c:pt>
                <c:pt idx="303">
                  <c:v>43270</c:v>
                </c:pt>
                <c:pt idx="304">
                  <c:v>43278</c:v>
                </c:pt>
                <c:pt idx="305">
                  <c:v>43294</c:v>
                </c:pt>
                <c:pt idx="306">
                  <c:v>43302</c:v>
                </c:pt>
                <c:pt idx="307">
                  <c:v>43310</c:v>
                </c:pt>
                <c:pt idx="308">
                  <c:v>43310</c:v>
                </c:pt>
                <c:pt idx="309">
                  <c:v>43330</c:v>
                </c:pt>
                <c:pt idx="310">
                  <c:v>43334</c:v>
                </c:pt>
                <c:pt idx="311">
                  <c:v>43345</c:v>
                </c:pt>
                <c:pt idx="312">
                  <c:v>43350</c:v>
                </c:pt>
                <c:pt idx="313">
                  <c:v>43350</c:v>
                </c:pt>
                <c:pt idx="314">
                  <c:v>43358</c:v>
                </c:pt>
                <c:pt idx="315">
                  <c:v>43360</c:v>
                </c:pt>
                <c:pt idx="316">
                  <c:v>43365</c:v>
                </c:pt>
                <c:pt idx="317">
                  <c:v>43366</c:v>
                </c:pt>
                <c:pt idx="318">
                  <c:v>43370</c:v>
                </c:pt>
                <c:pt idx="319">
                  <c:v>43374</c:v>
                </c:pt>
                <c:pt idx="320">
                  <c:v>43375</c:v>
                </c:pt>
                <c:pt idx="321">
                  <c:v>43380</c:v>
                </c:pt>
                <c:pt idx="322">
                  <c:v>43382</c:v>
                </c:pt>
                <c:pt idx="323">
                  <c:v>43385</c:v>
                </c:pt>
                <c:pt idx="324">
                  <c:v>43390</c:v>
                </c:pt>
                <c:pt idx="325">
                  <c:v>43390</c:v>
                </c:pt>
                <c:pt idx="326">
                  <c:v>43395</c:v>
                </c:pt>
                <c:pt idx="327">
                  <c:v>43398</c:v>
                </c:pt>
                <c:pt idx="328">
                  <c:v>43400</c:v>
                </c:pt>
                <c:pt idx="329">
                  <c:v>43405</c:v>
                </c:pt>
                <c:pt idx="330">
                  <c:v>43406</c:v>
                </c:pt>
                <c:pt idx="331">
                  <c:v>43410</c:v>
                </c:pt>
                <c:pt idx="332">
                  <c:v>43414</c:v>
                </c:pt>
                <c:pt idx="333">
                  <c:v>43415</c:v>
                </c:pt>
                <c:pt idx="334">
                  <c:v>43420</c:v>
                </c:pt>
                <c:pt idx="335">
                  <c:v>43425</c:v>
                </c:pt>
                <c:pt idx="336">
                  <c:v>43430</c:v>
                </c:pt>
                <c:pt idx="337">
                  <c:v>43430</c:v>
                </c:pt>
                <c:pt idx="338">
                  <c:v>43435</c:v>
                </c:pt>
                <c:pt idx="339">
                  <c:v>43438</c:v>
                </c:pt>
                <c:pt idx="340">
                  <c:v>43440</c:v>
                </c:pt>
                <c:pt idx="341">
                  <c:v>43445</c:v>
                </c:pt>
                <c:pt idx="342">
                  <c:v>43450</c:v>
                </c:pt>
                <c:pt idx="343">
                  <c:v>43454</c:v>
                </c:pt>
                <c:pt idx="344">
                  <c:v>43455</c:v>
                </c:pt>
                <c:pt idx="345">
                  <c:v>43460</c:v>
                </c:pt>
                <c:pt idx="346">
                  <c:v>43462</c:v>
                </c:pt>
                <c:pt idx="347">
                  <c:v>43465</c:v>
                </c:pt>
                <c:pt idx="348">
                  <c:v>43470</c:v>
                </c:pt>
                <c:pt idx="349">
                  <c:v>43470</c:v>
                </c:pt>
                <c:pt idx="350">
                  <c:v>43478</c:v>
                </c:pt>
                <c:pt idx="351">
                  <c:v>43480</c:v>
                </c:pt>
                <c:pt idx="352">
                  <c:v>43485</c:v>
                </c:pt>
                <c:pt idx="353">
                  <c:v>43486</c:v>
                </c:pt>
                <c:pt idx="354">
                  <c:v>43490</c:v>
                </c:pt>
                <c:pt idx="355">
                  <c:v>43493</c:v>
                </c:pt>
                <c:pt idx="356">
                  <c:v>43502</c:v>
                </c:pt>
                <c:pt idx="357">
                  <c:v>43505</c:v>
                </c:pt>
                <c:pt idx="358">
                  <c:v>43510</c:v>
                </c:pt>
                <c:pt idx="359">
                  <c:v>43510</c:v>
                </c:pt>
                <c:pt idx="360">
                  <c:v>43520</c:v>
                </c:pt>
                <c:pt idx="361">
                  <c:v>43526</c:v>
                </c:pt>
                <c:pt idx="362">
                  <c:v>43530</c:v>
                </c:pt>
                <c:pt idx="363">
                  <c:v>43534</c:v>
                </c:pt>
                <c:pt idx="364">
                  <c:v>43535</c:v>
                </c:pt>
                <c:pt idx="365">
                  <c:v>43545</c:v>
                </c:pt>
                <c:pt idx="366">
                  <c:v>43550</c:v>
                </c:pt>
                <c:pt idx="367">
                  <c:v>43555</c:v>
                </c:pt>
                <c:pt idx="368">
                  <c:v>43558</c:v>
                </c:pt>
                <c:pt idx="369">
                  <c:v>43560</c:v>
                </c:pt>
                <c:pt idx="370">
                  <c:v>43566</c:v>
                </c:pt>
                <c:pt idx="371">
                  <c:v>43570</c:v>
                </c:pt>
                <c:pt idx="372">
                  <c:v>43574</c:v>
                </c:pt>
                <c:pt idx="373">
                  <c:v>43575</c:v>
                </c:pt>
                <c:pt idx="374">
                  <c:v>43580</c:v>
                </c:pt>
                <c:pt idx="375">
                  <c:v>43582</c:v>
                </c:pt>
                <c:pt idx="376">
                  <c:v>43585</c:v>
                </c:pt>
                <c:pt idx="377">
                  <c:v>43590</c:v>
                </c:pt>
                <c:pt idx="378">
                  <c:v>43590</c:v>
                </c:pt>
                <c:pt idx="379">
                  <c:v>43595</c:v>
                </c:pt>
                <c:pt idx="380">
                  <c:v>43598</c:v>
                </c:pt>
                <c:pt idx="381">
                  <c:v>43600</c:v>
                </c:pt>
                <c:pt idx="382">
                  <c:v>43606</c:v>
                </c:pt>
                <c:pt idx="383">
                  <c:v>43610</c:v>
                </c:pt>
                <c:pt idx="384">
                  <c:v>43614</c:v>
                </c:pt>
                <c:pt idx="385">
                  <c:v>43615</c:v>
                </c:pt>
                <c:pt idx="386">
                  <c:v>43620</c:v>
                </c:pt>
                <c:pt idx="387">
                  <c:v>43622</c:v>
                </c:pt>
                <c:pt idx="388">
                  <c:v>43625</c:v>
                </c:pt>
                <c:pt idx="389">
                  <c:v>43630</c:v>
                </c:pt>
                <c:pt idx="390">
                  <c:v>43630</c:v>
                </c:pt>
                <c:pt idx="391">
                  <c:v>43635</c:v>
                </c:pt>
                <c:pt idx="392">
                  <c:v>43640</c:v>
                </c:pt>
                <c:pt idx="393">
                  <c:v>43645</c:v>
                </c:pt>
                <c:pt idx="394">
                  <c:v>43646</c:v>
                </c:pt>
                <c:pt idx="395">
                  <c:v>43650</c:v>
                </c:pt>
                <c:pt idx="396">
                  <c:v>43654</c:v>
                </c:pt>
                <c:pt idx="397">
                  <c:v>43655</c:v>
                </c:pt>
                <c:pt idx="398">
                  <c:v>43665</c:v>
                </c:pt>
                <c:pt idx="399">
                  <c:v>43678</c:v>
                </c:pt>
                <c:pt idx="400">
                  <c:v>43680</c:v>
                </c:pt>
                <c:pt idx="401">
                  <c:v>43686</c:v>
                </c:pt>
                <c:pt idx="402">
                  <c:v>43690</c:v>
                </c:pt>
                <c:pt idx="403">
                  <c:v>43694</c:v>
                </c:pt>
                <c:pt idx="404">
                  <c:v>43695</c:v>
                </c:pt>
                <c:pt idx="405">
                  <c:v>43700</c:v>
                </c:pt>
                <c:pt idx="406">
                  <c:v>43702</c:v>
                </c:pt>
                <c:pt idx="407">
                  <c:v>43705</c:v>
                </c:pt>
                <c:pt idx="408">
                  <c:v>43710</c:v>
                </c:pt>
                <c:pt idx="409">
                  <c:v>43715</c:v>
                </c:pt>
                <c:pt idx="410">
                  <c:v>43718</c:v>
                </c:pt>
                <c:pt idx="411">
                  <c:v>43720</c:v>
                </c:pt>
                <c:pt idx="412">
                  <c:v>43725</c:v>
                </c:pt>
                <c:pt idx="413">
                  <c:v>43726</c:v>
                </c:pt>
                <c:pt idx="414">
                  <c:v>43730</c:v>
                </c:pt>
                <c:pt idx="415">
                  <c:v>43734</c:v>
                </c:pt>
                <c:pt idx="416">
                  <c:v>43735</c:v>
                </c:pt>
                <c:pt idx="417">
                  <c:v>43740</c:v>
                </c:pt>
                <c:pt idx="418">
                  <c:v>43742</c:v>
                </c:pt>
                <c:pt idx="419">
                  <c:v>43750</c:v>
                </c:pt>
                <c:pt idx="420">
                  <c:v>43750</c:v>
                </c:pt>
                <c:pt idx="421">
                  <c:v>43755</c:v>
                </c:pt>
                <c:pt idx="422">
                  <c:v>43758</c:v>
                </c:pt>
                <c:pt idx="423">
                  <c:v>43760</c:v>
                </c:pt>
                <c:pt idx="424">
                  <c:v>43765</c:v>
                </c:pt>
                <c:pt idx="425">
                  <c:v>43766</c:v>
                </c:pt>
                <c:pt idx="426">
                  <c:v>43770</c:v>
                </c:pt>
                <c:pt idx="427">
                  <c:v>43774</c:v>
                </c:pt>
                <c:pt idx="428">
                  <c:v>43775</c:v>
                </c:pt>
                <c:pt idx="429">
                  <c:v>43780</c:v>
                </c:pt>
                <c:pt idx="430">
                  <c:v>43782</c:v>
                </c:pt>
                <c:pt idx="431">
                  <c:v>43785</c:v>
                </c:pt>
                <c:pt idx="432">
                  <c:v>43798</c:v>
                </c:pt>
                <c:pt idx="433">
                  <c:v>43800</c:v>
                </c:pt>
                <c:pt idx="434">
                  <c:v>43805</c:v>
                </c:pt>
                <c:pt idx="435">
                  <c:v>43814</c:v>
                </c:pt>
                <c:pt idx="436">
                  <c:v>43815</c:v>
                </c:pt>
                <c:pt idx="437">
                  <c:v>43820</c:v>
                </c:pt>
                <c:pt idx="438">
                  <c:v>43822</c:v>
                </c:pt>
                <c:pt idx="439">
                  <c:v>43825</c:v>
                </c:pt>
                <c:pt idx="440">
                  <c:v>43830</c:v>
                </c:pt>
                <c:pt idx="441">
                  <c:v>43830</c:v>
                </c:pt>
                <c:pt idx="442">
                  <c:v>43838</c:v>
                </c:pt>
                <c:pt idx="443">
                  <c:v>43846</c:v>
                </c:pt>
                <c:pt idx="444">
                  <c:v>43850</c:v>
                </c:pt>
                <c:pt idx="445">
                  <c:v>43855</c:v>
                </c:pt>
                <c:pt idx="446">
                  <c:v>43860</c:v>
                </c:pt>
                <c:pt idx="447">
                  <c:v>43862</c:v>
                </c:pt>
                <c:pt idx="448">
                  <c:v>43865</c:v>
                </c:pt>
                <c:pt idx="449">
                  <c:v>43870</c:v>
                </c:pt>
                <c:pt idx="450">
                  <c:v>43870</c:v>
                </c:pt>
                <c:pt idx="451">
                  <c:v>43875</c:v>
                </c:pt>
                <c:pt idx="452">
                  <c:v>43878</c:v>
                </c:pt>
                <c:pt idx="453">
                  <c:v>43880</c:v>
                </c:pt>
                <c:pt idx="454">
                  <c:v>43885</c:v>
                </c:pt>
                <c:pt idx="455">
                  <c:v>43890</c:v>
                </c:pt>
                <c:pt idx="456">
                  <c:v>43894</c:v>
                </c:pt>
                <c:pt idx="457">
                  <c:v>43895</c:v>
                </c:pt>
                <c:pt idx="458">
                  <c:v>43900</c:v>
                </c:pt>
                <c:pt idx="459">
                  <c:v>43902</c:v>
                </c:pt>
                <c:pt idx="460">
                  <c:v>43910</c:v>
                </c:pt>
                <c:pt idx="461">
                  <c:v>43910</c:v>
                </c:pt>
                <c:pt idx="462">
                  <c:v>43915</c:v>
                </c:pt>
                <c:pt idx="463">
                  <c:v>43918</c:v>
                </c:pt>
                <c:pt idx="464">
                  <c:v>43920</c:v>
                </c:pt>
                <c:pt idx="465">
                  <c:v>43925</c:v>
                </c:pt>
                <c:pt idx="466">
                  <c:v>43926</c:v>
                </c:pt>
                <c:pt idx="467">
                  <c:v>43930</c:v>
                </c:pt>
                <c:pt idx="468">
                  <c:v>43934</c:v>
                </c:pt>
                <c:pt idx="469">
                  <c:v>43935</c:v>
                </c:pt>
                <c:pt idx="470">
                  <c:v>43940</c:v>
                </c:pt>
                <c:pt idx="471">
                  <c:v>43942</c:v>
                </c:pt>
                <c:pt idx="472">
                  <c:v>43945</c:v>
                </c:pt>
                <c:pt idx="473">
                  <c:v>43950</c:v>
                </c:pt>
                <c:pt idx="474">
                  <c:v>43950</c:v>
                </c:pt>
                <c:pt idx="475">
                  <c:v>43955</c:v>
                </c:pt>
                <c:pt idx="476">
                  <c:v>43958</c:v>
                </c:pt>
                <c:pt idx="477">
                  <c:v>43960</c:v>
                </c:pt>
                <c:pt idx="478">
                  <c:v>43965</c:v>
                </c:pt>
                <c:pt idx="479">
                  <c:v>43966</c:v>
                </c:pt>
                <c:pt idx="480">
                  <c:v>43974</c:v>
                </c:pt>
                <c:pt idx="481">
                  <c:v>43975</c:v>
                </c:pt>
                <c:pt idx="482">
                  <c:v>43980</c:v>
                </c:pt>
                <c:pt idx="483">
                  <c:v>43982</c:v>
                </c:pt>
                <c:pt idx="484">
                  <c:v>43985</c:v>
                </c:pt>
                <c:pt idx="485">
                  <c:v>43995</c:v>
                </c:pt>
                <c:pt idx="486">
                  <c:v>43998</c:v>
                </c:pt>
                <c:pt idx="487">
                  <c:v>44000</c:v>
                </c:pt>
                <c:pt idx="488">
                  <c:v>44005</c:v>
                </c:pt>
                <c:pt idx="489">
                  <c:v>44006</c:v>
                </c:pt>
                <c:pt idx="490">
                  <c:v>44010</c:v>
                </c:pt>
                <c:pt idx="491">
                  <c:v>44014</c:v>
                </c:pt>
                <c:pt idx="492">
                  <c:v>44015</c:v>
                </c:pt>
                <c:pt idx="493">
                  <c:v>44022</c:v>
                </c:pt>
                <c:pt idx="494">
                  <c:v>44025</c:v>
                </c:pt>
                <c:pt idx="495">
                  <c:v>44030</c:v>
                </c:pt>
                <c:pt idx="496">
                  <c:v>44030</c:v>
                </c:pt>
                <c:pt idx="497">
                  <c:v>44038</c:v>
                </c:pt>
                <c:pt idx="498">
                  <c:v>44040</c:v>
                </c:pt>
                <c:pt idx="499">
                  <c:v>44045</c:v>
                </c:pt>
                <c:pt idx="500">
                  <c:v>44046</c:v>
                </c:pt>
                <c:pt idx="501">
                  <c:v>44060</c:v>
                </c:pt>
                <c:pt idx="502">
                  <c:v>44065</c:v>
                </c:pt>
                <c:pt idx="503">
                  <c:v>44075</c:v>
                </c:pt>
                <c:pt idx="504">
                  <c:v>44078</c:v>
                </c:pt>
                <c:pt idx="505">
                  <c:v>44080</c:v>
                </c:pt>
                <c:pt idx="506">
                  <c:v>44085</c:v>
                </c:pt>
                <c:pt idx="507">
                  <c:v>44086</c:v>
                </c:pt>
                <c:pt idx="508">
                  <c:v>44090</c:v>
                </c:pt>
                <c:pt idx="509">
                  <c:v>44094</c:v>
                </c:pt>
                <c:pt idx="510">
                  <c:v>44095</c:v>
                </c:pt>
                <c:pt idx="511">
                  <c:v>44100</c:v>
                </c:pt>
                <c:pt idx="512">
                  <c:v>44102</c:v>
                </c:pt>
                <c:pt idx="513">
                  <c:v>44105</c:v>
                </c:pt>
                <c:pt idx="514">
                  <c:v>44110</c:v>
                </c:pt>
                <c:pt idx="515">
                  <c:v>44115</c:v>
                </c:pt>
                <c:pt idx="516">
                  <c:v>44118</c:v>
                </c:pt>
                <c:pt idx="517">
                  <c:v>44120</c:v>
                </c:pt>
                <c:pt idx="518">
                  <c:v>44125</c:v>
                </c:pt>
                <c:pt idx="519">
                  <c:v>44126</c:v>
                </c:pt>
                <c:pt idx="520">
                  <c:v>44130</c:v>
                </c:pt>
                <c:pt idx="521">
                  <c:v>44134</c:v>
                </c:pt>
                <c:pt idx="522">
                  <c:v>44135</c:v>
                </c:pt>
                <c:pt idx="523">
                  <c:v>44140</c:v>
                </c:pt>
                <c:pt idx="524">
                  <c:v>44145</c:v>
                </c:pt>
                <c:pt idx="525">
                  <c:v>44150</c:v>
                </c:pt>
                <c:pt idx="526">
                  <c:v>44150</c:v>
                </c:pt>
                <c:pt idx="527">
                  <c:v>44155</c:v>
                </c:pt>
                <c:pt idx="528">
                  <c:v>44158</c:v>
                </c:pt>
                <c:pt idx="529">
                  <c:v>44160</c:v>
                </c:pt>
                <c:pt idx="530">
                  <c:v>44165</c:v>
                </c:pt>
                <c:pt idx="531">
                  <c:v>44166</c:v>
                </c:pt>
                <c:pt idx="532">
                  <c:v>44170</c:v>
                </c:pt>
                <c:pt idx="533">
                  <c:v>44174</c:v>
                </c:pt>
                <c:pt idx="534">
                  <c:v>44175</c:v>
                </c:pt>
                <c:pt idx="535">
                  <c:v>44180</c:v>
                </c:pt>
                <c:pt idx="536">
                  <c:v>44182</c:v>
                </c:pt>
                <c:pt idx="537">
                  <c:v>44185</c:v>
                </c:pt>
                <c:pt idx="538">
                  <c:v>44190</c:v>
                </c:pt>
                <c:pt idx="539">
                  <c:v>44198</c:v>
                </c:pt>
                <c:pt idx="540">
                  <c:v>44200</c:v>
                </c:pt>
                <c:pt idx="541">
                  <c:v>44205</c:v>
                </c:pt>
                <c:pt idx="542">
                  <c:v>44206</c:v>
                </c:pt>
                <c:pt idx="543">
                  <c:v>44210</c:v>
                </c:pt>
                <c:pt idx="544">
                  <c:v>44214</c:v>
                </c:pt>
                <c:pt idx="545">
                  <c:v>44215</c:v>
                </c:pt>
                <c:pt idx="546">
                  <c:v>44220</c:v>
                </c:pt>
                <c:pt idx="547">
                  <c:v>44222</c:v>
                </c:pt>
                <c:pt idx="548">
                  <c:v>44225</c:v>
                </c:pt>
                <c:pt idx="549">
                  <c:v>44230</c:v>
                </c:pt>
                <c:pt idx="550">
                  <c:v>44230</c:v>
                </c:pt>
                <c:pt idx="551">
                  <c:v>44235</c:v>
                </c:pt>
                <c:pt idx="552">
                  <c:v>44240</c:v>
                </c:pt>
                <c:pt idx="553">
                  <c:v>44245</c:v>
                </c:pt>
                <c:pt idx="554">
                  <c:v>44246</c:v>
                </c:pt>
                <c:pt idx="555">
                  <c:v>44250</c:v>
                </c:pt>
                <c:pt idx="556">
                  <c:v>44254</c:v>
                </c:pt>
                <c:pt idx="557">
                  <c:v>44255</c:v>
                </c:pt>
                <c:pt idx="558">
                  <c:v>44260</c:v>
                </c:pt>
                <c:pt idx="559">
                  <c:v>44262</c:v>
                </c:pt>
                <c:pt idx="560">
                  <c:v>44265</c:v>
                </c:pt>
                <c:pt idx="561">
                  <c:v>44270</c:v>
                </c:pt>
                <c:pt idx="562">
                  <c:v>44270</c:v>
                </c:pt>
                <c:pt idx="563">
                  <c:v>44275</c:v>
                </c:pt>
                <c:pt idx="564">
                  <c:v>44278</c:v>
                </c:pt>
                <c:pt idx="565">
                  <c:v>44280</c:v>
                </c:pt>
                <c:pt idx="566">
                  <c:v>44285</c:v>
                </c:pt>
                <c:pt idx="567">
                  <c:v>44286</c:v>
                </c:pt>
                <c:pt idx="568">
                  <c:v>44290</c:v>
                </c:pt>
                <c:pt idx="569">
                  <c:v>44294</c:v>
                </c:pt>
                <c:pt idx="570">
                  <c:v>44295</c:v>
                </c:pt>
                <c:pt idx="571">
                  <c:v>44300</c:v>
                </c:pt>
                <c:pt idx="572">
                  <c:v>44302</c:v>
                </c:pt>
                <c:pt idx="573">
                  <c:v>44310</c:v>
                </c:pt>
                <c:pt idx="574">
                  <c:v>44310</c:v>
                </c:pt>
                <c:pt idx="575">
                  <c:v>44315</c:v>
                </c:pt>
                <c:pt idx="576">
                  <c:v>44320</c:v>
                </c:pt>
                <c:pt idx="577">
                  <c:v>44325</c:v>
                </c:pt>
                <c:pt idx="578">
                  <c:v>44326</c:v>
                </c:pt>
                <c:pt idx="579">
                  <c:v>44330</c:v>
                </c:pt>
                <c:pt idx="580">
                  <c:v>44334</c:v>
                </c:pt>
                <c:pt idx="581">
                  <c:v>44335</c:v>
                </c:pt>
                <c:pt idx="582">
                  <c:v>44340</c:v>
                </c:pt>
                <c:pt idx="583">
                  <c:v>44342</c:v>
                </c:pt>
                <c:pt idx="584">
                  <c:v>44345</c:v>
                </c:pt>
                <c:pt idx="585">
                  <c:v>44350</c:v>
                </c:pt>
                <c:pt idx="586">
                  <c:v>44350</c:v>
                </c:pt>
                <c:pt idx="587">
                  <c:v>44365</c:v>
                </c:pt>
                <c:pt idx="588">
                  <c:v>44366</c:v>
                </c:pt>
                <c:pt idx="589">
                  <c:v>44370</c:v>
                </c:pt>
                <c:pt idx="590">
                  <c:v>44375</c:v>
                </c:pt>
                <c:pt idx="591">
                  <c:v>44380</c:v>
                </c:pt>
                <c:pt idx="592">
                  <c:v>44385</c:v>
                </c:pt>
                <c:pt idx="593">
                  <c:v>44390</c:v>
                </c:pt>
                <c:pt idx="594">
                  <c:v>44398</c:v>
                </c:pt>
                <c:pt idx="595">
                  <c:v>44400</c:v>
                </c:pt>
                <c:pt idx="596">
                  <c:v>44406</c:v>
                </c:pt>
                <c:pt idx="597">
                  <c:v>44410</c:v>
                </c:pt>
                <c:pt idx="598">
                  <c:v>44414</c:v>
                </c:pt>
                <c:pt idx="599">
                  <c:v>44415</c:v>
                </c:pt>
                <c:pt idx="600">
                  <c:v>44420</c:v>
                </c:pt>
                <c:pt idx="601">
                  <c:v>44425</c:v>
                </c:pt>
                <c:pt idx="602">
                  <c:v>44430</c:v>
                </c:pt>
                <c:pt idx="603">
                  <c:v>44430</c:v>
                </c:pt>
                <c:pt idx="604">
                  <c:v>44435</c:v>
                </c:pt>
                <c:pt idx="605">
                  <c:v>44438</c:v>
                </c:pt>
                <c:pt idx="606">
                  <c:v>44440</c:v>
                </c:pt>
                <c:pt idx="607">
                  <c:v>44445</c:v>
                </c:pt>
                <c:pt idx="608">
                  <c:v>44446</c:v>
                </c:pt>
                <c:pt idx="609">
                  <c:v>44450</c:v>
                </c:pt>
                <c:pt idx="610">
                  <c:v>44454</c:v>
                </c:pt>
                <c:pt idx="611">
                  <c:v>44455</c:v>
                </c:pt>
                <c:pt idx="612">
                  <c:v>44460</c:v>
                </c:pt>
                <c:pt idx="613">
                  <c:v>44465</c:v>
                </c:pt>
                <c:pt idx="614">
                  <c:v>44475</c:v>
                </c:pt>
                <c:pt idx="615">
                  <c:v>44478</c:v>
                </c:pt>
                <c:pt idx="616">
                  <c:v>44480</c:v>
                </c:pt>
                <c:pt idx="617">
                  <c:v>44485</c:v>
                </c:pt>
                <c:pt idx="618">
                  <c:v>44486</c:v>
                </c:pt>
                <c:pt idx="619">
                  <c:v>44494</c:v>
                </c:pt>
                <c:pt idx="620">
                  <c:v>44495</c:v>
                </c:pt>
                <c:pt idx="621">
                  <c:v>44500</c:v>
                </c:pt>
                <c:pt idx="622">
                  <c:v>44502</c:v>
                </c:pt>
                <c:pt idx="623">
                  <c:v>44505</c:v>
                </c:pt>
                <c:pt idx="624">
                  <c:v>44510</c:v>
                </c:pt>
                <c:pt idx="625">
                  <c:v>44515</c:v>
                </c:pt>
                <c:pt idx="626">
                  <c:v>44518</c:v>
                </c:pt>
                <c:pt idx="627">
                  <c:v>44520</c:v>
                </c:pt>
                <c:pt idx="628">
                  <c:v>44525</c:v>
                </c:pt>
                <c:pt idx="629">
                  <c:v>44526</c:v>
                </c:pt>
                <c:pt idx="630">
                  <c:v>44530</c:v>
                </c:pt>
                <c:pt idx="631">
                  <c:v>44534</c:v>
                </c:pt>
                <c:pt idx="632">
                  <c:v>44535</c:v>
                </c:pt>
                <c:pt idx="633">
                  <c:v>44540</c:v>
                </c:pt>
                <c:pt idx="634">
                  <c:v>44542</c:v>
                </c:pt>
                <c:pt idx="635">
                  <c:v>44550</c:v>
                </c:pt>
                <c:pt idx="636">
                  <c:v>44555</c:v>
                </c:pt>
                <c:pt idx="637">
                  <c:v>44558</c:v>
                </c:pt>
                <c:pt idx="638">
                  <c:v>44570</c:v>
                </c:pt>
                <c:pt idx="639">
                  <c:v>44575</c:v>
                </c:pt>
                <c:pt idx="640">
                  <c:v>44585</c:v>
                </c:pt>
                <c:pt idx="641">
                  <c:v>44620</c:v>
                </c:pt>
                <c:pt idx="642">
                  <c:v>44630</c:v>
                </c:pt>
                <c:pt idx="643">
                  <c:v>44635</c:v>
                </c:pt>
                <c:pt idx="644">
                  <c:v>44655</c:v>
                </c:pt>
                <c:pt idx="645">
                  <c:v>44660</c:v>
                </c:pt>
                <c:pt idx="646">
                  <c:v>44665</c:v>
                </c:pt>
                <c:pt idx="647">
                  <c:v>44670</c:v>
                </c:pt>
                <c:pt idx="648">
                  <c:v>44675</c:v>
                </c:pt>
                <c:pt idx="649">
                  <c:v>44680</c:v>
                </c:pt>
                <c:pt idx="650">
                  <c:v>44685</c:v>
                </c:pt>
                <c:pt idx="651">
                  <c:v>44690</c:v>
                </c:pt>
                <c:pt idx="652">
                  <c:v>44695</c:v>
                </c:pt>
                <c:pt idx="653">
                  <c:v>44700</c:v>
                </c:pt>
                <c:pt idx="654">
                  <c:v>44705</c:v>
                </c:pt>
                <c:pt idx="655">
                  <c:v>44710</c:v>
                </c:pt>
                <c:pt idx="656">
                  <c:v>44715</c:v>
                </c:pt>
                <c:pt idx="657">
                  <c:v>44720</c:v>
                </c:pt>
                <c:pt idx="658">
                  <c:v>44725</c:v>
                </c:pt>
                <c:pt idx="659">
                  <c:v>44730</c:v>
                </c:pt>
                <c:pt idx="660">
                  <c:v>44735</c:v>
                </c:pt>
                <c:pt idx="661">
                  <c:v>44740</c:v>
                </c:pt>
                <c:pt idx="662">
                  <c:v>44745</c:v>
                </c:pt>
                <c:pt idx="663">
                  <c:v>44755</c:v>
                </c:pt>
                <c:pt idx="664">
                  <c:v>44760</c:v>
                </c:pt>
                <c:pt idx="665">
                  <c:v>44780</c:v>
                </c:pt>
                <c:pt idx="666">
                  <c:v>44790</c:v>
                </c:pt>
                <c:pt idx="667">
                  <c:v>44795</c:v>
                </c:pt>
                <c:pt idx="668">
                  <c:v>44800</c:v>
                </c:pt>
                <c:pt idx="669">
                  <c:v>44805</c:v>
                </c:pt>
                <c:pt idx="670">
                  <c:v>44810</c:v>
                </c:pt>
                <c:pt idx="671">
                  <c:v>44815</c:v>
                </c:pt>
                <c:pt idx="672">
                  <c:v>44820</c:v>
                </c:pt>
                <c:pt idx="673">
                  <c:v>44825</c:v>
                </c:pt>
                <c:pt idx="674">
                  <c:v>44830</c:v>
                </c:pt>
                <c:pt idx="675">
                  <c:v>44835</c:v>
                </c:pt>
                <c:pt idx="676">
                  <c:v>44840</c:v>
                </c:pt>
                <c:pt idx="677">
                  <c:v>44845</c:v>
                </c:pt>
                <c:pt idx="678">
                  <c:v>44850</c:v>
                </c:pt>
                <c:pt idx="679">
                  <c:v>44855</c:v>
                </c:pt>
                <c:pt idx="680">
                  <c:v>44860</c:v>
                </c:pt>
                <c:pt idx="681">
                  <c:v>44865</c:v>
                </c:pt>
                <c:pt idx="682">
                  <c:v>44870</c:v>
                </c:pt>
                <c:pt idx="683">
                  <c:v>44875</c:v>
                </c:pt>
                <c:pt idx="684">
                  <c:v>44880</c:v>
                </c:pt>
                <c:pt idx="685">
                  <c:v>44885</c:v>
                </c:pt>
                <c:pt idx="686">
                  <c:v>44890</c:v>
                </c:pt>
                <c:pt idx="687">
                  <c:v>44895</c:v>
                </c:pt>
                <c:pt idx="688">
                  <c:v>44900</c:v>
                </c:pt>
                <c:pt idx="689">
                  <c:v>44905</c:v>
                </c:pt>
                <c:pt idx="690">
                  <c:v>44910</c:v>
                </c:pt>
                <c:pt idx="691">
                  <c:v>44915</c:v>
                </c:pt>
                <c:pt idx="692">
                  <c:v>44920</c:v>
                </c:pt>
                <c:pt idx="693">
                  <c:v>44925</c:v>
                </c:pt>
                <c:pt idx="694">
                  <c:v>44930</c:v>
                </c:pt>
                <c:pt idx="695">
                  <c:v>44935</c:v>
                </c:pt>
                <c:pt idx="696">
                  <c:v>44940</c:v>
                </c:pt>
                <c:pt idx="697">
                  <c:v>44945</c:v>
                </c:pt>
                <c:pt idx="698">
                  <c:v>44950</c:v>
                </c:pt>
                <c:pt idx="699">
                  <c:v>44955</c:v>
                </c:pt>
                <c:pt idx="700">
                  <c:v>44960</c:v>
                </c:pt>
                <c:pt idx="701">
                  <c:v>44965</c:v>
                </c:pt>
                <c:pt idx="702">
                  <c:v>44970</c:v>
                </c:pt>
                <c:pt idx="703">
                  <c:v>44975</c:v>
                </c:pt>
                <c:pt idx="704">
                  <c:v>44980</c:v>
                </c:pt>
                <c:pt idx="705">
                  <c:v>44985</c:v>
                </c:pt>
                <c:pt idx="706">
                  <c:v>44990</c:v>
                </c:pt>
                <c:pt idx="707">
                  <c:v>44990</c:v>
                </c:pt>
                <c:pt idx="708">
                  <c:v>44995</c:v>
                </c:pt>
                <c:pt idx="709">
                  <c:v>45000</c:v>
                </c:pt>
                <c:pt idx="710">
                  <c:v>45005</c:v>
                </c:pt>
                <c:pt idx="711">
                  <c:v>45005</c:v>
                </c:pt>
                <c:pt idx="712">
                  <c:v>45010</c:v>
                </c:pt>
                <c:pt idx="713">
                  <c:v>45015</c:v>
                </c:pt>
                <c:pt idx="714">
                  <c:v>45020</c:v>
                </c:pt>
                <c:pt idx="715">
                  <c:v>45025</c:v>
                </c:pt>
                <c:pt idx="716">
                  <c:v>45030</c:v>
                </c:pt>
                <c:pt idx="717">
                  <c:v>45035</c:v>
                </c:pt>
                <c:pt idx="718">
                  <c:v>45040</c:v>
                </c:pt>
                <c:pt idx="719">
                  <c:v>45050</c:v>
                </c:pt>
                <c:pt idx="720">
                  <c:v>45055</c:v>
                </c:pt>
                <c:pt idx="721">
                  <c:v>45060</c:v>
                </c:pt>
                <c:pt idx="722">
                  <c:v>45070</c:v>
                </c:pt>
                <c:pt idx="723">
                  <c:v>45080</c:v>
                </c:pt>
                <c:pt idx="724">
                  <c:v>45085</c:v>
                </c:pt>
                <c:pt idx="725">
                  <c:v>45090</c:v>
                </c:pt>
                <c:pt idx="726">
                  <c:v>45095</c:v>
                </c:pt>
                <c:pt idx="727">
                  <c:v>45100</c:v>
                </c:pt>
                <c:pt idx="728">
                  <c:v>45105</c:v>
                </c:pt>
                <c:pt idx="729">
                  <c:v>45110</c:v>
                </c:pt>
                <c:pt idx="730">
                  <c:v>45115</c:v>
                </c:pt>
                <c:pt idx="731">
                  <c:v>45120</c:v>
                </c:pt>
                <c:pt idx="732">
                  <c:v>45125</c:v>
                </c:pt>
                <c:pt idx="733">
                  <c:v>45150</c:v>
                </c:pt>
                <c:pt idx="734">
                  <c:v>45155</c:v>
                </c:pt>
                <c:pt idx="735">
                  <c:v>45160</c:v>
                </c:pt>
                <c:pt idx="736">
                  <c:v>45165</c:v>
                </c:pt>
                <c:pt idx="737">
                  <c:v>45175</c:v>
                </c:pt>
                <c:pt idx="738">
                  <c:v>45180</c:v>
                </c:pt>
                <c:pt idx="739">
                  <c:v>45185</c:v>
                </c:pt>
                <c:pt idx="740">
                  <c:v>45190</c:v>
                </c:pt>
                <c:pt idx="741">
                  <c:v>45195</c:v>
                </c:pt>
                <c:pt idx="742">
                  <c:v>45200</c:v>
                </c:pt>
                <c:pt idx="743">
                  <c:v>45205</c:v>
                </c:pt>
                <c:pt idx="744">
                  <c:v>45210</c:v>
                </c:pt>
                <c:pt idx="745">
                  <c:v>45215</c:v>
                </c:pt>
                <c:pt idx="746">
                  <c:v>45220</c:v>
                </c:pt>
                <c:pt idx="747">
                  <c:v>45225</c:v>
                </c:pt>
                <c:pt idx="748">
                  <c:v>45230</c:v>
                </c:pt>
                <c:pt idx="749">
                  <c:v>45235</c:v>
                </c:pt>
                <c:pt idx="750">
                  <c:v>45240</c:v>
                </c:pt>
                <c:pt idx="751">
                  <c:v>45245</c:v>
                </c:pt>
                <c:pt idx="752">
                  <c:v>45250</c:v>
                </c:pt>
                <c:pt idx="753">
                  <c:v>45260</c:v>
                </c:pt>
                <c:pt idx="754">
                  <c:v>45270</c:v>
                </c:pt>
                <c:pt idx="755">
                  <c:v>45275</c:v>
                </c:pt>
                <c:pt idx="756">
                  <c:v>45280</c:v>
                </c:pt>
                <c:pt idx="757">
                  <c:v>45285</c:v>
                </c:pt>
                <c:pt idx="758">
                  <c:v>45290</c:v>
                </c:pt>
                <c:pt idx="759">
                  <c:v>45295</c:v>
                </c:pt>
                <c:pt idx="760">
                  <c:v>45300</c:v>
                </c:pt>
                <c:pt idx="761">
                  <c:v>45305</c:v>
                </c:pt>
                <c:pt idx="762">
                  <c:v>45310</c:v>
                </c:pt>
                <c:pt idx="763">
                  <c:v>45315</c:v>
                </c:pt>
                <c:pt idx="764">
                  <c:v>45320</c:v>
                </c:pt>
                <c:pt idx="765">
                  <c:v>45325</c:v>
                </c:pt>
                <c:pt idx="766">
                  <c:v>45330</c:v>
                </c:pt>
                <c:pt idx="767">
                  <c:v>45335</c:v>
                </c:pt>
                <c:pt idx="768">
                  <c:v>45340</c:v>
                </c:pt>
                <c:pt idx="769">
                  <c:v>45345</c:v>
                </c:pt>
                <c:pt idx="770">
                  <c:v>45355</c:v>
                </c:pt>
                <c:pt idx="771">
                  <c:v>45360</c:v>
                </c:pt>
                <c:pt idx="772">
                  <c:v>45365</c:v>
                </c:pt>
                <c:pt idx="773">
                  <c:v>45370</c:v>
                </c:pt>
                <c:pt idx="774">
                  <c:v>45375</c:v>
                </c:pt>
                <c:pt idx="775">
                  <c:v>45380</c:v>
                </c:pt>
                <c:pt idx="776">
                  <c:v>45385</c:v>
                </c:pt>
                <c:pt idx="777">
                  <c:v>45390</c:v>
                </c:pt>
                <c:pt idx="778">
                  <c:v>45400</c:v>
                </c:pt>
                <c:pt idx="779">
                  <c:v>45405</c:v>
                </c:pt>
                <c:pt idx="780">
                  <c:v>45410</c:v>
                </c:pt>
                <c:pt idx="781">
                  <c:v>45415</c:v>
                </c:pt>
                <c:pt idx="782">
                  <c:v>45420</c:v>
                </c:pt>
                <c:pt idx="783">
                  <c:v>45425</c:v>
                </c:pt>
                <c:pt idx="784">
                  <c:v>45430</c:v>
                </c:pt>
                <c:pt idx="785">
                  <c:v>45435</c:v>
                </c:pt>
                <c:pt idx="786">
                  <c:v>45440</c:v>
                </c:pt>
                <c:pt idx="787">
                  <c:v>45450</c:v>
                </c:pt>
                <c:pt idx="788">
                  <c:v>45454</c:v>
                </c:pt>
                <c:pt idx="789">
                  <c:v>45455</c:v>
                </c:pt>
                <c:pt idx="790">
                  <c:v>45460</c:v>
                </c:pt>
                <c:pt idx="791">
                  <c:v>45465</c:v>
                </c:pt>
                <c:pt idx="792">
                  <c:v>45470</c:v>
                </c:pt>
                <c:pt idx="793">
                  <c:v>45475</c:v>
                </c:pt>
                <c:pt idx="794">
                  <c:v>45480</c:v>
                </c:pt>
                <c:pt idx="795">
                  <c:v>45485</c:v>
                </c:pt>
                <c:pt idx="796">
                  <c:v>45486</c:v>
                </c:pt>
                <c:pt idx="797">
                  <c:v>45490</c:v>
                </c:pt>
                <c:pt idx="798">
                  <c:v>45495</c:v>
                </c:pt>
                <c:pt idx="799">
                  <c:v>45500</c:v>
                </c:pt>
                <c:pt idx="800">
                  <c:v>45502</c:v>
                </c:pt>
                <c:pt idx="801">
                  <c:v>45505</c:v>
                </c:pt>
                <c:pt idx="802">
                  <c:v>45530</c:v>
                </c:pt>
                <c:pt idx="803">
                  <c:v>45535</c:v>
                </c:pt>
                <c:pt idx="804">
                  <c:v>45540</c:v>
                </c:pt>
                <c:pt idx="805">
                  <c:v>45545</c:v>
                </c:pt>
                <c:pt idx="806">
                  <c:v>45550</c:v>
                </c:pt>
                <c:pt idx="807">
                  <c:v>45555</c:v>
                </c:pt>
                <c:pt idx="808">
                  <c:v>45560</c:v>
                </c:pt>
                <c:pt idx="809">
                  <c:v>45565</c:v>
                </c:pt>
                <c:pt idx="810">
                  <c:v>45566</c:v>
                </c:pt>
                <c:pt idx="811">
                  <c:v>45570</c:v>
                </c:pt>
                <c:pt idx="812">
                  <c:v>45575</c:v>
                </c:pt>
                <c:pt idx="813">
                  <c:v>45582</c:v>
                </c:pt>
                <c:pt idx="814">
                  <c:v>45585</c:v>
                </c:pt>
                <c:pt idx="815">
                  <c:v>45590</c:v>
                </c:pt>
                <c:pt idx="816">
                  <c:v>45595</c:v>
                </c:pt>
                <c:pt idx="817">
                  <c:v>45598</c:v>
                </c:pt>
                <c:pt idx="818">
                  <c:v>45600</c:v>
                </c:pt>
                <c:pt idx="819">
                  <c:v>45610</c:v>
                </c:pt>
                <c:pt idx="820">
                  <c:v>45614</c:v>
                </c:pt>
                <c:pt idx="821">
                  <c:v>45615</c:v>
                </c:pt>
                <c:pt idx="822">
                  <c:v>45620</c:v>
                </c:pt>
                <c:pt idx="823">
                  <c:v>45625</c:v>
                </c:pt>
                <c:pt idx="824">
                  <c:v>45630</c:v>
                </c:pt>
                <c:pt idx="825">
                  <c:v>45635</c:v>
                </c:pt>
                <c:pt idx="826">
                  <c:v>45640</c:v>
                </c:pt>
                <c:pt idx="827">
                  <c:v>45645</c:v>
                </c:pt>
                <c:pt idx="828">
                  <c:v>45650</c:v>
                </c:pt>
                <c:pt idx="829">
                  <c:v>45655</c:v>
                </c:pt>
                <c:pt idx="830">
                  <c:v>45660</c:v>
                </c:pt>
                <c:pt idx="831">
                  <c:v>45662</c:v>
                </c:pt>
                <c:pt idx="832">
                  <c:v>45665</c:v>
                </c:pt>
                <c:pt idx="833">
                  <c:v>45670</c:v>
                </c:pt>
                <c:pt idx="834">
                  <c:v>45678</c:v>
                </c:pt>
                <c:pt idx="835">
                  <c:v>45680</c:v>
                </c:pt>
                <c:pt idx="836">
                  <c:v>45690</c:v>
                </c:pt>
                <c:pt idx="837">
                  <c:v>45694</c:v>
                </c:pt>
                <c:pt idx="838">
                  <c:v>45695</c:v>
                </c:pt>
                <c:pt idx="839">
                  <c:v>45700</c:v>
                </c:pt>
                <c:pt idx="840">
                  <c:v>45710</c:v>
                </c:pt>
                <c:pt idx="841">
                  <c:v>45720</c:v>
                </c:pt>
                <c:pt idx="842">
                  <c:v>45725</c:v>
                </c:pt>
                <c:pt idx="843">
                  <c:v>45730</c:v>
                </c:pt>
                <c:pt idx="844">
                  <c:v>45735</c:v>
                </c:pt>
                <c:pt idx="845">
                  <c:v>45740</c:v>
                </c:pt>
                <c:pt idx="846">
                  <c:v>45742</c:v>
                </c:pt>
                <c:pt idx="847">
                  <c:v>45745</c:v>
                </c:pt>
                <c:pt idx="848">
                  <c:v>45750</c:v>
                </c:pt>
                <c:pt idx="849">
                  <c:v>45758</c:v>
                </c:pt>
                <c:pt idx="850">
                  <c:v>45760</c:v>
                </c:pt>
                <c:pt idx="851">
                  <c:v>45762</c:v>
                </c:pt>
                <c:pt idx="852">
                  <c:v>45770</c:v>
                </c:pt>
                <c:pt idx="853">
                  <c:v>45775</c:v>
                </c:pt>
                <c:pt idx="854">
                  <c:v>45780</c:v>
                </c:pt>
                <c:pt idx="855">
                  <c:v>45782</c:v>
                </c:pt>
                <c:pt idx="856">
                  <c:v>45785</c:v>
                </c:pt>
                <c:pt idx="857">
                  <c:v>45790</c:v>
                </c:pt>
                <c:pt idx="858">
                  <c:v>45795</c:v>
                </c:pt>
                <c:pt idx="859">
                  <c:v>45800</c:v>
                </c:pt>
                <c:pt idx="860">
                  <c:v>45802</c:v>
                </c:pt>
                <c:pt idx="861">
                  <c:v>45805</c:v>
                </c:pt>
                <c:pt idx="862">
                  <c:v>45810</c:v>
                </c:pt>
                <c:pt idx="863">
                  <c:v>45813</c:v>
                </c:pt>
                <c:pt idx="864">
                  <c:v>45815</c:v>
                </c:pt>
                <c:pt idx="865">
                  <c:v>45820</c:v>
                </c:pt>
                <c:pt idx="866">
                  <c:v>45822</c:v>
                </c:pt>
                <c:pt idx="867">
                  <c:v>45825</c:v>
                </c:pt>
                <c:pt idx="868">
                  <c:v>45835</c:v>
                </c:pt>
              </c:numCache>
            </c:numRef>
          </c:cat>
          <c:val>
            <c:numRef>
              <c:f>Calcs!$G$5:$G$873</c:f>
              <c:numCache>
                <c:formatCode>#,##0</c:formatCode>
                <c:ptCount val="869"/>
                <c:pt idx="0">
                  <c:v>3810.3649822236894</c:v>
                </c:pt>
                <c:pt idx="1">
                  <c:v>3607.7385694206137</c:v>
                </c:pt>
                <c:pt idx="2">
                  <c:v>3884.4965966638392</c:v>
                </c:pt>
                <c:pt idx="3">
                  <c:v>8045.7512205709036</c:v>
                </c:pt>
                <c:pt idx="4">
                  <c:v>7857.9511306558579</c:v>
                </c:pt>
                <c:pt idx="5">
                  <c:v>7781.3484624010362</c:v>
                </c:pt>
                <c:pt idx="6">
                  <c:v>15073.428269497086</c:v>
                </c:pt>
                <c:pt idx="7">
                  <c:v>14757.133381219113</c:v>
                </c:pt>
                <c:pt idx="8">
                  <c:v>14468.02008490253</c:v>
                </c:pt>
                <c:pt idx="9">
                  <c:v>14238.212080138066</c:v>
                </c:pt>
                <c:pt idx="10">
                  <c:v>13870.025061751991</c:v>
                </c:pt>
                <c:pt idx="11">
                  <c:v>15056.130892794385</c:v>
                </c:pt>
                <c:pt idx="12">
                  <c:v>14581.688560377426</c:v>
                </c:pt>
                <c:pt idx="13">
                  <c:v>14564.391183674725</c:v>
                </c:pt>
                <c:pt idx="14">
                  <c:v>14524.85432263998</c:v>
                </c:pt>
                <c:pt idx="15">
                  <c:v>14109.71728177514</c:v>
                </c:pt>
                <c:pt idx="16">
                  <c:v>13296.740576748169</c:v>
                </c:pt>
                <c:pt idx="17">
                  <c:v>13071.874679613045</c:v>
                </c:pt>
                <c:pt idx="18">
                  <c:v>12263.840082215416</c:v>
                </c:pt>
                <c:pt idx="19">
                  <c:v>14334.583178910261</c:v>
                </c:pt>
                <c:pt idx="20">
                  <c:v>13669.869702763586</c:v>
                </c:pt>
                <c:pt idx="21">
                  <c:v>13459.830128516494</c:v>
                </c:pt>
                <c:pt idx="22">
                  <c:v>12293.492727991475</c:v>
                </c:pt>
                <c:pt idx="23">
                  <c:v>12659.208692562879</c:v>
                </c:pt>
                <c:pt idx="24">
                  <c:v>12293.492727991475</c:v>
                </c:pt>
                <c:pt idx="25">
                  <c:v>11828.934610833205</c:v>
                </c:pt>
                <c:pt idx="26">
                  <c:v>11586.771336995382</c:v>
                </c:pt>
                <c:pt idx="27">
                  <c:v>13551.259119659348</c:v>
                </c:pt>
                <c:pt idx="28">
                  <c:v>13973.8093219682</c:v>
                </c:pt>
                <c:pt idx="29">
                  <c:v>13963.925106709514</c:v>
                </c:pt>
                <c:pt idx="30">
                  <c:v>13368.401137373645</c:v>
                </c:pt>
                <c:pt idx="31">
                  <c:v>12903.843020215372</c:v>
                </c:pt>
                <c:pt idx="32">
                  <c:v>12147.700552925846</c:v>
                </c:pt>
                <c:pt idx="33">
                  <c:v>9063.8253922156237</c:v>
                </c:pt>
                <c:pt idx="34">
                  <c:v>9053.9411769569379</c:v>
                </c:pt>
                <c:pt idx="35">
                  <c:v>9061.3543384009536</c:v>
                </c:pt>
                <c:pt idx="36">
                  <c:v>8762.356826825684</c:v>
                </c:pt>
                <c:pt idx="37">
                  <c:v>8386.7566469955909</c:v>
                </c:pt>
                <c:pt idx="38">
                  <c:v>14517.441161195964</c:v>
                </c:pt>
                <c:pt idx="39">
                  <c:v>14161.609411883246</c:v>
                </c:pt>
                <c:pt idx="40">
                  <c:v>13415.351159852406</c:v>
                </c:pt>
                <c:pt idx="41">
                  <c:v>13019.982549504941</c:v>
                </c:pt>
                <c:pt idx="42">
                  <c:v>13835.430308346587</c:v>
                </c:pt>
                <c:pt idx="43">
                  <c:v>13682.224971836944</c:v>
                </c:pt>
                <c:pt idx="44">
                  <c:v>10509.391873798542</c:v>
                </c:pt>
                <c:pt idx="45">
                  <c:v>10393.252344508974</c:v>
                </c:pt>
                <c:pt idx="46">
                  <c:v>13469.714343775182</c:v>
                </c:pt>
                <c:pt idx="47">
                  <c:v>13647.630218431541</c:v>
                </c:pt>
                <c:pt idx="48">
                  <c:v>12038.974185080295</c:v>
                </c:pt>
                <c:pt idx="49">
                  <c:v>11421.210731412382</c:v>
                </c:pt>
                <c:pt idx="50">
                  <c:v>10462.441851319782</c:v>
                </c:pt>
                <c:pt idx="51">
                  <c:v>11804.224072686489</c:v>
                </c:pt>
                <c:pt idx="52">
                  <c:v>10558.812950091975</c:v>
                </c:pt>
                <c:pt idx="53">
                  <c:v>10390.781290694302</c:v>
                </c:pt>
                <c:pt idx="54">
                  <c:v>9587.6888009260128</c:v>
                </c:pt>
                <c:pt idx="55">
                  <c:v>9703.8283302155833</c:v>
                </c:pt>
                <c:pt idx="56">
                  <c:v>8989.6937777754756</c:v>
                </c:pt>
                <c:pt idx="57">
                  <c:v>9246.6833745013282</c:v>
                </c:pt>
                <c:pt idx="58">
                  <c:v>8989.6937777754756</c:v>
                </c:pt>
                <c:pt idx="59">
                  <c:v>8408.9961313276362</c:v>
                </c:pt>
                <c:pt idx="60">
                  <c:v>8095.1722968643362</c:v>
                </c:pt>
                <c:pt idx="61">
                  <c:v>7744.2826551809612</c:v>
                </c:pt>
                <c:pt idx="62">
                  <c:v>6679.2584610574795</c:v>
                </c:pt>
                <c:pt idx="63">
                  <c:v>6642.1926538374046</c:v>
                </c:pt>
                <c:pt idx="64">
                  <c:v>6540.8794474358665</c:v>
                </c:pt>
                <c:pt idx="65">
                  <c:v>9540.7387784472521</c:v>
                </c:pt>
                <c:pt idx="66">
                  <c:v>9422.1281953430152</c:v>
                </c:pt>
                <c:pt idx="67">
                  <c:v>9278.8070740920575</c:v>
                </c:pt>
                <c:pt idx="68">
                  <c:v>15120.378291975847</c:v>
                </c:pt>
                <c:pt idx="69">
                  <c:v>14388.946362833036</c:v>
                </c:pt>
                <c:pt idx="70">
                  <c:v>14351.880555612963</c:v>
                </c:pt>
                <c:pt idx="71">
                  <c:v>13986.164591041559</c:v>
                </c:pt>
                <c:pt idx="72">
                  <c:v>13921.917191860097</c:v>
                </c:pt>
                <c:pt idx="73">
                  <c:v>13188.014208902614</c:v>
                </c:pt>
                <c:pt idx="74">
                  <c:v>14598.985937080128</c:v>
                </c:pt>
                <c:pt idx="75">
                  <c:v>14060.296205481707</c:v>
                </c:pt>
                <c:pt idx="76">
                  <c:v>14025.701452076304</c:v>
                </c:pt>
                <c:pt idx="77">
                  <c:v>13689.63813328096</c:v>
                </c:pt>
                <c:pt idx="78">
                  <c:v>13121.29575590648</c:v>
                </c:pt>
                <c:pt idx="79">
                  <c:v>13024.924657134285</c:v>
                </c:pt>
                <c:pt idx="80">
                  <c:v>12847.008782477926</c:v>
                </c:pt>
                <c:pt idx="81">
                  <c:v>12676.506069265582</c:v>
                </c:pt>
                <c:pt idx="82">
                  <c:v>14569.333291304069</c:v>
                </c:pt>
                <c:pt idx="83">
                  <c:v>14401.301631906395</c:v>
                </c:pt>
                <c:pt idx="84">
                  <c:v>14173.964680956602</c:v>
                </c:pt>
                <c:pt idx="85">
                  <c:v>14102.304120331124</c:v>
                </c:pt>
                <c:pt idx="86">
                  <c:v>13912.032976601407</c:v>
                </c:pt>
                <c:pt idx="87">
                  <c:v>12950.793042694135</c:v>
                </c:pt>
                <c:pt idx="88">
                  <c:v>14159.138358068572</c:v>
                </c:pt>
                <c:pt idx="89">
                  <c:v>14290.104210246171</c:v>
                </c:pt>
                <c:pt idx="90">
                  <c:v>14211.030488176677</c:v>
                </c:pt>
                <c:pt idx="91">
                  <c:v>14737.36495070174</c:v>
                </c:pt>
                <c:pt idx="92">
                  <c:v>14280.219994987485</c:v>
                </c:pt>
                <c:pt idx="93">
                  <c:v>14327.170017466246</c:v>
                </c:pt>
                <c:pt idx="94">
                  <c:v>14678.059659149621</c:v>
                </c:pt>
                <c:pt idx="95">
                  <c:v>14705.241251111007</c:v>
                </c:pt>
                <c:pt idx="96">
                  <c:v>14401.301631906395</c:v>
                </c:pt>
                <c:pt idx="97">
                  <c:v>14245.62524158208</c:v>
                </c:pt>
                <c:pt idx="98">
                  <c:v>14260.451564470111</c:v>
                </c:pt>
                <c:pt idx="99">
                  <c:v>14171.493627141932</c:v>
                </c:pt>
                <c:pt idx="100">
                  <c:v>14023.230398261632</c:v>
                </c:pt>
                <c:pt idx="101">
                  <c:v>14440.838492941142</c:v>
                </c:pt>
                <c:pt idx="102">
                  <c:v>14398.830578091725</c:v>
                </c:pt>
                <c:pt idx="103">
                  <c:v>13954.040891450826</c:v>
                </c:pt>
                <c:pt idx="104">
                  <c:v>14376.591093759678</c:v>
                </c:pt>
                <c:pt idx="105">
                  <c:v>13857.669792678631</c:v>
                </c:pt>
                <c:pt idx="106">
                  <c:v>13383.227460261674</c:v>
                </c:pt>
                <c:pt idx="107">
                  <c:v>13393.11167552036</c:v>
                </c:pt>
                <c:pt idx="108">
                  <c:v>12434.342795427759</c:v>
                </c:pt>
                <c:pt idx="109">
                  <c:v>12095.808422817743</c:v>
                </c:pt>
                <c:pt idx="110">
                  <c:v>11468.160753891141</c:v>
                </c:pt>
                <c:pt idx="111">
                  <c:v>11500.284453481874</c:v>
                </c:pt>
                <c:pt idx="112">
                  <c:v>10758.968309080379</c:v>
                </c:pt>
                <c:pt idx="113">
                  <c:v>10820.74465444717</c:v>
                </c:pt>
                <c:pt idx="114">
                  <c:v>10153.560124485824</c:v>
                </c:pt>
                <c:pt idx="115">
                  <c:v>10042.3627028256</c:v>
                </c:pt>
                <c:pt idx="116">
                  <c:v>10000.354787976181</c:v>
                </c:pt>
                <c:pt idx="117">
                  <c:v>9797.7283751731047</c:v>
                </c:pt>
                <c:pt idx="118">
                  <c:v>9854.5626129105549</c:v>
                </c:pt>
                <c:pt idx="119">
                  <c:v>9182.4359753198623</c:v>
                </c:pt>
                <c:pt idx="120">
                  <c:v>9204.6754596519095</c:v>
                </c:pt>
                <c:pt idx="121">
                  <c:v>8992.1648315901457</c:v>
                </c:pt>
                <c:pt idx="122">
                  <c:v>8834.0173874511602</c:v>
                </c:pt>
                <c:pt idx="123">
                  <c:v>8942.7437552967131</c:v>
                </c:pt>
                <c:pt idx="124">
                  <c:v>8784.5963111577275</c:v>
                </c:pt>
                <c:pt idx="125">
                  <c:v>8322.5092478141287</c:v>
                </c:pt>
                <c:pt idx="126">
                  <c:v>10032.478487566914</c:v>
                </c:pt>
                <c:pt idx="127">
                  <c:v>10054.717971898957</c:v>
                </c:pt>
                <c:pt idx="128">
                  <c:v>10015.181110864212</c:v>
                </c:pt>
                <c:pt idx="129">
                  <c:v>11478.044969149829</c:v>
                </c:pt>
                <c:pt idx="130">
                  <c:v>11384.144924192307</c:v>
                </c:pt>
                <c:pt idx="131">
                  <c:v>11515.110776369904</c:v>
                </c:pt>
                <c:pt idx="132">
                  <c:v>11354.492278416248</c:v>
                </c:pt>
                <c:pt idx="133">
                  <c:v>11389.087031821651</c:v>
                </c:pt>
                <c:pt idx="134">
                  <c:v>10670.0103717522</c:v>
                </c:pt>
                <c:pt idx="135">
                  <c:v>10074.486402416333</c:v>
                </c:pt>
                <c:pt idx="136">
                  <c:v>9802.6704828024485</c:v>
                </c:pt>
                <c:pt idx="137">
                  <c:v>9429.5413567870291</c:v>
                </c:pt>
                <c:pt idx="138">
                  <c:v>9024.2885311808786</c:v>
                </c:pt>
                <c:pt idx="139">
                  <c:v>8989.6937777754756</c:v>
                </c:pt>
                <c:pt idx="140">
                  <c:v>8705.5225890882339</c:v>
                </c:pt>
                <c:pt idx="141">
                  <c:v>8176.7170727485018</c:v>
                </c:pt>
                <c:pt idx="142">
                  <c:v>7578.7220495979618</c:v>
                </c:pt>
                <c:pt idx="143">
                  <c:v>7297.0219147253929</c:v>
                </c:pt>
                <c:pt idx="144">
                  <c:v>7413.1614440149597</c:v>
                </c:pt>
                <c:pt idx="145">
                  <c:v>7151.2297396597651</c:v>
                </c:pt>
                <c:pt idx="146">
                  <c:v>6874.47171241654</c:v>
                </c:pt>
                <c:pt idx="147">
                  <c:v>6558.176824138568</c:v>
                </c:pt>
                <c:pt idx="148">
                  <c:v>6409.9135952582683</c:v>
                </c:pt>
                <c:pt idx="149">
                  <c:v>6224.5845591578955</c:v>
                </c:pt>
                <c:pt idx="150">
                  <c:v>6422.268864331626</c:v>
                </c:pt>
                <c:pt idx="151">
                  <c:v>6222.1135053432226</c:v>
                </c:pt>
                <c:pt idx="152">
                  <c:v>5905.8186170652516</c:v>
                </c:pt>
                <c:pt idx="153">
                  <c:v>5888.5212403625492</c:v>
                </c:pt>
                <c:pt idx="154">
                  <c:v>5848.9843793278042</c:v>
                </c:pt>
                <c:pt idx="155">
                  <c:v>5836.6291102544455</c:v>
                </c:pt>
                <c:pt idx="156">
                  <c:v>5478.3263071270558</c:v>
                </c:pt>
                <c:pt idx="157">
                  <c:v>5451.1447151656666</c:v>
                </c:pt>
                <c:pt idx="158">
                  <c:v>5406.6657465015769</c:v>
                </c:pt>
                <c:pt idx="159">
                  <c:v>5082.9576967795902</c:v>
                </c:pt>
                <c:pt idx="160">
                  <c:v>5186.7419569958001</c:v>
                </c:pt>
                <c:pt idx="161">
                  <c:v>7860.4221844705298</c:v>
                </c:pt>
                <c:pt idx="162">
                  <c:v>10647.770887420156</c:v>
                </c:pt>
                <c:pt idx="163">
                  <c:v>10403.136559767661</c:v>
                </c:pt>
                <c:pt idx="164">
                  <c:v>9965.7600345707779</c:v>
                </c:pt>
                <c:pt idx="165">
                  <c:v>10067.073240972317</c:v>
                </c:pt>
                <c:pt idx="166">
                  <c:v>9953.4047654974202</c:v>
                </c:pt>
                <c:pt idx="167">
                  <c:v>9577.804585667327</c:v>
                </c:pt>
                <c:pt idx="168">
                  <c:v>9340.5834194588497</c:v>
                </c:pt>
                <c:pt idx="169">
                  <c:v>8979.809562516788</c:v>
                </c:pt>
                <c:pt idx="170">
                  <c:v>8814.2489569337868</c:v>
                </c:pt>
                <c:pt idx="171">
                  <c:v>8940.2727014820412</c:v>
                </c:pt>
                <c:pt idx="172">
                  <c:v>8893.3226790032804</c:v>
                </c:pt>
                <c:pt idx="173">
                  <c:v>8389.2277008102628</c:v>
                </c:pt>
                <c:pt idx="174">
                  <c:v>8226.1381490419335</c:v>
                </c:pt>
                <c:pt idx="175">
                  <c:v>8112.4696735670377</c:v>
                </c:pt>
                <c:pt idx="176">
                  <c:v>8050.6933282002456</c:v>
                </c:pt>
                <c:pt idx="177">
                  <c:v>8829.0752798218164</c:v>
                </c:pt>
                <c:pt idx="178">
                  <c:v>8806.8357954897729</c:v>
                </c:pt>
                <c:pt idx="179">
                  <c:v>8100.11440449368</c:v>
                </c:pt>
                <c:pt idx="180">
                  <c:v>7638.0273411500812</c:v>
                </c:pt>
                <c:pt idx="181">
                  <c:v>7615.7878568180358</c:v>
                </c:pt>
                <c:pt idx="182">
                  <c:v>7445.2851436056908</c:v>
                </c:pt>
                <c:pt idx="183">
                  <c:v>7388.4509058682424</c:v>
                </c:pt>
                <c:pt idx="184">
                  <c:v>7331.6166681307959</c:v>
                </c:pt>
                <c:pt idx="185">
                  <c:v>6931.3059501539883</c:v>
                </c:pt>
                <c:pt idx="186">
                  <c:v>6676.7874072428076</c:v>
                </c:pt>
                <c:pt idx="187">
                  <c:v>6592.771577543971</c:v>
                </c:pt>
                <c:pt idx="188">
                  <c:v>6446.9794024783432</c:v>
                </c:pt>
                <c:pt idx="189">
                  <c:v>6407.4425414435964</c:v>
                </c:pt>
                <c:pt idx="190">
                  <c:v>6409.9135952582683</c:v>
                </c:pt>
                <c:pt idx="191">
                  <c:v>6535.9373398065227</c:v>
                </c:pt>
                <c:pt idx="192">
                  <c:v>6110.9160836829988</c:v>
                </c:pt>
                <c:pt idx="193">
                  <c:v>5965.1239086173719</c:v>
                </c:pt>
                <c:pt idx="194">
                  <c:v>6049.1397383162066</c:v>
                </c:pt>
                <c:pt idx="195">
                  <c:v>5925.587047582625</c:v>
                </c:pt>
                <c:pt idx="196">
                  <c:v>5920.6449399532821</c:v>
                </c:pt>
                <c:pt idx="197">
                  <c:v>6039.2555230575208</c:v>
                </c:pt>
                <c:pt idx="198">
                  <c:v>5905.8186170652516</c:v>
                </c:pt>
                <c:pt idx="199">
                  <c:v>5888.5212403625492</c:v>
                </c:pt>
                <c:pt idx="200">
                  <c:v>6026.9002539841631</c:v>
                </c:pt>
                <c:pt idx="201">
                  <c:v>5839.1001640691165</c:v>
                </c:pt>
                <c:pt idx="202">
                  <c:v>5853.9264869571471</c:v>
                </c:pt>
                <c:pt idx="203">
                  <c:v>6081.2634379069386</c:v>
                </c:pt>
                <c:pt idx="204">
                  <c:v>5802.0343568490416</c:v>
                </c:pt>
                <c:pt idx="205">
                  <c:v>5848.9843793278042</c:v>
                </c:pt>
                <c:pt idx="206">
                  <c:v>5547.5158139378618</c:v>
                </c:pt>
                <c:pt idx="207">
                  <c:v>5900.8765094359078</c:v>
                </c:pt>
                <c:pt idx="208">
                  <c:v>5878.6370251038634</c:v>
                </c:pt>
                <c:pt idx="209">
                  <c:v>5816.8606797370712</c:v>
                </c:pt>
                <c:pt idx="210">
                  <c:v>5451.1447151656666</c:v>
                </c:pt>
                <c:pt idx="211">
                  <c:v>5443.7315537216518</c:v>
                </c:pt>
                <c:pt idx="212">
                  <c:v>5451.1447151656666</c:v>
                </c:pt>
                <c:pt idx="213">
                  <c:v>5903.3475632505797</c:v>
                </c:pt>
                <c:pt idx="214">
                  <c:v>5873.6949174745196</c:v>
                </c:pt>
                <c:pt idx="215">
                  <c:v>5792.1501415903558</c:v>
                </c:pt>
                <c:pt idx="216">
                  <c:v>5485.7394685710697</c:v>
                </c:pt>
                <c:pt idx="217">
                  <c:v>5419.0210155749355</c:v>
                </c:pt>
                <c:pt idx="218">
                  <c:v>5451.1447151656666</c:v>
                </c:pt>
                <c:pt idx="219">
                  <c:v>5421.4920693896074</c:v>
                </c:pt>
                <c:pt idx="220">
                  <c:v>5211.4524951425165</c:v>
                </c:pt>
                <c:pt idx="221">
                  <c:v>5117.5524501849941</c:v>
                </c:pt>
                <c:pt idx="222">
                  <c:v>5068.1313738915605</c:v>
                </c:pt>
                <c:pt idx="223">
                  <c:v>5853.9264869571471</c:v>
                </c:pt>
                <c:pt idx="224">
                  <c:v>5809.4475182930573</c:v>
                </c:pt>
                <c:pt idx="225">
                  <c:v>5589.5237287872806</c:v>
                </c:pt>
                <c:pt idx="226">
                  <c:v>5458.5578766096824</c:v>
                </c:pt>
                <c:pt idx="227">
                  <c:v>5443.7315537216518</c:v>
                </c:pt>
                <c:pt idx="228">
                  <c:v>5456.0868227950095</c:v>
                </c:pt>
                <c:pt idx="229">
                  <c:v>5386.8973159842044</c:v>
                </c:pt>
                <c:pt idx="230">
                  <c:v>5201.5682798838307</c:v>
                </c:pt>
                <c:pt idx="231">
                  <c:v>5018.7102975981279</c:v>
                </c:pt>
                <c:pt idx="232">
                  <c:v>5080.4866429649182</c:v>
                </c:pt>
                <c:pt idx="233">
                  <c:v>4690.0601402467983</c:v>
                </c:pt>
                <c:pt idx="234">
                  <c:v>4581.3337724012454</c:v>
                </c:pt>
                <c:pt idx="235">
                  <c:v>4571.4495571425587</c:v>
                </c:pt>
                <c:pt idx="236">
                  <c:v>4499.7889965170807</c:v>
                </c:pt>
                <c:pt idx="237">
                  <c:v>4462.7231892970049</c:v>
                </c:pt>
                <c:pt idx="238">
                  <c:v>4455.310027852991</c:v>
                </c:pt>
                <c:pt idx="239">
                  <c:v>4442.9547587796324</c:v>
                </c:pt>
                <c:pt idx="240">
                  <c:v>4381.178413412842</c:v>
                </c:pt>
                <c:pt idx="241">
                  <c:v>4210.675700200497</c:v>
                </c:pt>
                <c:pt idx="242">
                  <c:v>4173.609892980422</c:v>
                </c:pt>
                <c:pt idx="243">
                  <c:v>4173.609892980422</c:v>
                </c:pt>
                <c:pt idx="244">
                  <c:v>4156.3125162777205</c:v>
                </c:pt>
                <c:pt idx="245">
                  <c:v>4166.1967315364072</c:v>
                </c:pt>
                <c:pt idx="246">
                  <c:v>4148.8993548337057</c:v>
                </c:pt>
                <c:pt idx="247">
                  <c:v>4143.9572472043619</c:v>
                </c:pt>
                <c:pt idx="248">
                  <c:v>4131.6019781310042</c:v>
                </c:pt>
                <c:pt idx="249">
                  <c:v>3924.0334576985861</c:v>
                </c:pt>
                <c:pt idx="250">
                  <c:v>3928.975565327929</c:v>
                </c:pt>
                <c:pt idx="251">
                  <c:v>3926.5045115132571</c:v>
                </c:pt>
                <c:pt idx="252">
                  <c:v>3911.6781886252274</c:v>
                </c:pt>
                <c:pt idx="253">
                  <c:v>3896.8518657371969</c:v>
                </c:pt>
                <c:pt idx="254">
                  <c:v>3891.909758107854</c:v>
                </c:pt>
                <c:pt idx="255">
                  <c:v>3884.4965966638392</c:v>
                </c:pt>
                <c:pt idx="256">
                  <c:v>3867.1992199611373</c:v>
                </c:pt>
                <c:pt idx="257">
                  <c:v>3872.1413275904806</c:v>
                </c:pt>
                <c:pt idx="258">
                  <c:v>4084.651955652243</c:v>
                </c:pt>
                <c:pt idx="259">
                  <c:v>3862.2571123317944</c:v>
                </c:pt>
                <c:pt idx="260">
                  <c:v>3859.786058517122</c:v>
                </c:pt>
                <c:pt idx="261">
                  <c:v>3830.1334127410628</c:v>
                </c:pt>
                <c:pt idx="262">
                  <c:v>3993.2229645093921</c:v>
                </c:pt>
                <c:pt idx="263">
                  <c:v>3741.1754754128833</c:v>
                </c:pt>
                <c:pt idx="264">
                  <c:v>3827.6623589263913</c:v>
                </c:pt>
                <c:pt idx="265">
                  <c:v>4020.4045564707799</c:v>
                </c:pt>
                <c:pt idx="266">
                  <c:v>3733.7623139688681</c:v>
                </c:pt>
                <c:pt idx="267">
                  <c:v>3928.975565327929</c:v>
                </c:pt>
                <c:pt idx="268">
                  <c:v>3713.9938834514946</c:v>
                </c:pt>
                <c:pt idx="269">
                  <c:v>3936.3887267719438</c:v>
                </c:pt>
                <c:pt idx="270">
                  <c:v>3689.2833453047783</c:v>
                </c:pt>
                <c:pt idx="271">
                  <c:v>3906.7360809958836</c:v>
                </c:pt>
                <c:pt idx="272">
                  <c:v>3694.2254529341212</c:v>
                </c:pt>
                <c:pt idx="273">
                  <c:v>3612.680677049957</c:v>
                </c:pt>
                <c:pt idx="274">
                  <c:v>3694.2254529341212</c:v>
                </c:pt>
                <c:pt idx="275">
                  <c:v>3664.572807158062</c:v>
                </c:pt>
                <c:pt idx="276">
                  <c:v>3573.1438160152111</c:v>
                </c:pt>
                <c:pt idx="277">
                  <c:v>3575.6148698298825</c:v>
                </c:pt>
                <c:pt idx="278">
                  <c:v>3575.6148698298825</c:v>
                </c:pt>
                <c:pt idx="279">
                  <c:v>3580.5569774592259</c:v>
                </c:pt>
                <c:pt idx="280">
                  <c:v>3852.3728970731072</c:v>
                </c:pt>
                <c:pt idx="281">
                  <c:v>3568.2017083858673</c:v>
                </c:pt>
                <c:pt idx="282">
                  <c:v>3713.9938834514946</c:v>
                </c:pt>
                <c:pt idx="283">
                  <c:v>3906.7360809958836</c:v>
                </c:pt>
                <c:pt idx="284">
                  <c:v>3627.5069999379871</c:v>
                </c:pt>
                <c:pt idx="285">
                  <c:v>3689.2833453047783</c:v>
                </c:pt>
                <c:pt idx="286">
                  <c:v>3615.1517308646289</c:v>
                </c:pt>
                <c:pt idx="287">
                  <c:v>3597.8543541619274</c:v>
                </c:pt>
                <c:pt idx="288">
                  <c:v>3590.4411927179121</c:v>
                </c:pt>
                <c:pt idx="289">
                  <c:v>3518.7806320924342</c:v>
                </c:pt>
                <c:pt idx="290">
                  <c:v>3575.6148698298825</c:v>
                </c:pt>
                <c:pt idx="291">
                  <c:v>3568.2017083858673</c:v>
                </c:pt>
                <c:pt idx="292">
                  <c:v>3538.5490626098076</c:v>
                </c:pt>
                <c:pt idx="293">
                  <c:v>3545.9622240538224</c:v>
                </c:pt>
                <c:pt idx="294">
                  <c:v>3461.9463943549863</c:v>
                </c:pt>
                <c:pt idx="295">
                  <c:v>3459.4753405403148</c:v>
                </c:pt>
                <c:pt idx="296">
                  <c:v>3921.5624038839132</c:v>
                </c:pt>
                <c:pt idx="297">
                  <c:v>3723.8780987101813</c:v>
                </c:pt>
                <c:pt idx="298">
                  <c:v>3627.5069999379871</c:v>
                </c:pt>
                <c:pt idx="299">
                  <c:v>3644.8043766406886</c:v>
                </c:pt>
                <c:pt idx="300">
                  <c:v>3607.7385694206137</c:v>
                </c:pt>
                <c:pt idx="301">
                  <c:v>3560.7885469418525</c:v>
                </c:pt>
                <c:pt idx="302">
                  <c:v>3553.3753854978377</c:v>
                </c:pt>
                <c:pt idx="303">
                  <c:v>3281.5594658839555</c:v>
                </c:pt>
                <c:pt idx="304">
                  <c:v>3286.5015735132993</c:v>
                </c:pt>
                <c:pt idx="305">
                  <c:v>3204.9567976291341</c:v>
                </c:pt>
                <c:pt idx="306">
                  <c:v>3256.8489277372391</c:v>
                </c:pt>
                <c:pt idx="307">
                  <c:v>3548.4332778684939</c:v>
                </c:pt>
                <c:pt idx="308">
                  <c:v>3503.9543092044046</c:v>
                </c:pt>
                <c:pt idx="309">
                  <c:v>3627.5069999379871</c:v>
                </c:pt>
                <c:pt idx="310">
                  <c:v>3620.0938384939723</c:v>
                </c:pt>
                <c:pt idx="311">
                  <c:v>3469.3595557990011</c:v>
                </c:pt>
                <c:pt idx="312">
                  <c:v>3444.6490176522848</c:v>
                </c:pt>
                <c:pt idx="313">
                  <c:v>3449.5911252816281</c:v>
                </c:pt>
                <c:pt idx="314">
                  <c:v>3447.1200714669562</c:v>
                </c:pt>
                <c:pt idx="315">
                  <c:v>3335.9226498067324</c:v>
                </c:pt>
                <c:pt idx="316">
                  <c:v>3326.0384345480456</c:v>
                </c:pt>
                <c:pt idx="317">
                  <c:v>3301.3278964013289</c:v>
                </c:pt>
                <c:pt idx="318">
                  <c:v>3321.0963269187023</c:v>
                </c:pt>
                <c:pt idx="319">
                  <c:v>3565.7306545711958</c:v>
                </c:pt>
                <c:pt idx="320">
                  <c:v>3543.4911702391505</c:v>
                </c:pt>
                <c:pt idx="321">
                  <c:v>3466.8885019843297</c:v>
                </c:pt>
                <c:pt idx="322">
                  <c:v>3563.2596007565239</c:v>
                </c:pt>
                <c:pt idx="323">
                  <c:v>3499.0122015750612</c:v>
                </c:pt>
                <c:pt idx="324">
                  <c:v>3669.5149147874054</c:v>
                </c:pt>
                <c:pt idx="325">
                  <c:v>3543.4911702391505</c:v>
                </c:pt>
                <c:pt idx="326">
                  <c:v>3444.6490176522848</c:v>
                </c:pt>
                <c:pt idx="327">
                  <c:v>3516.3095782777627</c:v>
                </c:pt>
                <c:pt idx="328">
                  <c:v>3501.4832553897331</c:v>
                </c:pt>
                <c:pt idx="329">
                  <c:v>3447.1200714669562</c:v>
                </c:pt>
                <c:pt idx="330">
                  <c:v>3481.7148248723597</c:v>
                </c:pt>
                <c:pt idx="331">
                  <c:v>3316.1542192893589</c:v>
                </c:pt>
                <c:pt idx="332">
                  <c:v>3370.5174032121349</c:v>
                </c:pt>
                <c:pt idx="333">
                  <c:v>3422.4095333202399</c:v>
                </c:pt>
                <c:pt idx="334">
                  <c:v>3298.8568425866574</c:v>
                </c:pt>
                <c:pt idx="335">
                  <c:v>3397.6989951735231</c:v>
                </c:pt>
                <c:pt idx="336">
                  <c:v>3580.5569774592259</c:v>
                </c:pt>
                <c:pt idx="337">
                  <c:v>3481.7148248723597</c:v>
                </c:pt>
                <c:pt idx="338">
                  <c:v>3439.7069100229414</c:v>
                </c:pt>
                <c:pt idx="339">
                  <c:v>3550.9043316831653</c:v>
                </c:pt>
                <c:pt idx="340">
                  <c:v>3400.170048988195</c:v>
                </c:pt>
                <c:pt idx="341">
                  <c:v>3422.4095333202399</c:v>
                </c:pt>
                <c:pt idx="342">
                  <c:v>3432.2937485789266</c:v>
                </c:pt>
                <c:pt idx="343">
                  <c:v>3499.0122015750612</c:v>
                </c:pt>
                <c:pt idx="344">
                  <c:v>3390.2858337295083</c:v>
                </c:pt>
                <c:pt idx="345">
                  <c:v>3276.6173582546121</c:v>
                </c:pt>
                <c:pt idx="346">
                  <c:v>3501.4832553897331</c:v>
                </c:pt>
                <c:pt idx="347">
                  <c:v>3486.6569325017031</c:v>
                </c:pt>
                <c:pt idx="348">
                  <c:v>3410.0542642468818</c:v>
                </c:pt>
                <c:pt idx="349">
                  <c:v>3254.3778739225672</c:v>
                </c:pt>
                <c:pt idx="350">
                  <c:v>3414.9963718762251</c:v>
                </c:pt>
                <c:pt idx="351">
                  <c:v>3669.5149147874054</c:v>
                </c:pt>
                <c:pt idx="352">
                  <c:v>3192.601528555776</c:v>
                </c:pt>
                <c:pt idx="353">
                  <c:v>3286.5015735132993</c:v>
                </c:pt>
                <c:pt idx="354">
                  <c:v>3244.493658663881</c:v>
                </c:pt>
                <c:pt idx="355">
                  <c:v>3538.5490626098076</c:v>
                </c:pt>
                <c:pt idx="356">
                  <c:v>6671.8452996134647</c:v>
                </c:pt>
                <c:pt idx="357">
                  <c:v>6464.2767791810447</c:v>
                </c:pt>
                <c:pt idx="358">
                  <c:v>6595.2426313586429</c:v>
                </c:pt>
                <c:pt idx="359">
                  <c:v>6535.9373398065227</c:v>
                </c:pt>
                <c:pt idx="360">
                  <c:v>11524.994991628591</c:v>
                </c:pt>
                <c:pt idx="361">
                  <c:v>12347.855911914252</c:v>
                </c:pt>
                <c:pt idx="362">
                  <c:v>15570.110086246086</c:v>
                </c:pt>
                <c:pt idx="363">
                  <c:v>14930.10714824613</c:v>
                </c:pt>
                <c:pt idx="364">
                  <c:v>14789.257080809844</c:v>
                </c:pt>
                <c:pt idx="365">
                  <c:v>14374.120039945008</c:v>
                </c:pt>
                <c:pt idx="366">
                  <c:v>15545.399548099369</c:v>
                </c:pt>
                <c:pt idx="367">
                  <c:v>13835.430308346587</c:v>
                </c:pt>
                <c:pt idx="368">
                  <c:v>13630.332841728839</c:v>
                </c:pt>
                <c:pt idx="369">
                  <c:v>13835.430308346587</c:v>
                </c:pt>
                <c:pt idx="370">
                  <c:v>13590.795980694093</c:v>
                </c:pt>
                <c:pt idx="371">
                  <c:v>13973.8093219682</c:v>
                </c:pt>
                <c:pt idx="372">
                  <c:v>14527.32537645465</c:v>
                </c:pt>
                <c:pt idx="373">
                  <c:v>14658.291228632248</c:v>
                </c:pt>
                <c:pt idx="374">
                  <c:v>14781.843919365831</c:v>
                </c:pt>
                <c:pt idx="375">
                  <c:v>14638.522798114876</c:v>
                </c:pt>
                <c:pt idx="376">
                  <c:v>14465.549031087859</c:v>
                </c:pt>
                <c:pt idx="377">
                  <c:v>14119.601497033827</c:v>
                </c:pt>
                <c:pt idx="378">
                  <c:v>14260.451564470111</c:v>
                </c:pt>
                <c:pt idx="379">
                  <c:v>14257.98051065544</c:v>
                </c:pt>
                <c:pt idx="380">
                  <c:v>14277.748941172813</c:v>
                </c:pt>
                <c:pt idx="381">
                  <c:v>14248.096295396752</c:v>
                </c:pt>
                <c:pt idx="382">
                  <c:v>15142.617776307892</c:v>
                </c:pt>
                <c:pt idx="383">
                  <c:v>14749.720219775098</c:v>
                </c:pt>
                <c:pt idx="384">
                  <c:v>14556.978022230709</c:v>
                </c:pt>
                <c:pt idx="385">
                  <c:v>14502.614838307933</c:v>
                </c:pt>
                <c:pt idx="386">
                  <c:v>14356.822663242307</c:v>
                </c:pt>
                <c:pt idx="387">
                  <c:v>14176.435734771274</c:v>
                </c:pt>
                <c:pt idx="388">
                  <c:v>14208.559434362007</c:v>
                </c:pt>
                <c:pt idx="389">
                  <c:v>14052.883044037691</c:v>
                </c:pt>
                <c:pt idx="390">
                  <c:v>14040.527774964334</c:v>
                </c:pt>
                <c:pt idx="391">
                  <c:v>13941.685622377468</c:v>
                </c:pt>
                <c:pt idx="392">
                  <c:v>13828.017146902572</c:v>
                </c:pt>
                <c:pt idx="393">
                  <c:v>13701.993402354319</c:v>
                </c:pt>
                <c:pt idx="394">
                  <c:v>13758.827640091766</c:v>
                </c:pt>
                <c:pt idx="395">
                  <c:v>13741.530263389064</c:v>
                </c:pt>
                <c:pt idx="396">
                  <c:v>13415.351159852406</c:v>
                </c:pt>
                <c:pt idx="397">
                  <c:v>13323.922168709556</c:v>
                </c:pt>
                <c:pt idx="398">
                  <c:v>13022.453603319615</c:v>
                </c:pt>
                <c:pt idx="399">
                  <c:v>13131.179971165166</c:v>
                </c:pt>
                <c:pt idx="400">
                  <c:v>14050.41199022302</c:v>
                </c:pt>
                <c:pt idx="401">
                  <c:v>14131.956766107183</c:v>
                </c:pt>
                <c:pt idx="402">
                  <c:v>13370.872191188317</c:v>
                </c:pt>
                <c:pt idx="403">
                  <c:v>13417.822213667076</c:v>
                </c:pt>
                <c:pt idx="404">
                  <c:v>13232.493177566703</c:v>
                </c:pt>
                <c:pt idx="405">
                  <c:v>12997.743065172897</c:v>
                </c:pt>
                <c:pt idx="406">
                  <c:v>13133.651024979838</c:v>
                </c:pt>
                <c:pt idx="407">
                  <c:v>12921.140396918076</c:v>
                </c:pt>
                <c:pt idx="408">
                  <c:v>12753.108737520402</c:v>
                </c:pt>
                <c:pt idx="409">
                  <c:v>12436.813849242431</c:v>
                </c:pt>
                <c:pt idx="410">
                  <c:v>12535.656001829297</c:v>
                </c:pt>
                <c:pt idx="411">
                  <c:v>12340.442750470236</c:v>
                </c:pt>
                <c:pt idx="412">
                  <c:v>11831.405664647877</c:v>
                </c:pt>
                <c:pt idx="413">
                  <c:v>11974.726785898833</c:v>
                </c:pt>
                <c:pt idx="414">
                  <c:v>11819.050395574517</c:v>
                </c:pt>
                <c:pt idx="415">
                  <c:v>11752.331942578383</c:v>
                </c:pt>
                <c:pt idx="416">
                  <c:v>12164.997929628547</c:v>
                </c:pt>
                <c:pt idx="417">
                  <c:v>12216.890059736654</c:v>
                </c:pt>
                <c:pt idx="418">
                  <c:v>12824.76929814588</c:v>
                </c:pt>
                <c:pt idx="419">
                  <c:v>13459.830128516494</c:v>
                </c:pt>
                <c:pt idx="420">
                  <c:v>13516.664366253945</c:v>
                </c:pt>
                <c:pt idx="421">
                  <c:v>13331.335330153572</c:v>
                </c:pt>
                <c:pt idx="422">
                  <c:v>13336.277437782914</c:v>
                </c:pt>
                <c:pt idx="423">
                  <c:v>13146.006294053197</c:v>
                </c:pt>
                <c:pt idx="424">
                  <c:v>13128.708917350496</c:v>
                </c:pt>
                <c:pt idx="425">
                  <c:v>13197.8984241613</c:v>
                </c:pt>
                <c:pt idx="426">
                  <c:v>12886.545643512671</c:v>
                </c:pt>
                <c:pt idx="427">
                  <c:v>12995.272011358225</c:v>
                </c:pt>
                <c:pt idx="428">
                  <c:v>12765.46400659376</c:v>
                </c:pt>
                <c:pt idx="429">
                  <c:v>12439.284903057103</c:v>
                </c:pt>
                <c:pt idx="430">
                  <c:v>12592.490239566747</c:v>
                </c:pt>
                <c:pt idx="431">
                  <c:v>12426.929633983744</c:v>
                </c:pt>
                <c:pt idx="432">
                  <c:v>14601.456990894801</c:v>
                </c:pt>
                <c:pt idx="433">
                  <c:v>14423.541116238441</c:v>
                </c:pt>
                <c:pt idx="434">
                  <c:v>14322.227909836904</c:v>
                </c:pt>
                <c:pt idx="435">
                  <c:v>14250.567349211426</c:v>
                </c:pt>
                <c:pt idx="436">
                  <c:v>13832.959254531916</c:v>
                </c:pt>
                <c:pt idx="437">
                  <c:v>14173.964680956602</c:v>
                </c:pt>
                <c:pt idx="438">
                  <c:v>14166.551519512588</c:v>
                </c:pt>
                <c:pt idx="439">
                  <c:v>14097.36201270178</c:v>
                </c:pt>
                <c:pt idx="440">
                  <c:v>13976.280375782873</c:v>
                </c:pt>
                <c:pt idx="441">
                  <c:v>14042.998828779006</c:v>
                </c:pt>
                <c:pt idx="442">
                  <c:v>15093.196700014458</c:v>
                </c:pt>
                <c:pt idx="443">
                  <c:v>15453.970556956519</c:v>
                </c:pt>
                <c:pt idx="444">
                  <c:v>14700.299143481665</c:v>
                </c:pt>
                <c:pt idx="445">
                  <c:v>14364.235824686322</c:v>
                </c:pt>
                <c:pt idx="446">
                  <c:v>14225.856811064708</c:v>
                </c:pt>
                <c:pt idx="447">
                  <c:v>14223.385757250036</c:v>
                </c:pt>
                <c:pt idx="448">
                  <c:v>14240.683133952738</c:v>
                </c:pt>
                <c:pt idx="449">
                  <c:v>14178.906788585948</c:v>
                </c:pt>
                <c:pt idx="450">
                  <c:v>14156.667304253901</c:v>
                </c:pt>
                <c:pt idx="451">
                  <c:v>14097.36201270178</c:v>
                </c:pt>
                <c:pt idx="452">
                  <c:v>13973.8093219682</c:v>
                </c:pt>
                <c:pt idx="453">
                  <c:v>14280.219994987485</c:v>
                </c:pt>
                <c:pt idx="454">
                  <c:v>13924.388245674767</c:v>
                </c:pt>
                <c:pt idx="455">
                  <c:v>13907.090868972065</c:v>
                </c:pt>
                <c:pt idx="456">
                  <c:v>13929.330353304109</c:v>
                </c:pt>
                <c:pt idx="457">
                  <c:v>14018.28829063229</c:v>
                </c:pt>
                <c:pt idx="458">
                  <c:v>13701.993402354319</c:v>
                </c:pt>
                <c:pt idx="459">
                  <c:v>13687.167079466288</c:v>
                </c:pt>
                <c:pt idx="460">
                  <c:v>13533.961742956646</c:v>
                </c:pt>
                <c:pt idx="461">
                  <c:v>13558.672281103361</c:v>
                </c:pt>
                <c:pt idx="462">
                  <c:v>15019.06508557431</c:v>
                </c:pt>
                <c:pt idx="463">
                  <c:v>14576.746452748084</c:v>
                </c:pt>
                <c:pt idx="464">
                  <c:v>13499.366989551243</c:v>
                </c:pt>
                <c:pt idx="465">
                  <c:v>14460.606923458516</c:v>
                </c:pt>
                <c:pt idx="466">
                  <c:v>14398.830578091725</c:v>
                </c:pt>
                <c:pt idx="467">
                  <c:v>14267.864725914127</c:v>
                </c:pt>
                <c:pt idx="468">
                  <c:v>14233.269972508724</c:v>
                </c:pt>
                <c:pt idx="469">
                  <c:v>14423.541116238441</c:v>
                </c:pt>
                <c:pt idx="470">
                  <c:v>14811.49656514189</c:v>
                </c:pt>
                <c:pt idx="471">
                  <c:v>14038.056721149662</c:v>
                </c:pt>
                <c:pt idx="472">
                  <c:v>13946.627730006812</c:v>
                </c:pt>
                <c:pt idx="473">
                  <c:v>13857.669792678631</c:v>
                </c:pt>
                <c:pt idx="474">
                  <c:v>13897.20665371338</c:v>
                </c:pt>
                <c:pt idx="475">
                  <c:v>13860.140846493305</c:v>
                </c:pt>
                <c:pt idx="476">
                  <c:v>13617.977572655482</c:v>
                </c:pt>
                <c:pt idx="477">
                  <c:v>13847.785577419945</c:v>
                </c:pt>
                <c:pt idx="478">
                  <c:v>13704.464456168989</c:v>
                </c:pt>
                <c:pt idx="479">
                  <c:v>13442.532751813793</c:v>
                </c:pt>
                <c:pt idx="480">
                  <c:v>13202.840531790644</c:v>
                </c:pt>
                <c:pt idx="481">
                  <c:v>13195.42737034663</c:v>
                </c:pt>
                <c:pt idx="482">
                  <c:v>13131.179971165166</c:v>
                </c:pt>
                <c:pt idx="483">
                  <c:v>12718.513984114999</c:v>
                </c:pt>
                <c:pt idx="484">
                  <c:v>12676.506069265582</c:v>
                </c:pt>
                <c:pt idx="485">
                  <c:v>12122.99001477913</c:v>
                </c:pt>
                <c:pt idx="486">
                  <c:v>12266.311136030086</c:v>
                </c:pt>
                <c:pt idx="487">
                  <c:v>11925.305709605398</c:v>
                </c:pt>
                <c:pt idx="488">
                  <c:v>11591.713444624724</c:v>
                </c:pt>
                <c:pt idx="489">
                  <c:v>11673.258220508891</c:v>
                </c:pt>
                <c:pt idx="490">
                  <c:v>11495.342345852532</c:v>
                </c:pt>
                <c:pt idx="491">
                  <c:v>11337.194901713547</c:v>
                </c:pt>
                <c:pt idx="492">
                  <c:v>11161.75008087186</c:v>
                </c:pt>
                <c:pt idx="493">
                  <c:v>10756.497255265707</c:v>
                </c:pt>
                <c:pt idx="494">
                  <c:v>10630.473510717455</c:v>
                </c:pt>
                <c:pt idx="495">
                  <c:v>11028.313174879589</c:v>
                </c:pt>
                <c:pt idx="496">
                  <c:v>10902.289430331333</c:v>
                </c:pt>
                <c:pt idx="497">
                  <c:v>13012.569388060925</c:v>
                </c:pt>
                <c:pt idx="498">
                  <c:v>13479.598559033868</c:v>
                </c:pt>
                <c:pt idx="499">
                  <c:v>13568.556496362047</c:v>
                </c:pt>
                <c:pt idx="500">
                  <c:v>13276.972146230793</c:v>
                </c:pt>
                <c:pt idx="501">
                  <c:v>13981.222483412215</c:v>
                </c:pt>
                <c:pt idx="502">
                  <c:v>13907.090868972065</c:v>
                </c:pt>
                <c:pt idx="503">
                  <c:v>14156.667304253901</c:v>
                </c:pt>
                <c:pt idx="504">
                  <c:v>14028.172505890976</c:v>
                </c:pt>
                <c:pt idx="505">
                  <c:v>13976.280375782873</c:v>
                </c:pt>
                <c:pt idx="506">
                  <c:v>13793.422393497169</c:v>
                </c:pt>
                <c:pt idx="507">
                  <c:v>13763.76974772111</c:v>
                </c:pt>
                <c:pt idx="508">
                  <c:v>13803.306608755856</c:v>
                </c:pt>
                <c:pt idx="509">
                  <c:v>13721.761832871691</c:v>
                </c:pt>
                <c:pt idx="510">
                  <c:v>13595.738088323436</c:v>
                </c:pt>
                <c:pt idx="511">
                  <c:v>13558.672281103361</c:v>
                </c:pt>
                <c:pt idx="512">
                  <c:v>13509.251204809929</c:v>
                </c:pt>
                <c:pt idx="513">
                  <c:v>13440.061697999123</c:v>
                </c:pt>
                <c:pt idx="514">
                  <c:v>13178.129993643926</c:v>
                </c:pt>
                <c:pt idx="515">
                  <c:v>13138.593132609181</c:v>
                </c:pt>
                <c:pt idx="516">
                  <c:v>13094.114163945093</c:v>
                </c:pt>
                <c:pt idx="517">
                  <c:v>12881.603535883329</c:v>
                </c:pt>
                <c:pt idx="518">
                  <c:v>12575.192862864045</c:v>
                </c:pt>
                <c:pt idx="519">
                  <c:v>12664.150800192225</c:v>
                </c:pt>
                <c:pt idx="520">
                  <c:v>12399.748042022356</c:v>
                </c:pt>
                <c:pt idx="521">
                  <c:v>12365.153288616953</c:v>
                </c:pt>
                <c:pt idx="522">
                  <c:v>12147.700552925846</c:v>
                </c:pt>
                <c:pt idx="523">
                  <c:v>12093.337369003069</c:v>
                </c:pt>
                <c:pt idx="524">
                  <c:v>11903.066225273355</c:v>
                </c:pt>
                <c:pt idx="525">
                  <c:v>11900.595171458683</c:v>
                </c:pt>
                <c:pt idx="526">
                  <c:v>11831.405664647877</c:v>
                </c:pt>
                <c:pt idx="527">
                  <c:v>11529.937099257933</c:v>
                </c:pt>
                <c:pt idx="528">
                  <c:v>11562.060798848664</c:v>
                </c:pt>
                <c:pt idx="529">
                  <c:v>11623.837144215457</c:v>
                </c:pt>
                <c:pt idx="530">
                  <c:v>11465.689700076471</c:v>
                </c:pt>
                <c:pt idx="531">
                  <c:v>11631.250305659472</c:v>
                </c:pt>
                <c:pt idx="532">
                  <c:v>11463.218646261799</c:v>
                </c:pt>
                <c:pt idx="533">
                  <c:v>11423.681785227052</c:v>
                </c:pt>
                <c:pt idx="534">
                  <c:v>10427.847097914379</c:v>
                </c:pt>
                <c:pt idx="535">
                  <c:v>10936.884183736736</c:v>
                </c:pt>
                <c:pt idx="536">
                  <c:v>11119.742166022441</c:v>
                </c:pt>
                <c:pt idx="537">
                  <c:v>10741.670932377678</c:v>
                </c:pt>
                <c:pt idx="538">
                  <c:v>10805.918331559138</c:v>
                </c:pt>
                <c:pt idx="539">
                  <c:v>10778.736739597751</c:v>
                </c:pt>
                <c:pt idx="540">
                  <c:v>10462.441851319782</c:v>
                </c:pt>
                <c:pt idx="541">
                  <c:v>10114.023263451078</c:v>
                </c:pt>
                <c:pt idx="542">
                  <c:v>10361.128644918243</c:v>
                </c:pt>
                <c:pt idx="543">
                  <c:v>10072.015348601659</c:v>
                </c:pt>
                <c:pt idx="544">
                  <c:v>10195.568039335241</c:v>
                </c:pt>
                <c:pt idx="545">
                  <c:v>10111.552209636406</c:v>
                </c:pt>
                <c:pt idx="546">
                  <c:v>9857.033666725225</c:v>
                </c:pt>
                <c:pt idx="547">
                  <c:v>9827.3810209491658</c:v>
                </c:pt>
                <c:pt idx="548">
                  <c:v>9740.8941374356582</c:v>
                </c:pt>
                <c:pt idx="549">
                  <c:v>9758.1915141383597</c:v>
                </c:pt>
                <c:pt idx="550">
                  <c:v>9740.8941374356582</c:v>
                </c:pt>
                <c:pt idx="551">
                  <c:v>9456.7229487484183</c:v>
                </c:pt>
                <c:pt idx="552">
                  <c:v>9545.6808860765959</c:v>
                </c:pt>
                <c:pt idx="553">
                  <c:v>9170.0807062465046</c:v>
                </c:pt>
                <c:pt idx="554">
                  <c:v>9444.3676796750588</c:v>
                </c:pt>
                <c:pt idx="555">
                  <c:v>9182.4359753198623</c:v>
                </c:pt>
                <c:pt idx="556">
                  <c:v>9184.9070291345361</c:v>
                </c:pt>
                <c:pt idx="557">
                  <c:v>9026.7595849955487</c:v>
                </c:pt>
                <c:pt idx="558">
                  <c:v>8866.1410870418913</c:v>
                </c:pt>
                <c:pt idx="559">
                  <c:v>9073.7096074743113</c:v>
                </c:pt>
                <c:pt idx="560">
                  <c:v>8752.4726115669964</c:v>
                </c:pt>
                <c:pt idx="561">
                  <c:v>8940.2727014820412</c:v>
                </c:pt>
                <c:pt idx="562">
                  <c:v>9157.7254371731487</c:v>
                </c:pt>
                <c:pt idx="563">
                  <c:v>8357.1040012195317</c:v>
                </c:pt>
                <c:pt idx="564">
                  <c:v>8789.5384187870714</c:v>
                </c:pt>
                <c:pt idx="565">
                  <c:v>8619.0357055747281</c:v>
                </c:pt>
                <c:pt idx="566">
                  <c:v>8530.0777682465487</c:v>
                </c:pt>
                <c:pt idx="567">
                  <c:v>8413.9382389569782</c:v>
                </c:pt>
                <c:pt idx="568">
                  <c:v>7983.9748752041123</c:v>
                </c:pt>
                <c:pt idx="569">
                  <c:v>8112.4696735670377</c:v>
                </c:pt>
                <c:pt idx="570">
                  <c:v>7860.4221844705298</c:v>
                </c:pt>
                <c:pt idx="571">
                  <c:v>7870.3063997292156</c:v>
                </c:pt>
                <c:pt idx="572">
                  <c:v>8223.6670952272616</c:v>
                </c:pt>
                <c:pt idx="573">
                  <c:v>8117.4117811963815</c:v>
                </c:pt>
                <c:pt idx="574">
                  <c:v>7872.7774535438875</c:v>
                </c:pt>
                <c:pt idx="575">
                  <c:v>7447.7561974203627</c:v>
                </c:pt>
                <c:pt idx="576">
                  <c:v>7600.9615339300062</c:v>
                </c:pt>
                <c:pt idx="577">
                  <c:v>8154.4775884164565</c:v>
                </c:pt>
                <c:pt idx="578">
                  <c:v>8203.8986647098882</c:v>
                </c:pt>
                <c:pt idx="579">
                  <c:v>7897.4879916906048</c:v>
                </c:pt>
                <c:pt idx="580">
                  <c:v>7786.29057003038</c:v>
                </c:pt>
                <c:pt idx="581">
                  <c:v>7739.3405475516183</c:v>
                </c:pt>
                <c:pt idx="582">
                  <c:v>7442.8140897910198</c:v>
                </c:pt>
                <c:pt idx="583">
                  <c:v>7739.3405475516183</c:v>
                </c:pt>
                <c:pt idx="584">
                  <c:v>7193.2376545091829</c:v>
                </c:pt>
                <c:pt idx="585">
                  <c:v>7141.3455244010775</c:v>
                </c:pt>
                <c:pt idx="586">
                  <c:v>7143.8165782157494</c:v>
                </c:pt>
                <c:pt idx="587">
                  <c:v>6629.837384764046</c:v>
                </c:pt>
                <c:pt idx="588">
                  <c:v>6676.7874072428076</c:v>
                </c:pt>
                <c:pt idx="589">
                  <c:v>6563.1189317679109</c:v>
                </c:pt>
                <c:pt idx="590">
                  <c:v>6459.3346715517018</c:v>
                </c:pt>
                <c:pt idx="591">
                  <c:v>6316.0135503007459</c:v>
                </c:pt>
                <c:pt idx="592">
                  <c:v>6155.3950523470885</c:v>
                </c:pt>
                <c:pt idx="593">
                  <c:v>6301.1872274127163</c:v>
                </c:pt>
                <c:pt idx="594">
                  <c:v>14028.172505890976</c:v>
                </c:pt>
                <c:pt idx="595">
                  <c:v>13818.132931643886</c:v>
                </c:pt>
                <c:pt idx="596">
                  <c:v>13914.504030416081</c:v>
                </c:pt>
                <c:pt idx="597">
                  <c:v>13719.290779057021</c:v>
                </c:pt>
                <c:pt idx="598">
                  <c:v>13590.795980694093</c:v>
                </c:pt>
                <c:pt idx="599">
                  <c:v>13417.822213667076</c:v>
                </c:pt>
                <c:pt idx="600">
                  <c:v>12913.72723547406</c:v>
                </c:pt>
                <c:pt idx="601">
                  <c:v>12780.29032948179</c:v>
                </c:pt>
                <c:pt idx="602">
                  <c:v>13005.156226616911</c:v>
                </c:pt>
                <c:pt idx="603">
                  <c:v>13069.403625798375</c:v>
                </c:pt>
                <c:pt idx="604">
                  <c:v>12762.992952779088</c:v>
                </c:pt>
                <c:pt idx="605">
                  <c:v>12847.008782477926</c:v>
                </c:pt>
                <c:pt idx="606">
                  <c:v>12728.398199373685</c:v>
                </c:pt>
                <c:pt idx="607">
                  <c:v>12609.787616269448</c:v>
                </c:pt>
                <c:pt idx="608">
                  <c:v>12560.366539976014</c:v>
                </c:pt>
                <c:pt idx="609">
                  <c:v>12337.971696655564</c:v>
                </c:pt>
                <c:pt idx="610">
                  <c:v>11878.355687126637</c:v>
                </c:pt>
                <c:pt idx="611">
                  <c:v>11826.463557018533</c:v>
                </c:pt>
                <c:pt idx="612">
                  <c:v>11665.845059064875</c:v>
                </c:pt>
                <c:pt idx="613">
                  <c:v>11376.731762748292</c:v>
                </c:pt>
                <c:pt idx="614">
                  <c:v>12199.59268303395</c:v>
                </c:pt>
                <c:pt idx="615">
                  <c:v>11841.289879906564</c:v>
                </c:pt>
                <c:pt idx="616">
                  <c:v>11838.818826091891</c:v>
                </c:pt>
                <c:pt idx="617">
                  <c:v>11436.037054300412</c:v>
                </c:pt>
                <c:pt idx="618">
                  <c:v>11381.673870377637</c:v>
                </c:pt>
                <c:pt idx="619">
                  <c:v>11354.492278416248</c:v>
                </c:pt>
                <c:pt idx="620">
                  <c:v>11386.615978006979</c:v>
                </c:pt>
                <c:pt idx="621">
                  <c:v>10892.405215072647</c:v>
                </c:pt>
                <c:pt idx="622">
                  <c:v>11033.255282508931</c:v>
                </c:pt>
                <c:pt idx="623">
                  <c:v>10887.463107443304</c:v>
                </c:pt>
                <c:pt idx="624">
                  <c:v>10761.439362895051</c:v>
                </c:pt>
                <c:pt idx="625">
                  <c:v>10534.10241194526</c:v>
                </c:pt>
                <c:pt idx="626">
                  <c:v>10568.697165350663</c:v>
                </c:pt>
                <c:pt idx="627">
                  <c:v>10232.633846555314</c:v>
                </c:pt>
                <c:pt idx="628">
                  <c:v>10198.039093149913</c:v>
                </c:pt>
                <c:pt idx="629">
                  <c:v>10136.262747783121</c:v>
                </c:pt>
                <c:pt idx="630">
                  <c:v>10106.610102007062</c:v>
                </c:pt>
                <c:pt idx="631">
                  <c:v>10477.268174207809</c:v>
                </c:pt>
                <c:pt idx="632">
                  <c:v>9965.7600345707779</c:v>
                </c:pt>
                <c:pt idx="633">
                  <c:v>9950.9337116827501</c:v>
                </c:pt>
                <c:pt idx="634">
                  <c:v>9837.2652362078534</c:v>
                </c:pt>
                <c:pt idx="635">
                  <c:v>9533.3256170032382</c:v>
                </c:pt>
                <c:pt idx="636">
                  <c:v>10647.770887420156</c:v>
                </c:pt>
                <c:pt idx="637">
                  <c:v>9753.2494065090159</c:v>
                </c:pt>
                <c:pt idx="638">
                  <c:v>13430.177482740435</c:v>
                </c:pt>
                <c:pt idx="639">
                  <c:v>13360.987975929631</c:v>
                </c:pt>
                <c:pt idx="640">
                  <c:v>13079.287841057061</c:v>
                </c:pt>
                <c:pt idx="641">
                  <c:v>12923.611450732746</c:v>
                </c:pt>
                <c:pt idx="642">
                  <c:v>12750.637683705731</c:v>
                </c:pt>
                <c:pt idx="643">
                  <c:v>12434.342795427759</c:v>
                </c:pt>
                <c:pt idx="644">
                  <c:v>11310.013309752159</c:v>
                </c:pt>
                <c:pt idx="645">
                  <c:v>11107.386896949083</c:v>
                </c:pt>
                <c:pt idx="646">
                  <c:v>10820.74465444717</c:v>
                </c:pt>
                <c:pt idx="647">
                  <c:v>10749.084093821693</c:v>
                </c:pt>
                <c:pt idx="648">
                  <c:v>10511.862927613212</c:v>
                </c:pt>
                <c:pt idx="649">
                  <c:v>10118.96537108042</c:v>
                </c:pt>
                <c:pt idx="650">
                  <c:v>10299.35229955145</c:v>
                </c:pt>
                <c:pt idx="651">
                  <c:v>9884.2152586866141</c:v>
                </c:pt>
                <c:pt idx="652">
                  <c:v>9520.9703479298805</c:v>
                </c:pt>
                <c:pt idx="653">
                  <c:v>9506.1440250418491</c:v>
                </c:pt>
                <c:pt idx="654">
                  <c:v>9543.209832261924</c:v>
                </c:pt>
                <c:pt idx="655">
                  <c:v>9204.6754596519095</c:v>
                </c:pt>
                <c:pt idx="656">
                  <c:v>8811.7779031191149</c:v>
                </c:pt>
                <c:pt idx="657">
                  <c:v>8787.0673649724013</c:v>
                </c:pt>
                <c:pt idx="658">
                  <c:v>8851.3147641538617</c:v>
                </c:pt>
                <c:pt idx="659">
                  <c:v>8510.3093377291734</c:v>
                </c:pt>
                <c:pt idx="660">
                  <c:v>8208.840772339232</c:v>
                </c:pt>
                <c:pt idx="661">
                  <c:v>8070.461758717619</c:v>
                </c:pt>
                <c:pt idx="662">
                  <c:v>8040.8091129415598</c:v>
                </c:pt>
                <c:pt idx="663">
                  <c:v>15276.054682300162</c:v>
                </c:pt>
                <c:pt idx="664">
                  <c:v>13912.032976601407</c:v>
                </c:pt>
                <c:pt idx="665">
                  <c:v>13190.485262717286</c:v>
                </c:pt>
                <c:pt idx="666">
                  <c:v>16926.718630500825</c:v>
                </c:pt>
                <c:pt idx="667">
                  <c:v>13781.067124423811</c:v>
                </c:pt>
                <c:pt idx="668">
                  <c:v>13617.977572655482</c:v>
                </c:pt>
                <c:pt idx="669">
                  <c:v>13296.740576748169</c:v>
                </c:pt>
                <c:pt idx="670">
                  <c:v>13180.6010474586</c:v>
                </c:pt>
                <c:pt idx="671">
                  <c:v>13294.269522933495</c:v>
                </c:pt>
                <c:pt idx="672">
                  <c:v>13143.535240238523</c:v>
                </c:pt>
                <c:pt idx="673">
                  <c:v>12510.945463682581</c:v>
                </c:pt>
                <c:pt idx="674">
                  <c:v>12594.961293381417</c:v>
                </c:pt>
                <c:pt idx="675">
                  <c:v>12483.763871721194</c:v>
                </c:pt>
                <c:pt idx="676">
                  <c:v>12273.724297474102</c:v>
                </c:pt>
                <c:pt idx="677">
                  <c:v>11984.61100115752</c:v>
                </c:pt>
                <c:pt idx="678">
                  <c:v>11863.529364238608</c:v>
                </c:pt>
                <c:pt idx="679">
                  <c:v>11651.018736176844</c:v>
                </c:pt>
                <c:pt idx="680">
                  <c:v>11524.994991628591</c:v>
                </c:pt>
                <c:pt idx="681">
                  <c:v>11440.979161929754</c:v>
                </c:pt>
                <c:pt idx="682">
                  <c:v>11470.631807705815</c:v>
                </c:pt>
                <c:pt idx="683">
                  <c:v>11235.881695312008</c:v>
                </c:pt>
                <c:pt idx="684">
                  <c:v>11260.592233458725</c:v>
                </c:pt>
                <c:pt idx="685">
                  <c:v>11109.857950763753</c:v>
                </c:pt>
                <c:pt idx="686">
                  <c:v>10724.373555674976</c:v>
                </c:pt>
                <c:pt idx="687">
                  <c:v>10531.631358130586</c:v>
                </c:pt>
                <c:pt idx="688">
                  <c:v>10492.094497095841</c:v>
                </c:pt>
                <c:pt idx="689">
                  <c:v>10413.020775026347</c:v>
                </c:pt>
                <c:pt idx="690">
                  <c:v>10089.31272530436</c:v>
                </c:pt>
                <c:pt idx="691">
                  <c:v>9926.2231735360328</c:v>
                </c:pt>
                <c:pt idx="692">
                  <c:v>10311.707568624808</c:v>
                </c:pt>
                <c:pt idx="693">
                  <c:v>11917.892548161384</c:v>
                </c:pt>
                <c:pt idx="694">
                  <c:v>11843.760933721234</c:v>
                </c:pt>
                <c:pt idx="695">
                  <c:v>11626.308198030129</c:v>
                </c:pt>
                <c:pt idx="696">
                  <c:v>11604.068713698083</c:v>
                </c:pt>
                <c:pt idx="697">
                  <c:v>11507.69761492589</c:v>
                </c:pt>
                <c:pt idx="698">
                  <c:v>11319.897525010845</c:v>
                </c:pt>
                <c:pt idx="699">
                  <c:v>11198.815888091933</c:v>
                </c:pt>
                <c:pt idx="700">
                  <c:v>11186.460619018575</c:v>
                </c:pt>
                <c:pt idx="701">
                  <c:v>11067.850035914335</c:v>
                </c:pt>
                <c:pt idx="702">
                  <c:v>10889.934161257976</c:v>
                </c:pt>
                <c:pt idx="703">
                  <c:v>10435.260259358391</c:v>
                </c:pt>
                <c:pt idx="704">
                  <c:v>10511.862927613212</c:v>
                </c:pt>
                <c:pt idx="705">
                  <c:v>10425.376044099705</c:v>
                </c:pt>
                <c:pt idx="706">
                  <c:v>9973.1731960147936</c:v>
                </c:pt>
                <c:pt idx="707">
                  <c:v>10032.478487566914</c:v>
                </c:pt>
                <c:pt idx="708">
                  <c:v>9879.2731510572703</c:v>
                </c:pt>
                <c:pt idx="709">
                  <c:v>9731.0099221769706</c:v>
                </c:pt>
                <c:pt idx="710">
                  <c:v>9716.183599288941</c:v>
                </c:pt>
                <c:pt idx="711">
                  <c:v>9740.8941374356582</c:v>
                </c:pt>
                <c:pt idx="712">
                  <c:v>11534.879206887277</c:v>
                </c:pt>
                <c:pt idx="713">
                  <c:v>11571.945014107352</c:v>
                </c:pt>
                <c:pt idx="714">
                  <c:v>11764.687211651741</c:v>
                </c:pt>
                <c:pt idx="715">
                  <c:v>11856.116202794592</c:v>
                </c:pt>
                <c:pt idx="716">
                  <c:v>11601.597659883413</c:v>
                </c:pt>
                <c:pt idx="717">
                  <c:v>11339.665955528219</c:v>
                </c:pt>
                <c:pt idx="718">
                  <c:v>15256.286251782789</c:v>
                </c:pt>
                <c:pt idx="719">
                  <c:v>13795.893447311841</c:v>
                </c:pt>
                <c:pt idx="720">
                  <c:v>13262.145823342764</c:v>
                </c:pt>
                <c:pt idx="721">
                  <c:v>13259.674769528092</c:v>
                </c:pt>
                <c:pt idx="722">
                  <c:v>13348.632706856273</c:v>
                </c:pt>
                <c:pt idx="723">
                  <c:v>12891.487751142015</c:v>
                </c:pt>
                <c:pt idx="724">
                  <c:v>13188.014208902614</c:v>
                </c:pt>
                <c:pt idx="725">
                  <c:v>13373.343245002989</c:v>
                </c:pt>
                <c:pt idx="726">
                  <c:v>13272.030038601451</c:v>
                </c:pt>
                <c:pt idx="727">
                  <c:v>13222.608962308017</c:v>
                </c:pt>
                <c:pt idx="728">
                  <c:v>13160.832616941225</c:v>
                </c:pt>
                <c:pt idx="729">
                  <c:v>12906.314074030044</c:v>
                </c:pt>
                <c:pt idx="730">
                  <c:v>12822.298244331208</c:v>
                </c:pt>
                <c:pt idx="731">
                  <c:v>12313.261158508847</c:v>
                </c:pt>
                <c:pt idx="732">
                  <c:v>12125.461068593802</c:v>
                </c:pt>
                <c:pt idx="733">
                  <c:v>13440.061697999123</c:v>
                </c:pt>
                <c:pt idx="734">
                  <c:v>13440.061697999123</c:v>
                </c:pt>
                <c:pt idx="735">
                  <c:v>13116.353648277136</c:v>
                </c:pt>
                <c:pt idx="736">
                  <c:v>13022.453603319615</c:v>
                </c:pt>
                <c:pt idx="737">
                  <c:v>12844.537728663252</c:v>
                </c:pt>
                <c:pt idx="738">
                  <c:v>12449.169118315791</c:v>
                </c:pt>
                <c:pt idx="739">
                  <c:v>12498.590194609222</c:v>
                </c:pt>
                <c:pt idx="740">
                  <c:v>12135.345283852488</c:v>
                </c:pt>
                <c:pt idx="741">
                  <c:v>12011.792593118907</c:v>
                </c:pt>
                <c:pt idx="742">
                  <c:v>11571.945014107352</c:v>
                </c:pt>
                <c:pt idx="743">
                  <c:v>11413.797569968367</c:v>
                </c:pt>
                <c:pt idx="744">
                  <c:v>11013.486851991558</c:v>
                </c:pt>
                <c:pt idx="745">
                  <c:v>10929.471022292721</c:v>
                </c:pt>
                <c:pt idx="746">
                  <c:v>11352.021224601576</c:v>
                </c:pt>
                <c:pt idx="747">
                  <c:v>11700.439812470278</c:v>
                </c:pt>
                <c:pt idx="748">
                  <c:v>11552.176583589979</c:v>
                </c:pt>
                <c:pt idx="749">
                  <c:v>11520.052883999246</c:v>
                </c:pt>
                <c:pt idx="750">
                  <c:v>10894.876268887319</c:v>
                </c:pt>
                <c:pt idx="751">
                  <c:v>10756.497255265707</c:v>
                </c:pt>
                <c:pt idx="752">
                  <c:v>10642.828779790812</c:v>
                </c:pt>
                <c:pt idx="753">
                  <c:v>10573.639272980005</c:v>
                </c:pt>
                <c:pt idx="754">
                  <c:v>10272.170707590063</c:v>
                </c:pt>
                <c:pt idx="755">
                  <c:v>10610.705080200079</c:v>
                </c:pt>
                <c:pt idx="756">
                  <c:v>9941.0494964240606</c:v>
                </c:pt>
                <c:pt idx="757">
                  <c:v>9807.6125904317923</c:v>
                </c:pt>
                <c:pt idx="758">
                  <c:v>9735.9520298063144</c:v>
                </c:pt>
                <c:pt idx="759">
                  <c:v>9580.2756394820008</c:v>
                </c:pt>
                <c:pt idx="760">
                  <c:v>9469.078217821776</c:v>
                </c:pt>
                <c:pt idx="761">
                  <c:v>9545.6808860765959</c:v>
                </c:pt>
                <c:pt idx="762">
                  <c:v>9684.059899698208</c:v>
                </c:pt>
                <c:pt idx="763">
                  <c:v>9177.4938676905203</c:v>
                </c:pt>
                <c:pt idx="764">
                  <c:v>9175.0228138758503</c:v>
                </c:pt>
                <c:pt idx="765">
                  <c:v>10754.026201451035</c:v>
                </c:pt>
                <c:pt idx="766">
                  <c:v>12211.94795210731</c:v>
                </c:pt>
                <c:pt idx="767">
                  <c:v>12528.242840385283</c:v>
                </c:pt>
                <c:pt idx="768">
                  <c:v>13289.327415304153</c:v>
                </c:pt>
                <c:pt idx="769">
                  <c:v>12950.793042694135</c:v>
                </c:pt>
                <c:pt idx="770">
                  <c:v>13803.306608755856</c:v>
                </c:pt>
                <c:pt idx="771">
                  <c:v>12249.013759327385</c:v>
                </c:pt>
                <c:pt idx="772">
                  <c:v>13101.527325389106</c:v>
                </c:pt>
                <c:pt idx="773">
                  <c:v>13017.511495690269</c:v>
                </c:pt>
                <c:pt idx="774">
                  <c:v>13605.622303582124</c:v>
                </c:pt>
                <c:pt idx="775">
                  <c:v>12926.082504547419</c:v>
                </c:pt>
                <c:pt idx="776">
                  <c:v>12871.719320624643</c:v>
                </c:pt>
                <c:pt idx="777">
                  <c:v>12683.919230709596</c:v>
                </c:pt>
                <c:pt idx="778">
                  <c:v>14549.564860786695</c:v>
                </c:pt>
                <c:pt idx="779">
                  <c:v>13650.101272246213</c:v>
                </c:pt>
                <c:pt idx="780">
                  <c:v>13422.764321296419</c:v>
                </c:pt>
                <c:pt idx="781">
                  <c:v>13192.956316531958</c:v>
                </c:pt>
                <c:pt idx="782">
                  <c:v>13141.064186423853</c:v>
                </c:pt>
                <c:pt idx="783">
                  <c:v>13042.222033836986</c:v>
                </c:pt>
                <c:pt idx="784">
                  <c:v>13007.627280431583</c:v>
                </c:pt>
                <c:pt idx="785">
                  <c:v>12945.850935064791</c:v>
                </c:pt>
                <c:pt idx="786">
                  <c:v>12963.148311767492</c:v>
                </c:pt>
                <c:pt idx="787">
                  <c:v>12528.242840385283</c:v>
                </c:pt>
                <c:pt idx="788">
                  <c:v>12777.81927566712</c:v>
                </c:pt>
                <c:pt idx="789">
                  <c:v>12785.232437111134</c:v>
                </c:pt>
                <c:pt idx="790">
                  <c:v>12963.148311767492</c:v>
                </c:pt>
                <c:pt idx="791">
                  <c:v>12849.479836292598</c:v>
                </c:pt>
                <c:pt idx="792">
                  <c:v>12859.364051551283</c:v>
                </c:pt>
                <c:pt idx="793">
                  <c:v>12693.803445968284</c:v>
                </c:pt>
                <c:pt idx="794">
                  <c:v>12436.813849242431</c:v>
                </c:pt>
                <c:pt idx="795">
                  <c:v>11225.997480053322</c:v>
                </c:pt>
                <c:pt idx="796">
                  <c:v>12246.542705512715</c:v>
                </c:pt>
                <c:pt idx="797">
                  <c:v>12286.07956654746</c:v>
                </c:pt>
                <c:pt idx="798">
                  <c:v>11673.258220508891</c:v>
                </c:pt>
                <c:pt idx="799">
                  <c:v>11352.021224601576</c:v>
                </c:pt>
                <c:pt idx="800">
                  <c:v>11117.271112207769</c:v>
                </c:pt>
                <c:pt idx="801">
                  <c:v>11221.055372423978</c:v>
                </c:pt>
                <c:pt idx="802">
                  <c:v>12772.877168037774</c:v>
                </c:pt>
                <c:pt idx="803">
                  <c:v>12169.940037257891</c:v>
                </c:pt>
                <c:pt idx="804">
                  <c:v>12859.364051551283</c:v>
                </c:pt>
                <c:pt idx="805">
                  <c:v>12436.813849242431</c:v>
                </c:pt>
                <c:pt idx="806">
                  <c:v>12404.6901496517</c:v>
                </c:pt>
                <c:pt idx="807">
                  <c:v>12147.700552925846</c:v>
                </c:pt>
                <c:pt idx="808">
                  <c:v>11917.892548161384</c:v>
                </c:pt>
                <c:pt idx="809">
                  <c:v>11735.034565875681</c:v>
                </c:pt>
                <c:pt idx="810">
                  <c:v>11520.052883999246</c:v>
                </c:pt>
                <c:pt idx="811">
                  <c:v>11542.292368331293</c:v>
                </c:pt>
                <c:pt idx="812">
                  <c:v>11349.550170786904</c:v>
                </c:pt>
                <c:pt idx="813">
                  <c:v>10786.149901041766</c:v>
                </c:pt>
                <c:pt idx="814">
                  <c:v>10709.547232786947</c:v>
                </c:pt>
                <c:pt idx="815">
                  <c:v>10543.986627203945</c:v>
                </c:pt>
                <c:pt idx="816">
                  <c:v>10640.357725976141</c:v>
                </c:pt>
                <c:pt idx="817">
                  <c:v>10341.360214400869</c:v>
                </c:pt>
                <c:pt idx="818">
                  <c:v>10151.089070671151</c:v>
                </c:pt>
                <c:pt idx="819">
                  <c:v>9866.9178819839126</c:v>
                </c:pt>
                <c:pt idx="820">
                  <c:v>9768.0757293970455</c:v>
                </c:pt>
                <c:pt idx="821">
                  <c:v>9787.8441599144189</c:v>
                </c:pt>
                <c:pt idx="822">
                  <c:v>9582.7466932966709</c:v>
                </c:pt>
                <c:pt idx="823">
                  <c:v>10015.181110864212</c:v>
                </c:pt>
                <c:pt idx="824">
                  <c:v>9058.8832845862798</c:v>
                </c:pt>
                <c:pt idx="825">
                  <c:v>9098.4201456210267</c:v>
                </c:pt>
                <c:pt idx="826">
                  <c:v>8950.156916740727</c:v>
                </c:pt>
                <c:pt idx="827">
                  <c:v>8851.3147641538617</c:v>
                </c:pt>
                <c:pt idx="828">
                  <c:v>8779.6542035283856</c:v>
                </c:pt>
                <c:pt idx="829">
                  <c:v>9333.1702580148358</c:v>
                </c:pt>
                <c:pt idx="830">
                  <c:v>8754.9436653816683</c:v>
                </c:pt>
                <c:pt idx="831">
                  <c:v>8693.1673200148762</c:v>
                </c:pt>
                <c:pt idx="832">
                  <c:v>8799.4226340457571</c:v>
                </c:pt>
                <c:pt idx="833">
                  <c:v>8535.0198758758906</c:v>
                </c:pt>
                <c:pt idx="834">
                  <c:v>9110.7754146943844</c:v>
                </c:pt>
                <c:pt idx="835">
                  <c:v>8636.3330822774296</c:v>
                </c:pt>
                <c:pt idx="836">
                  <c:v>8119.8828350110534</c:v>
                </c:pt>
                <c:pt idx="837">
                  <c:v>8035.8670053122178</c:v>
                </c:pt>
                <c:pt idx="838">
                  <c:v>8984.7516701461318</c:v>
                </c:pt>
                <c:pt idx="839">
                  <c:v>7919.7274760226483</c:v>
                </c:pt>
                <c:pt idx="840">
                  <c:v>7699.8036865168715</c:v>
                </c:pt>
                <c:pt idx="841">
                  <c:v>7210.5350312118844</c:v>
                </c:pt>
                <c:pt idx="842">
                  <c:v>7680.0352559994981</c:v>
                </c:pt>
                <c:pt idx="843">
                  <c:v>6916.4796272659578</c:v>
                </c:pt>
                <c:pt idx="844">
                  <c:v>6713.8532144628825</c:v>
                </c:pt>
                <c:pt idx="845">
                  <c:v>6323.4267117447607</c:v>
                </c:pt>
                <c:pt idx="846">
                  <c:v>6481.5741558837462</c:v>
                </c:pt>
                <c:pt idx="847">
                  <c:v>6115.8581913123417</c:v>
                </c:pt>
                <c:pt idx="848">
                  <c:v>6036.7844692428489</c:v>
                </c:pt>
                <c:pt idx="849">
                  <c:v>5634.0026974513703</c:v>
                </c:pt>
                <c:pt idx="850">
                  <c:v>5557.4000291965476</c:v>
                </c:pt>
                <c:pt idx="851">
                  <c:v>5503.0368452737721</c:v>
                </c:pt>
                <c:pt idx="852">
                  <c:v>5290.5262172120101</c:v>
                </c:pt>
                <c:pt idx="853">
                  <c:v>5092.8419120382769</c:v>
                </c:pt>
                <c:pt idx="854">
                  <c:v>5003.8839747100983</c:v>
                </c:pt>
                <c:pt idx="855">
                  <c:v>4890.2154992352016</c:v>
                </c:pt>
                <c:pt idx="856">
                  <c:v>4922.3391988259336</c:v>
                </c:pt>
                <c:pt idx="857">
                  <c:v>5821.802787366415</c:v>
                </c:pt>
                <c:pt idx="858">
                  <c:v>5937.9423166559836</c:v>
                </c:pt>
                <c:pt idx="859">
                  <c:v>5542.573706308518</c:v>
                </c:pt>
                <c:pt idx="860">
                  <c:v>5520.3342219764736</c:v>
                </c:pt>
                <c:pt idx="861">
                  <c:v>5347.3604549494585</c:v>
                </c:pt>
                <c:pt idx="862">
                  <c:v>4981.644490378053</c:v>
                </c:pt>
                <c:pt idx="863">
                  <c:v>5972.5370700613867</c:v>
                </c:pt>
                <c:pt idx="864">
                  <c:v>4833.3812614977533</c:v>
                </c:pt>
                <c:pt idx="865">
                  <c:v>4695.0022478761421</c:v>
                </c:pt>
                <c:pt idx="866">
                  <c:v>4573.9206109572306</c:v>
                </c:pt>
                <c:pt idx="867">
                  <c:v>4376.2363057834982</c:v>
                </c:pt>
                <c:pt idx="868">
                  <c:v>6143.0397832737299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7-8E4F-BD85-91C4A9C57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235344"/>
        <c:axId val="641237056"/>
      </c:lineChart>
      <c:dateAx>
        <c:axId val="641235344"/>
        <c:scaling>
          <c:orientation val="minMax"/>
          <c:max val="46023"/>
          <c:min val="387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7056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6412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Reservoir Surface Water</a:t>
                </a:r>
                <a:r>
                  <a:rPr lang="en-GB" sz="1400" b="1" baseline="0"/>
                  <a:t> </a:t>
                </a:r>
                <a:r>
                  <a:rPr lang="en-GB" sz="1400" b="1"/>
                  <a:t>Area</a:t>
                </a:r>
                <a:r>
                  <a:rPr lang="en-GB" sz="1400" b="1" baseline="0"/>
                  <a:t> (acres)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Info!$C$55</c:f>
          <c:strCache>
            <c:ptCount val="1"/>
            <c:pt idx="0">
              <c:v>Mirani Reservoir, Balochistan: Reservoir Water Level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Calcs!$I$4</c:f>
              <c:strCache>
                <c:ptCount val="1"/>
                <c:pt idx="0">
                  <c:v>Elevation (SRTM30-ft)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bg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Calcs!$C$5:$C$873</c:f>
              <c:numCache>
                <c:formatCode>m/d/yy</c:formatCode>
                <c:ptCount val="869"/>
                <c:pt idx="0">
                  <c:v>38966</c:v>
                </c:pt>
                <c:pt idx="1">
                  <c:v>38982</c:v>
                </c:pt>
                <c:pt idx="2">
                  <c:v>39014</c:v>
                </c:pt>
                <c:pt idx="3">
                  <c:v>39174</c:v>
                </c:pt>
                <c:pt idx="4">
                  <c:v>39190</c:v>
                </c:pt>
                <c:pt idx="5">
                  <c:v>39206</c:v>
                </c:pt>
                <c:pt idx="6">
                  <c:v>39286</c:v>
                </c:pt>
                <c:pt idx="7">
                  <c:v>39302</c:v>
                </c:pt>
                <c:pt idx="8">
                  <c:v>39334</c:v>
                </c:pt>
                <c:pt idx="9">
                  <c:v>39350</c:v>
                </c:pt>
                <c:pt idx="10">
                  <c:v>39366</c:v>
                </c:pt>
                <c:pt idx="11">
                  <c:v>39478</c:v>
                </c:pt>
                <c:pt idx="12">
                  <c:v>39510</c:v>
                </c:pt>
                <c:pt idx="13">
                  <c:v>39526</c:v>
                </c:pt>
                <c:pt idx="14">
                  <c:v>39542</c:v>
                </c:pt>
                <c:pt idx="15">
                  <c:v>39558</c:v>
                </c:pt>
                <c:pt idx="16">
                  <c:v>39590</c:v>
                </c:pt>
                <c:pt idx="17">
                  <c:v>39606</c:v>
                </c:pt>
                <c:pt idx="18">
                  <c:v>39654</c:v>
                </c:pt>
                <c:pt idx="19">
                  <c:v>39670</c:v>
                </c:pt>
                <c:pt idx="20">
                  <c:v>39686</c:v>
                </c:pt>
                <c:pt idx="21">
                  <c:v>39702</c:v>
                </c:pt>
                <c:pt idx="22">
                  <c:v>39718</c:v>
                </c:pt>
                <c:pt idx="23">
                  <c:v>39734</c:v>
                </c:pt>
                <c:pt idx="24">
                  <c:v>39750</c:v>
                </c:pt>
                <c:pt idx="25">
                  <c:v>39766</c:v>
                </c:pt>
                <c:pt idx="26">
                  <c:v>39782</c:v>
                </c:pt>
                <c:pt idx="27">
                  <c:v>39878</c:v>
                </c:pt>
                <c:pt idx="28">
                  <c:v>39926</c:v>
                </c:pt>
                <c:pt idx="29">
                  <c:v>39942</c:v>
                </c:pt>
                <c:pt idx="30">
                  <c:v>39958</c:v>
                </c:pt>
                <c:pt idx="31">
                  <c:v>39974</c:v>
                </c:pt>
                <c:pt idx="32">
                  <c:v>39990</c:v>
                </c:pt>
                <c:pt idx="33">
                  <c:v>40070</c:v>
                </c:pt>
                <c:pt idx="34">
                  <c:v>40086</c:v>
                </c:pt>
                <c:pt idx="35">
                  <c:v>40102</c:v>
                </c:pt>
                <c:pt idx="36">
                  <c:v>40118</c:v>
                </c:pt>
                <c:pt idx="37">
                  <c:v>40134</c:v>
                </c:pt>
                <c:pt idx="38">
                  <c:v>40246</c:v>
                </c:pt>
                <c:pt idx="39">
                  <c:v>40262</c:v>
                </c:pt>
                <c:pt idx="40">
                  <c:v>40310</c:v>
                </c:pt>
                <c:pt idx="41">
                  <c:v>40326</c:v>
                </c:pt>
                <c:pt idx="42">
                  <c:v>40342</c:v>
                </c:pt>
                <c:pt idx="43">
                  <c:v>40358</c:v>
                </c:pt>
                <c:pt idx="44">
                  <c:v>40470</c:v>
                </c:pt>
                <c:pt idx="45">
                  <c:v>40486</c:v>
                </c:pt>
                <c:pt idx="46">
                  <c:v>40662</c:v>
                </c:pt>
                <c:pt idx="47">
                  <c:v>40678</c:v>
                </c:pt>
                <c:pt idx="48">
                  <c:v>40726</c:v>
                </c:pt>
                <c:pt idx="49">
                  <c:v>40742</c:v>
                </c:pt>
                <c:pt idx="50">
                  <c:v>40758</c:v>
                </c:pt>
                <c:pt idx="51">
                  <c:v>40806</c:v>
                </c:pt>
                <c:pt idx="52">
                  <c:v>40838</c:v>
                </c:pt>
                <c:pt idx="53">
                  <c:v>40854</c:v>
                </c:pt>
                <c:pt idx="54">
                  <c:v>40998</c:v>
                </c:pt>
                <c:pt idx="55">
                  <c:v>41014</c:v>
                </c:pt>
                <c:pt idx="56">
                  <c:v>41030</c:v>
                </c:pt>
                <c:pt idx="57">
                  <c:v>41046</c:v>
                </c:pt>
                <c:pt idx="58">
                  <c:v>41078</c:v>
                </c:pt>
                <c:pt idx="59">
                  <c:v>41094</c:v>
                </c:pt>
                <c:pt idx="60">
                  <c:v>41110</c:v>
                </c:pt>
                <c:pt idx="61">
                  <c:v>41126</c:v>
                </c:pt>
                <c:pt idx="62">
                  <c:v>41174</c:v>
                </c:pt>
                <c:pt idx="63">
                  <c:v>41190</c:v>
                </c:pt>
                <c:pt idx="64">
                  <c:v>41206</c:v>
                </c:pt>
                <c:pt idx="65">
                  <c:v>41350</c:v>
                </c:pt>
                <c:pt idx="66">
                  <c:v>41366</c:v>
                </c:pt>
                <c:pt idx="67">
                  <c:v>41369</c:v>
                </c:pt>
                <c:pt idx="68">
                  <c:v>41374</c:v>
                </c:pt>
                <c:pt idx="69">
                  <c:v>41382</c:v>
                </c:pt>
                <c:pt idx="70">
                  <c:v>41398</c:v>
                </c:pt>
                <c:pt idx="71">
                  <c:v>41414</c:v>
                </c:pt>
                <c:pt idx="72">
                  <c:v>41422</c:v>
                </c:pt>
                <c:pt idx="73">
                  <c:v>41486</c:v>
                </c:pt>
                <c:pt idx="74">
                  <c:v>41502</c:v>
                </c:pt>
                <c:pt idx="75">
                  <c:v>41526</c:v>
                </c:pt>
                <c:pt idx="76">
                  <c:v>41534</c:v>
                </c:pt>
                <c:pt idx="77">
                  <c:v>41558</c:v>
                </c:pt>
                <c:pt idx="78">
                  <c:v>41566</c:v>
                </c:pt>
                <c:pt idx="79">
                  <c:v>41574</c:v>
                </c:pt>
                <c:pt idx="80">
                  <c:v>41582</c:v>
                </c:pt>
                <c:pt idx="81">
                  <c:v>41598</c:v>
                </c:pt>
                <c:pt idx="82">
                  <c:v>41606</c:v>
                </c:pt>
                <c:pt idx="83">
                  <c:v>41614</c:v>
                </c:pt>
                <c:pt idx="84">
                  <c:v>41622</c:v>
                </c:pt>
                <c:pt idx="85">
                  <c:v>41630</c:v>
                </c:pt>
                <c:pt idx="86">
                  <c:v>41638</c:v>
                </c:pt>
                <c:pt idx="87">
                  <c:v>41646</c:v>
                </c:pt>
                <c:pt idx="88">
                  <c:v>41654</c:v>
                </c:pt>
                <c:pt idx="89">
                  <c:v>41662</c:v>
                </c:pt>
                <c:pt idx="90">
                  <c:v>41670</c:v>
                </c:pt>
                <c:pt idx="91">
                  <c:v>41678</c:v>
                </c:pt>
                <c:pt idx="92">
                  <c:v>41686</c:v>
                </c:pt>
                <c:pt idx="93">
                  <c:v>41694</c:v>
                </c:pt>
                <c:pt idx="94">
                  <c:v>41702</c:v>
                </c:pt>
                <c:pt idx="95">
                  <c:v>41718</c:v>
                </c:pt>
                <c:pt idx="96">
                  <c:v>41726</c:v>
                </c:pt>
                <c:pt idx="97">
                  <c:v>41734</c:v>
                </c:pt>
                <c:pt idx="98">
                  <c:v>41742</c:v>
                </c:pt>
                <c:pt idx="99">
                  <c:v>41750</c:v>
                </c:pt>
                <c:pt idx="100">
                  <c:v>41766</c:v>
                </c:pt>
                <c:pt idx="101">
                  <c:v>41782</c:v>
                </c:pt>
                <c:pt idx="102">
                  <c:v>41790</c:v>
                </c:pt>
                <c:pt idx="103">
                  <c:v>41798</c:v>
                </c:pt>
                <c:pt idx="104">
                  <c:v>41806</c:v>
                </c:pt>
                <c:pt idx="105">
                  <c:v>41814</c:v>
                </c:pt>
                <c:pt idx="106">
                  <c:v>41830</c:v>
                </c:pt>
                <c:pt idx="107">
                  <c:v>41838</c:v>
                </c:pt>
                <c:pt idx="108">
                  <c:v>41862</c:v>
                </c:pt>
                <c:pt idx="109">
                  <c:v>41870</c:v>
                </c:pt>
                <c:pt idx="110">
                  <c:v>41878</c:v>
                </c:pt>
                <c:pt idx="111">
                  <c:v>41886</c:v>
                </c:pt>
                <c:pt idx="112">
                  <c:v>41894</c:v>
                </c:pt>
                <c:pt idx="113">
                  <c:v>41902</c:v>
                </c:pt>
                <c:pt idx="114">
                  <c:v>41918</c:v>
                </c:pt>
                <c:pt idx="115">
                  <c:v>41926</c:v>
                </c:pt>
                <c:pt idx="116">
                  <c:v>41934</c:v>
                </c:pt>
                <c:pt idx="117">
                  <c:v>41942</c:v>
                </c:pt>
                <c:pt idx="118">
                  <c:v>41950</c:v>
                </c:pt>
                <c:pt idx="119">
                  <c:v>41958</c:v>
                </c:pt>
                <c:pt idx="120">
                  <c:v>41966</c:v>
                </c:pt>
                <c:pt idx="121">
                  <c:v>41974</c:v>
                </c:pt>
                <c:pt idx="122">
                  <c:v>41982</c:v>
                </c:pt>
                <c:pt idx="123">
                  <c:v>41990</c:v>
                </c:pt>
                <c:pt idx="124">
                  <c:v>41998</c:v>
                </c:pt>
                <c:pt idx="125">
                  <c:v>42022</c:v>
                </c:pt>
                <c:pt idx="126">
                  <c:v>42030</c:v>
                </c:pt>
                <c:pt idx="127">
                  <c:v>42054</c:v>
                </c:pt>
                <c:pt idx="128">
                  <c:v>42062</c:v>
                </c:pt>
                <c:pt idx="129">
                  <c:v>42078</c:v>
                </c:pt>
                <c:pt idx="130">
                  <c:v>42086</c:v>
                </c:pt>
                <c:pt idx="131">
                  <c:v>42094</c:v>
                </c:pt>
                <c:pt idx="132">
                  <c:v>42102</c:v>
                </c:pt>
                <c:pt idx="133">
                  <c:v>42110</c:v>
                </c:pt>
                <c:pt idx="134">
                  <c:v>42126</c:v>
                </c:pt>
                <c:pt idx="135">
                  <c:v>42142</c:v>
                </c:pt>
                <c:pt idx="136">
                  <c:v>42150</c:v>
                </c:pt>
                <c:pt idx="137">
                  <c:v>42158</c:v>
                </c:pt>
                <c:pt idx="138">
                  <c:v>42174</c:v>
                </c:pt>
                <c:pt idx="139">
                  <c:v>42182</c:v>
                </c:pt>
                <c:pt idx="140">
                  <c:v>42190</c:v>
                </c:pt>
                <c:pt idx="141">
                  <c:v>42206</c:v>
                </c:pt>
                <c:pt idx="142">
                  <c:v>42238</c:v>
                </c:pt>
                <c:pt idx="143">
                  <c:v>42246</c:v>
                </c:pt>
                <c:pt idx="144">
                  <c:v>42254</c:v>
                </c:pt>
                <c:pt idx="145">
                  <c:v>42262</c:v>
                </c:pt>
                <c:pt idx="146">
                  <c:v>42270</c:v>
                </c:pt>
                <c:pt idx="147">
                  <c:v>42278</c:v>
                </c:pt>
                <c:pt idx="148">
                  <c:v>42286</c:v>
                </c:pt>
                <c:pt idx="149">
                  <c:v>42294</c:v>
                </c:pt>
                <c:pt idx="150">
                  <c:v>42302</c:v>
                </c:pt>
                <c:pt idx="151">
                  <c:v>42310</c:v>
                </c:pt>
                <c:pt idx="152">
                  <c:v>42326</c:v>
                </c:pt>
                <c:pt idx="153">
                  <c:v>42334</c:v>
                </c:pt>
                <c:pt idx="154">
                  <c:v>42350</c:v>
                </c:pt>
                <c:pt idx="155">
                  <c:v>42358</c:v>
                </c:pt>
                <c:pt idx="156">
                  <c:v>42382</c:v>
                </c:pt>
                <c:pt idx="157">
                  <c:v>42390</c:v>
                </c:pt>
                <c:pt idx="158">
                  <c:v>42406</c:v>
                </c:pt>
                <c:pt idx="159">
                  <c:v>42414</c:v>
                </c:pt>
                <c:pt idx="160">
                  <c:v>42422</c:v>
                </c:pt>
                <c:pt idx="161">
                  <c:v>42440</c:v>
                </c:pt>
                <c:pt idx="162">
                  <c:v>42446</c:v>
                </c:pt>
                <c:pt idx="163">
                  <c:v>42454</c:v>
                </c:pt>
                <c:pt idx="164">
                  <c:v>42470</c:v>
                </c:pt>
                <c:pt idx="165">
                  <c:v>42470</c:v>
                </c:pt>
                <c:pt idx="166">
                  <c:v>42478</c:v>
                </c:pt>
                <c:pt idx="167">
                  <c:v>42486</c:v>
                </c:pt>
                <c:pt idx="168">
                  <c:v>42494</c:v>
                </c:pt>
                <c:pt idx="169">
                  <c:v>42502</c:v>
                </c:pt>
                <c:pt idx="170">
                  <c:v>42510</c:v>
                </c:pt>
                <c:pt idx="171">
                  <c:v>42510</c:v>
                </c:pt>
                <c:pt idx="172">
                  <c:v>42518</c:v>
                </c:pt>
                <c:pt idx="173">
                  <c:v>42526</c:v>
                </c:pt>
                <c:pt idx="174">
                  <c:v>42530</c:v>
                </c:pt>
                <c:pt idx="175">
                  <c:v>42534</c:v>
                </c:pt>
                <c:pt idx="176">
                  <c:v>42542</c:v>
                </c:pt>
                <c:pt idx="177">
                  <c:v>42558</c:v>
                </c:pt>
                <c:pt idx="178">
                  <c:v>42566</c:v>
                </c:pt>
                <c:pt idx="179">
                  <c:v>42582</c:v>
                </c:pt>
                <c:pt idx="180">
                  <c:v>42598</c:v>
                </c:pt>
                <c:pt idx="181">
                  <c:v>42606</c:v>
                </c:pt>
                <c:pt idx="182">
                  <c:v>42610</c:v>
                </c:pt>
                <c:pt idx="183">
                  <c:v>42614</c:v>
                </c:pt>
                <c:pt idx="184">
                  <c:v>42622</c:v>
                </c:pt>
                <c:pt idx="185">
                  <c:v>42638</c:v>
                </c:pt>
                <c:pt idx="186">
                  <c:v>42650</c:v>
                </c:pt>
                <c:pt idx="187">
                  <c:v>42654</c:v>
                </c:pt>
                <c:pt idx="188">
                  <c:v>42662</c:v>
                </c:pt>
                <c:pt idx="189">
                  <c:v>42670</c:v>
                </c:pt>
                <c:pt idx="190">
                  <c:v>42670</c:v>
                </c:pt>
                <c:pt idx="191">
                  <c:v>42678</c:v>
                </c:pt>
                <c:pt idx="192">
                  <c:v>42686</c:v>
                </c:pt>
                <c:pt idx="193">
                  <c:v>42690</c:v>
                </c:pt>
                <c:pt idx="194">
                  <c:v>42694</c:v>
                </c:pt>
                <c:pt idx="195">
                  <c:v>42700</c:v>
                </c:pt>
                <c:pt idx="196">
                  <c:v>42702</c:v>
                </c:pt>
                <c:pt idx="197">
                  <c:v>42710</c:v>
                </c:pt>
                <c:pt idx="198">
                  <c:v>42710</c:v>
                </c:pt>
                <c:pt idx="199">
                  <c:v>42718</c:v>
                </c:pt>
                <c:pt idx="200">
                  <c:v>42726</c:v>
                </c:pt>
                <c:pt idx="201">
                  <c:v>42730</c:v>
                </c:pt>
                <c:pt idx="202">
                  <c:v>42734</c:v>
                </c:pt>
                <c:pt idx="203">
                  <c:v>42740</c:v>
                </c:pt>
                <c:pt idx="204">
                  <c:v>42742</c:v>
                </c:pt>
                <c:pt idx="205">
                  <c:v>42750</c:v>
                </c:pt>
                <c:pt idx="206">
                  <c:v>42750</c:v>
                </c:pt>
                <c:pt idx="207">
                  <c:v>42766</c:v>
                </c:pt>
                <c:pt idx="208">
                  <c:v>42770</c:v>
                </c:pt>
                <c:pt idx="209">
                  <c:v>42782</c:v>
                </c:pt>
                <c:pt idx="210">
                  <c:v>42790</c:v>
                </c:pt>
                <c:pt idx="211">
                  <c:v>42798</c:v>
                </c:pt>
                <c:pt idx="212">
                  <c:v>42800</c:v>
                </c:pt>
                <c:pt idx="213">
                  <c:v>42814</c:v>
                </c:pt>
                <c:pt idx="214">
                  <c:v>42820</c:v>
                </c:pt>
                <c:pt idx="215">
                  <c:v>42822</c:v>
                </c:pt>
                <c:pt idx="216">
                  <c:v>42830</c:v>
                </c:pt>
                <c:pt idx="217">
                  <c:v>42838</c:v>
                </c:pt>
                <c:pt idx="218">
                  <c:v>42840</c:v>
                </c:pt>
                <c:pt idx="219">
                  <c:v>42846</c:v>
                </c:pt>
                <c:pt idx="220">
                  <c:v>42854</c:v>
                </c:pt>
                <c:pt idx="221">
                  <c:v>42860</c:v>
                </c:pt>
                <c:pt idx="222">
                  <c:v>42862</c:v>
                </c:pt>
                <c:pt idx="223">
                  <c:v>42870</c:v>
                </c:pt>
                <c:pt idx="224">
                  <c:v>42878</c:v>
                </c:pt>
                <c:pt idx="225">
                  <c:v>42880</c:v>
                </c:pt>
                <c:pt idx="226">
                  <c:v>42886</c:v>
                </c:pt>
                <c:pt idx="227">
                  <c:v>42894</c:v>
                </c:pt>
                <c:pt idx="228">
                  <c:v>42900</c:v>
                </c:pt>
                <c:pt idx="229">
                  <c:v>42910</c:v>
                </c:pt>
                <c:pt idx="230">
                  <c:v>42918</c:v>
                </c:pt>
                <c:pt idx="231">
                  <c:v>42920</c:v>
                </c:pt>
                <c:pt idx="232">
                  <c:v>42934</c:v>
                </c:pt>
                <c:pt idx="233">
                  <c:v>42942</c:v>
                </c:pt>
                <c:pt idx="234">
                  <c:v>42950</c:v>
                </c:pt>
                <c:pt idx="235">
                  <c:v>42960</c:v>
                </c:pt>
                <c:pt idx="236">
                  <c:v>42966</c:v>
                </c:pt>
                <c:pt idx="237">
                  <c:v>42974</c:v>
                </c:pt>
                <c:pt idx="238">
                  <c:v>42975</c:v>
                </c:pt>
                <c:pt idx="239">
                  <c:v>42982</c:v>
                </c:pt>
                <c:pt idx="240">
                  <c:v>42990</c:v>
                </c:pt>
                <c:pt idx="241">
                  <c:v>42995</c:v>
                </c:pt>
                <c:pt idx="242">
                  <c:v>42998</c:v>
                </c:pt>
                <c:pt idx="243">
                  <c:v>43000</c:v>
                </c:pt>
                <c:pt idx="244">
                  <c:v>43006</c:v>
                </c:pt>
                <c:pt idx="245">
                  <c:v>43014</c:v>
                </c:pt>
                <c:pt idx="246">
                  <c:v>43015</c:v>
                </c:pt>
                <c:pt idx="247">
                  <c:v>43020</c:v>
                </c:pt>
                <c:pt idx="248">
                  <c:v>43022</c:v>
                </c:pt>
                <c:pt idx="249">
                  <c:v>43030</c:v>
                </c:pt>
                <c:pt idx="250">
                  <c:v>43035</c:v>
                </c:pt>
                <c:pt idx="251">
                  <c:v>43038</c:v>
                </c:pt>
                <c:pt idx="252">
                  <c:v>43040</c:v>
                </c:pt>
                <c:pt idx="253">
                  <c:v>43045</c:v>
                </c:pt>
                <c:pt idx="254">
                  <c:v>43046</c:v>
                </c:pt>
                <c:pt idx="255">
                  <c:v>43054</c:v>
                </c:pt>
                <c:pt idx="256">
                  <c:v>43055</c:v>
                </c:pt>
                <c:pt idx="257">
                  <c:v>43060</c:v>
                </c:pt>
                <c:pt idx="258">
                  <c:v>43062</c:v>
                </c:pt>
                <c:pt idx="259">
                  <c:v>43065</c:v>
                </c:pt>
                <c:pt idx="260">
                  <c:v>43070</c:v>
                </c:pt>
                <c:pt idx="261">
                  <c:v>43075</c:v>
                </c:pt>
                <c:pt idx="262">
                  <c:v>43078</c:v>
                </c:pt>
                <c:pt idx="263">
                  <c:v>43080</c:v>
                </c:pt>
                <c:pt idx="264">
                  <c:v>43085</c:v>
                </c:pt>
                <c:pt idx="265">
                  <c:v>43086</c:v>
                </c:pt>
                <c:pt idx="266">
                  <c:v>43095</c:v>
                </c:pt>
                <c:pt idx="267">
                  <c:v>43102</c:v>
                </c:pt>
                <c:pt idx="268">
                  <c:v>43105</c:v>
                </c:pt>
                <c:pt idx="269">
                  <c:v>43110</c:v>
                </c:pt>
                <c:pt idx="270">
                  <c:v>43115</c:v>
                </c:pt>
                <c:pt idx="271">
                  <c:v>43118</c:v>
                </c:pt>
                <c:pt idx="272">
                  <c:v>43120</c:v>
                </c:pt>
                <c:pt idx="273">
                  <c:v>43125</c:v>
                </c:pt>
                <c:pt idx="274">
                  <c:v>43126</c:v>
                </c:pt>
                <c:pt idx="275">
                  <c:v>43134</c:v>
                </c:pt>
                <c:pt idx="276">
                  <c:v>43135</c:v>
                </c:pt>
                <c:pt idx="277">
                  <c:v>43140</c:v>
                </c:pt>
                <c:pt idx="278">
                  <c:v>43150</c:v>
                </c:pt>
                <c:pt idx="279">
                  <c:v>43150</c:v>
                </c:pt>
                <c:pt idx="280">
                  <c:v>43158</c:v>
                </c:pt>
                <c:pt idx="281">
                  <c:v>43160</c:v>
                </c:pt>
                <c:pt idx="282">
                  <c:v>43165</c:v>
                </c:pt>
                <c:pt idx="283">
                  <c:v>43166</c:v>
                </c:pt>
                <c:pt idx="284">
                  <c:v>43170</c:v>
                </c:pt>
                <c:pt idx="285">
                  <c:v>43174</c:v>
                </c:pt>
                <c:pt idx="286">
                  <c:v>43175</c:v>
                </c:pt>
                <c:pt idx="287">
                  <c:v>43180</c:v>
                </c:pt>
                <c:pt idx="288">
                  <c:v>43182</c:v>
                </c:pt>
                <c:pt idx="289">
                  <c:v>43185</c:v>
                </c:pt>
                <c:pt idx="290">
                  <c:v>43190</c:v>
                </c:pt>
                <c:pt idx="291">
                  <c:v>43190</c:v>
                </c:pt>
                <c:pt idx="292">
                  <c:v>43195</c:v>
                </c:pt>
                <c:pt idx="293">
                  <c:v>43198</c:v>
                </c:pt>
                <c:pt idx="294">
                  <c:v>43205</c:v>
                </c:pt>
                <c:pt idx="295">
                  <c:v>43206</c:v>
                </c:pt>
                <c:pt idx="296">
                  <c:v>43210</c:v>
                </c:pt>
                <c:pt idx="297">
                  <c:v>43214</c:v>
                </c:pt>
                <c:pt idx="298">
                  <c:v>43215</c:v>
                </c:pt>
                <c:pt idx="299">
                  <c:v>43220</c:v>
                </c:pt>
                <c:pt idx="300">
                  <c:v>43222</c:v>
                </c:pt>
                <c:pt idx="301">
                  <c:v>43230</c:v>
                </c:pt>
                <c:pt idx="302">
                  <c:v>43235</c:v>
                </c:pt>
                <c:pt idx="303">
                  <c:v>43270</c:v>
                </c:pt>
                <c:pt idx="304">
                  <c:v>43278</c:v>
                </c:pt>
                <c:pt idx="305">
                  <c:v>43294</c:v>
                </c:pt>
                <c:pt idx="306">
                  <c:v>43302</c:v>
                </c:pt>
                <c:pt idx="307">
                  <c:v>43310</c:v>
                </c:pt>
                <c:pt idx="308">
                  <c:v>43310</c:v>
                </c:pt>
                <c:pt idx="309">
                  <c:v>43330</c:v>
                </c:pt>
                <c:pt idx="310">
                  <c:v>43334</c:v>
                </c:pt>
                <c:pt idx="311">
                  <c:v>43345</c:v>
                </c:pt>
                <c:pt idx="312">
                  <c:v>43350</c:v>
                </c:pt>
                <c:pt idx="313">
                  <c:v>43350</c:v>
                </c:pt>
                <c:pt idx="314">
                  <c:v>43358</c:v>
                </c:pt>
                <c:pt idx="315">
                  <c:v>43360</c:v>
                </c:pt>
                <c:pt idx="316">
                  <c:v>43365</c:v>
                </c:pt>
                <c:pt idx="317">
                  <c:v>43366</c:v>
                </c:pt>
                <c:pt idx="318">
                  <c:v>43370</c:v>
                </c:pt>
                <c:pt idx="319">
                  <c:v>43374</c:v>
                </c:pt>
                <c:pt idx="320">
                  <c:v>43375</c:v>
                </c:pt>
                <c:pt idx="321">
                  <c:v>43380</c:v>
                </c:pt>
                <c:pt idx="322">
                  <c:v>43382</c:v>
                </c:pt>
                <c:pt idx="323">
                  <c:v>43385</c:v>
                </c:pt>
                <c:pt idx="324">
                  <c:v>43390</c:v>
                </c:pt>
                <c:pt idx="325">
                  <c:v>43390</c:v>
                </c:pt>
                <c:pt idx="326">
                  <c:v>43395</c:v>
                </c:pt>
                <c:pt idx="327">
                  <c:v>43398</c:v>
                </c:pt>
                <c:pt idx="328">
                  <c:v>43400</c:v>
                </c:pt>
                <c:pt idx="329">
                  <c:v>43405</c:v>
                </c:pt>
                <c:pt idx="330">
                  <c:v>43406</c:v>
                </c:pt>
                <c:pt idx="331">
                  <c:v>43410</c:v>
                </c:pt>
                <c:pt idx="332">
                  <c:v>43414</c:v>
                </c:pt>
                <c:pt idx="333">
                  <c:v>43415</c:v>
                </c:pt>
                <c:pt idx="334">
                  <c:v>43420</c:v>
                </c:pt>
                <c:pt idx="335">
                  <c:v>43425</c:v>
                </c:pt>
                <c:pt idx="336">
                  <c:v>43430</c:v>
                </c:pt>
                <c:pt idx="337">
                  <c:v>43430</c:v>
                </c:pt>
                <c:pt idx="338">
                  <c:v>43435</c:v>
                </c:pt>
                <c:pt idx="339">
                  <c:v>43438</c:v>
                </c:pt>
                <c:pt idx="340">
                  <c:v>43440</c:v>
                </c:pt>
                <c:pt idx="341">
                  <c:v>43445</c:v>
                </c:pt>
                <c:pt idx="342">
                  <c:v>43450</c:v>
                </c:pt>
                <c:pt idx="343">
                  <c:v>43454</c:v>
                </c:pt>
                <c:pt idx="344">
                  <c:v>43455</c:v>
                </c:pt>
                <c:pt idx="345">
                  <c:v>43460</c:v>
                </c:pt>
                <c:pt idx="346">
                  <c:v>43462</c:v>
                </c:pt>
                <c:pt idx="347">
                  <c:v>43465</c:v>
                </c:pt>
                <c:pt idx="348">
                  <c:v>43470</c:v>
                </c:pt>
                <c:pt idx="349">
                  <c:v>43470</c:v>
                </c:pt>
                <c:pt idx="350">
                  <c:v>43478</c:v>
                </c:pt>
                <c:pt idx="351">
                  <c:v>43480</c:v>
                </c:pt>
                <c:pt idx="352">
                  <c:v>43485</c:v>
                </c:pt>
                <c:pt idx="353">
                  <c:v>43486</c:v>
                </c:pt>
                <c:pt idx="354">
                  <c:v>43490</c:v>
                </c:pt>
                <c:pt idx="355">
                  <c:v>43493</c:v>
                </c:pt>
                <c:pt idx="356">
                  <c:v>43502</c:v>
                </c:pt>
                <c:pt idx="357">
                  <c:v>43505</c:v>
                </c:pt>
                <c:pt idx="358">
                  <c:v>43510</c:v>
                </c:pt>
                <c:pt idx="359">
                  <c:v>43510</c:v>
                </c:pt>
                <c:pt idx="360">
                  <c:v>43520</c:v>
                </c:pt>
                <c:pt idx="361">
                  <c:v>43526</c:v>
                </c:pt>
                <c:pt idx="362">
                  <c:v>43530</c:v>
                </c:pt>
                <c:pt idx="363">
                  <c:v>43534</c:v>
                </c:pt>
                <c:pt idx="364">
                  <c:v>43535</c:v>
                </c:pt>
                <c:pt idx="365">
                  <c:v>43545</c:v>
                </c:pt>
                <c:pt idx="366">
                  <c:v>43550</c:v>
                </c:pt>
                <c:pt idx="367">
                  <c:v>43555</c:v>
                </c:pt>
                <c:pt idx="368">
                  <c:v>43558</c:v>
                </c:pt>
                <c:pt idx="369">
                  <c:v>43560</c:v>
                </c:pt>
                <c:pt idx="370">
                  <c:v>43566</c:v>
                </c:pt>
                <c:pt idx="371">
                  <c:v>43570</c:v>
                </c:pt>
                <c:pt idx="372">
                  <c:v>43574</c:v>
                </c:pt>
                <c:pt idx="373">
                  <c:v>43575</c:v>
                </c:pt>
                <c:pt idx="374">
                  <c:v>43580</c:v>
                </c:pt>
                <c:pt idx="375">
                  <c:v>43582</c:v>
                </c:pt>
                <c:pt idx="376">
                  <c:v>43585</c:v>
                </c:pt>
                <c:pt idx="377">
                  <c:v>43590</c:v>
                </c:pt>
                <c:pt idx="378">
                  <c:v>43590</c:v>
                </c:pt>
                <c:pt idx="379">
                  <c:v>43595</c:v>
                </c:pt>
                <c:pt idx="380">
                  <c:v>43598</c:v>
                </c:pt>
                <c:pt idx="381">
                  <c:v>43600</c:v>
                </c:pt>
                <c:pt idx="382">
                  <c:v>43606</c:v>
                </c:pt>
                <c:pt idx="383">
                  <c:v>43610</c:v>
                </c:pt>
                <c:pt idx="384">
                  <c:v>43614</c:v>
                </c:pt>
                <c:pt idx="385">
                  <c:v>43615</c:v>
                </c:pt>
                <c:pt idx="386">
                  <c:v>43620</c:v>
                </c:pt>
                <c:pt idx="387">
                  <c:v>43622</c:v>
                </c:pt>
                <c:pt idx="388">
                  <c:v>43625</c:v>
                </c:pt>
                <c:pt idx="389">
                  <c:v>43630</c:v>
                </c:pt>
                <c:pt idx="390">
                  <c:v>43630</c:v>
                </c:pt>
                <c:pt idx="391">
                  <c:v>43635</c:v>
                </c:pt>
                <c:pt idx="392">
                  <c:v>43640</c:v>
                </c:pt>
                <c:pt idx="393">
                  <c:v>43645</c:v>
                </c:pt>
                <c:pt idx="394">
                  <c:v>43646</c:v>
                </c:pt>
                <c:pt idx="395">
                  <c:v>43650</c:v>
                </c:pt>
                <c:pt idx="396">
                  <c:v>43654</c:v>
                </c:pt>
                <c:pt idx="397">
                  <c:v>43655</c:v>
                </c:pt>
                <c:pt idx="398">
                  <c:v>43665</c:v>
                </c:pt>
                <c:pt idx="399">
                  <c:v>43678</c:v>
                </c:pt>
                <c:pt idx="400">
                  <c:v>43680</c:v>
                </c:pt>
                <c:pt idx="401">
                  <c:v>43686</c:v>
                </c:pt>
                <c:pt idx="402">
                  <c:v>43690</c:v>
                </c:pt>
                <c:pt idx="403">
                  <c:v>43694</c:v>
                </c:pt>
                <c:pt idx="404">
                  <c:v>43695</c:v>
                </c:pt>
                <c:pt idx="405">
                  <c:v>43700</c:v>
                </c:pt>
                <c:pt idx="406">
                  <c:v>43702</c:v>
                </c:pt>
                <c:pt idx="407">
                  <c:v>43705</c:v>
                </c:pt>
                <c:pt idx="408">
                  <c:v>43710</c:v>
                </c:pt>
                <c:pt idx="409">
                  <c:v>43715</c:v>
                </c:pt>
                <c:pt idx="410">
                  <c:v>43718</c:v>
                </c:pt>
                <c:pt idx="411">
                  <c:v>43720</c:v>
                </c:pt>
                <c:pt idx="412">
                  <c:v>43725</c:v>
                </c:pt>
                <c:pt idx="413">
                  <c:v>43726</c:v>
                </c:pt>
                <c:pt idx="414">
                  <c:v>43730</c:v>
                </c:pt>
                <c:pt idx="415">
                  <c:v>43734</c:v>
                </c:pt>
                <c:pt idx="416">
                  <c:v>43735</c:v>
                </c:pt>
                <c:pt idx="417">
                  <c:v>43740</c:v>
                </c:pt>
                <c:pt idx="418">
                  <c:v>43742</c:v>
                </c:pt>
                <c:pt idx="419">
                  <c:v>43750</c:v>
                </c:pt>
                <c:pt idx="420">
                  <c:v>43750</c:v>
                </c:pt>
                <c:pt idx="421">
                  <c:v>43755</c:v>
                </c:pt>
                <c:pt idx="422">
                  <c:v>43758</c:v>
                </c:pt>
                <c:pt idx="423">
                  <c:v>43760</c:v>
                </c:pt>
                <c:pt idx="424">
                  <c:v>43765</c:v>
                </c:pt>
                <c:pt idx="425">
                  <c:v>43766</c:v>
                </c:pt>
                <c:pt idx="426">
                  <c:v>43770</c:v>
                </c:pt>
                <c:pt idx="427">
                  <c:v>43774</c:v>
                </c:pt>
                <c:pt idx="428">
                  <c:v>43775</c:v>
                </c:pt>
                <c:pt idx="429">
                  <c:v>43780</c:v>
                </c:pt>
                <c:pt idx="430">
                  <c:v>43782</c:v>
                </c:pt>
                <c:pt idx="431">
                  <c:v>43785</c:v>
                </c:pt>
                <c:pt idx="432">
                  <c:v>43798</c:v>
                </c:pt>
                <c:pt idx="433">
                  <c:v>43800</c:v>
                </c:pt>
                <c:pt idx="434">
                  <c:v>43805</c:v>
                </c:pt>
                <c:pt idx="435">
                  <c:v>43814</c:v>
                </c:pt>
                <c:pt idx="436">
                  <c:v>43815</c:v>
                </c:pt>
                <c:pt idx="437">
                  <c:v>43820</c:v>
                </c:pt>
                <c:pt idx="438">
                  <c:v>43822</c:v>
                </c:pt>
                <c:pt idx="439">
                  <c:v>43825</c:v>
                </c:pt>
                <c:pt idx="440">
                  <c:v>43830</c:v>
                </c:pt>
                <c:pt idx="441">
                  <c:v>43830</c:v>
                </c:pt>
                <c:pt idx="442">
                  <c:v>43838</c:v>
                </c:pt>
                <c:pt idx="443">
                  <c:v>43846</c:v>
                </c:pt>
                <c:pt idx="444">
                  <c:v>43850</c:v>
                </c:pt>
                <c:pt idx="445">
                  <c:v>43855</c:v>
                </c:pt>
                <c:pt idx="446">
                  <c:v>43860</c:v>
                </c:pt>
                <c:pt idx="447">
                  <c:v>43862</c:v>
                </c:pt>
                <c:pt idx="448">
                  <c:v>43865</c:v>
                </c:pt>
                <c:pt idx="449">
                  <c:v>43870</c:v>
                </c:pt>
                <c:pt idx="450">
                  <c:v>43870</c:v>
                </c:pt>
                <c:pt idx="451">
                  <c:v>43875</c:v>
                </c:pt>
                <c:pt idx="452">
                  <c:v>43878</c:v>
                </c:pt>
                <c:pt idx="453">
                  <c:v>43880</c:v>
                </c:pt>
                <c:pt idx="454">
                  <c:v>43885</c:v>
                </c:pt>
                <c:pt idx="455">
                  <c:v>43890</c:v>
                </c:pt>
                <c:pt idx="456">
                  <c:v>43894</c:v>
                </c:pt>
                <c:pt idx="457">
                  <c:v>43895</c:v>
                </c:pt>
                <c:pt idx="458">
                  <c:v>43900</c:v>
                </c:pt>
                <c:pt idx="459">
                  <c:v>43902</c:v>
                </c:pt>
                <c:pt idx="460">
                  <c:v>43910</c:v>
                </c:pt>
                <c:pt idx="461">
                  <c:v>43910</c:v>
                </c:pt>
                <c:pt idx="462">
                  <c:v>43915</c:v>
                </c:pt>
                <c:pt idx="463">
                  <c:v>43918</c:v>
                </c:pt>
                <c:pt idx="464">
                  <c:v>43920</c:v>
                </c:pt>
                <c:pt idx="465">
                  <c:v>43925</c:v>
                </c:pt>
                <c:pt idx="466">
                  <c:v>43926</c:v>
                </c:pt>
                <c:pt idx="467">
                  <c:v>43930</c:v>
                </c:pt>
                <c:pt idx="468">
                  <c:v>43934</c:v>
                </c:pt>
                <c:pt idx="469">
                  <c:v>43935</c:v>
                </c:pt>
                <c:pt idx="470">
                  <c:v>43940</c:v>
                </c:pt>
                <c:pt idx="471">
                  <c:v>43942</c:v>
                </c:pt>
                <c:pt idx="472">
                  <c:v>43945</c:v>
                </c:pt>
                <c:pt idx="473">
                  <c:v>43950</c:v>
                </c:pt>
                <c:pt idx="474">
                  <c:v>43950</c:v>
                </c:pt>
                <c:pt idx="475">
                  <c:v>43955</c:v>
                </c:pt>
                <c:pt idx="476">
                  <c:v>43958</c:v>
                </c:pt>
                <c:pt idx="477">
                  <c:v>43960</c:v>
                </c:pt>
                <c:pt idx="478">
                  <c:v>43965</c:v>
                </c:pt>
                <c:pt idx="479">
                  <c:v>43966</c:v>
                </c:pt>
                <c:pt idx="480">
                  <c:v>43974</c:v>
                </c:pt>
                <c:pt idx="481">
                  <c:v>43975</c:v>
                </c:pt>
                <c:pt idx="482">
                  <c:v>43980</c:v>
                </c:pt>
                <c:pt idx="483">
                  <c:v>43982</c:v>
                </c:pt>
                <c:pt idx="484">
                  <c:v>43985</c:v>
                </c:pt>
                <c:pt idx="485">
                  <c:v>43995</c:v>
                </c:pt>
                <c:pt idx="486">
                  <c:v>43998</c:v>
                </c:pt>
                <c:pt idx="487">
                  <c:v>44000</c:v>
                </c:pt>
                <c:pt idx="488">
                  <c:v>44005</c:v>
                </c:pt>
                <c:pt idx="489">
                  <c:v>44006</c:v>
                </c:pt>
                <c:pt idx="490">
                  <c:v>44010</c:v>
                </c:pt>
                <c:pt idx="491">
                  <c:v>44014</c:v>
                </c:pt>
                <c:pt idx="492">
                  <c:v>44015</c:v>
                </c:pt>
                <c:pt idx="493">
                  <c:v>44022</c:v>
                </c:pt>
                <c:pt idx="494">
                  <c:v>44025</c:v>
                </c:pt>
                <c:pt idx="495">
                  <c:v>44030</c:v>
                </c:pt>
                <c:pt idx="496">
                  <c:v>44030</c:v>
                </c:pt>
                <c:pt idx="497">
                  <c:v>44038</c:v>
                </c:pt>
                <c:pt idx="498">
                  <c:v>44040</c:v>
                </c:pt>
                <c:pt idx="499">
                  <c:v>44045</c:v>
                </c:pt>
                <c:pt idx="500">
                  <c:v>44046</c:v>
                </c:pt>
                <c:pt idx="501">
                  <c:v>44060</c:v>
                </c:pt>
                <c:pt idx="502">
                  <c:v>44065</c:v>
                </c:pt>
                <c:pt idx="503">
                  <c:v>44075</c:v>
                </c:pt>
                <c:pt idx="504">
                  <c:v>44078</c:v>
                </c:pt>
                <c:pt idx="505">
                  <c:v>44080</c:v>
                </c:pt>
                <c:pt idx="506">
                  <c:v>44085</c:v>
                </c:pt>
                <c:pt idx="507">
                  <c:v>44086</c:v>
                </c:pt>
                <c:pt idx="508">
                  <c:v>44090</c:v>
                </c:pt>
                <c:pt idx="509">
                  <c:v>44094</c:v>
                </c:pt>
                <c:pt idx="510">
                  <c:v>44095</c:v>
                </c:pt>
                <c:pt idx="511">
                  <c:v>44100</c:v>
                </c:pt>
                <c:pt idx="512">
                  <c:v>44102</c:v>
                </c:pt>
                <c:pt idx="513">
                  <c:v>44105</c:v>
                </c:pt>
                <c:pt idx="514">
                  <c:v>44110</c:v>
                </c:pt>
                <c:pt idx="515">
                  <c:v>44115</c:v>
                </c:pt>
                <c:pt idx="516">
                  <c:v>44118</c:v>
                </c:pt>
                <c:pt idx="517">
                  <c:v>44120</c:v>
                </c:pt>
                <c:pt idx="518">
                  <c:v>44125</c:v>
                </c:pt>
                <c:pt idx="519">
                  <c:v>44126</c:v>
                </c:pt>
                <c:pt idx="520">
                  <c:v>44130</c:v>
                </c:pt>
                <c:pt idx="521">
                  <c:v>44134</c:v>
                </c:pt>
                <c:pt idx="522">
                  <c:v>44135</c:v>
                </c:pt>
                <c:pt idx="523">
                  <c:v>44140</c:v>
                </c:pt>
                <c:pt idx="524">
                  <c:v>44145</c:v>
                </c:pt>
                <c:pt idx="525">
                  <c:v>44150</c:v>
                </c:pt>
                <c:pt idx="526">
                  <c:v>44150</c:v>
                </c:pt>
                <c:pt idx="527">
                  <c:v>44155</c:v>
                </c:pt>
                <c:pt idx="528">
                  <c:v>44158</c:v>
                </c:pt>
                <c:pt idx="529">
                  <c:v>44160</c:v>
                </c:pt>
                <c:pt idx="530">
                  <c:v>44165</c:v>
                </c:pt>
                <c:pt idx="531">
                  <c:v>44166</c:v>
                </c:pt>
                <c:pt idx="532">
                  <c:v>44170</c:v>
                </c:pt>
                <c:pt idx="533">
                  <c:v>44174</c:v>
                </c:pt>
                <c:pt idx="534">
                  <c:v>44175</c:v>
                </c:pt>
                <c:pt idx="535">
                  <c:v>44180</c:v>
                </c:pt>
                <c:pt idx="536">
                  <c:v>44182</c:v>
                </c:pt>
                <c:pt idx="537">
                  <c:v>44185</c:v>
                </c:pt>
                <c:pt idx="538">
                  <c:v>44190</c:v>
                </c:pt>
                <c:pt idx="539">
                  <c:v>44198</c:v>
                </c:pt>
                <c:pt idx="540">
                  <c:v>44200</c:v>
                </c:pt>
                <c:pt idx="541">
                  <c:v>44205</c:v>
                </c:pt>
                <c:pt idx="542">
                  <c:v>44206</c:v>
                </c:pt>
                <c:pt idx="543">
                  <c:v>44210</c:v>
                </c:pt>
                <c:pt idx="544">
                  <c:v>44214</c:v>
                </c:pt>
                <c:pt idx="545">
                  <c:v>44215</c:v>
                </c:pt>
                <c:pt idx="546">
                  <c:v>44220</c:v>
                </c:pt>
                <c:pt idx="547">
                  <c:v>44222</c:v>
                </c:pt>
                <c:pt idx="548">
                  <c:v>44225</c:v>
                </c:pt>
                <c:pt idx="549">
                  <c:v>44230</c:v>
                </c:pt>
                <c:pt idx="550">
                  <c:v>44230</c:v>
                </c:pt>
                <c:pt idx="551">
                  <c:v>44235</c:v>
                </c:pt>
                <c:pt idx="552">
                  <c:v>44240</c:v>
                </c:pt>
                <c:pt idx="553">
                  <c:v>44245</c:v>
                </c:pt>
                <c:pt idx="554">
                  <c:v>44246</c:v>
                </c:pt>
                <c:pt idx="555">
                  <c:v>44250</c:v>
                </c:pt>
                <c:pt idx="556">
                  <c:v>44254</c:v>
                </c:pt>
                <c:pt idx="557">
                  <c:v>44255</c:v>
                </c:pt>
                <c:pt idx="558">
                  <c:v>44260</c:v>
                </c:pt>
                <c:pt idx="559">
                  <c:v>44262</c:v>
                </c:pt>
                <c:pt idx="560">
                  <c:v>44265</c:v>
                </c:pt>
                <c:pt idx="561">
                  <c:v>44270</c:v>
                </c:pt>
                <c:pt idx="562">
                  <c:v>44270</c:v>
                </c:pt>
                <c:pt idx="563">
                  <c:v>44275</c:v>
                </c:pt>
                <c:pt idx="564">
                  <c:v>44278</c:v>
                </c:pt>
                <c:pt idx="565">
                  <c:v>44280</c:v>
                </c:pt>
                <c:pt idx="566">
                  <c:v>44285</c:v>
                </c:pt>
                <c:pt idx="567">
                  <c:v>44286</c:v>
                </c:pt>
                <c:pt idx="568">
                  <c:v>44290</c:v>
                </c:pt>
                <c:pt idx="569">
                  <c:v>44294</c:v>
                </c:pt>
                <c:pt idx="570">
                  <c:v>44295</c:v>
                </c:pt>
                <c:pt idx="571">
                  <c:v>44300</c:v>
                </c:pt>
                <c:pt idx="572">
                  <c:v>44302</c:v>
                </c:pt>
                <c:pt idx="573">
                  <c:v>44310</c:v>
                </c:pt>
                <c:pt idx="574">
                  <c:v>44310</c:v>
                </c:pt>
                <c:pt idx="575">
                  <c:v>44315</c:v>
                </c:pt>
                <c:pt idx="576">
                  <c:v>44320</c:v>
                </c:pt>
                <c:pt idx="577">
                  <c:v>44325</c:v>
                </c:pt>
                <c:pt idx="578">
                  <c:v>44326</c:v>
                </c:pt>
                <c:pt idx="579">
                  <c:v>44330</c:v>
                </c:pt>
                <c:pt idx="580">
                  <c:v>44334</c:v>
                </c:pt>
                <c:pt idx="581">
                  <c:v>44335</c:v>
                </c:pt>
                <c:pt idx="582">
                  <c:v>44340</c:v>
                </c:pt>
                <c:pt idx="583">
                  <c:v>44342</c:v>
                </c:pt>
                <c:pt idx="584">
                  <c:v>44345</c:v>
                </c:pt>
                <c:pt idx="585">
                  <c:v>44350</c:v>
                </c:pt>
                <c:pt idx="586">
                  <c:v>44350</c:v>
                </c:pt>
                <c:pt idx="587">
                  <c:v>44365</c:v>
                </c:pt>
                <c:pt idx="588">
                  <c:v>44366</c:v>
                </c:pt>
                <c:pt idx="589">
                  <c:v>44370</c:v>
                </c:pt>
                <c:pt idx="590">
                  <c:v>44375</c:v>
                </c:pt>
                <c:pt idx="591">
                  <c:v>44380</c:v>
                </c:pt>
                <c:pt idx="592">
                  <c:v>44385</c:v>
                </c:pt>
                <c:pt idx="593">
                  <c:v>44390</c:v>
                </c:pt>
                <c:pt idx="594">
                  <c:v>44398</c:v>
                </c:pt>
                <c:pt idx="595">
                  <c:v>44400</c:v>
                </c:pt>
                <c:pt idx="596">
                  <c:v>44406</c:v>
                </c:pt>
                <c:pt idx="597">
                  <c:v>44410</c:v>
                </c:pt>
                <c:pt idx="598">
                  <c:v>44414</c:v>
                </c:pt>
                <c:pt idx="599">
                  <c:v>44415</c:v>
                </c:pt>
                <c:pt idx="600">
                  <c:v>44420</c:v>
                </c:pt>
                <c:pt idx="601">
                  <c:v>44425</c:v>
                </c:pt>
                <c:pt idx="602">
                  <c:v>44430</c:v>
                </c:pt>
                <c:pt idx="603">
                  <c:v>44430</c:v>
                </c:pt>
                <c:pt idx="604">
                  <c:v>44435</c:v>
                </c:pt>
                <c:pt idx="605">
                  <c:v>44438</c:v>
                </c:pt>
                <c:pt idx="606">
                  <c:v>44440</c:v>
                </c:pt>
                <c:pt idx="607">
                  <c:v>44445</c:v>
                </c:pt>
                <c:pt idx="608">
                  <c:v>44446</c:v>
                </c:pt>
                <c:pt idx="609">
                  <c:v>44450</c:v>
                </c:pt>
                <c:pt idx="610">
                  <c:v>44454</c:v>
                </c:pt>
                <c:pt idx="611">
                  <c:v>44455</c:v>
                </c:pt>
                <c:pt idx="612">
                  <c:v>44460</c:v>
                </c:pt>
                <c:pt idx="613">
                  <c:v>44465</c:v>
                </c:pt>
                <c:pt idx="614">
                  <c:v>44475</c:v>
                </c:pt>
                <c:pt idx="615">
                  <c:v>44478</c:v>
                </c:pt>
                <c:pt idx="616">
                  <c:v>44480</c:v>
                </c:pt>
                <c:pt idx="617">
                  <c:v>44485</c:v>
                </c:pt>
                <c:pt idx="618">
                  <c:v>44486</c:v>
                </c:pt>
                <c:pt idx="619">
                  <c:v>44494</c:v>
                </c:pt>
                <c:pt idx="620">
                  <c:v>44495</c:v>
                </c:pt>
                <c:pt idx="621">
                  <c:v>44500</c:v>
                </c:pt>
                <c:pt idx="622">
                  <c:v>44502</c:v>
                </c:pt>
                <c:pt idx="623">
                  <c:v>44505</c:v>
                </c:pt>
                <c:pt idx="624">
                  <c:v>44510</c:v>
                </c:pt>
                <c:pt idx="625">
                  <c:v>44515</c:v>
                </c:pt>
                <c:pt idx="626">
                  <c:v>44518</c:v>
                </c:pt>
                <c:pt idx="627">
                  <c:v>44520</c:v>
                </c:pt>
                <c:pt idx="628">
                  <c:v>44525</c:v>
                </c:pt>
                <c:pt idx="629">
                  <c:v>44526</c:v>
                </c:pt>
                <c:pt idx="630">
                  <c:v>44530</c:v>
                </c:pt>
                <c:pt idx="631">
                  <c:v>44534</c:v>
                </c:pt>
                <c:pt idx="632">
                  <c:v>44535</c:v>
                </c:pt>
                <c:pt idx="633">
                  <c:v>44540</c:v>
                </c:pt>
                <c:pt idx="634">
                  <c:v>44542</c:v>
                </c:pt>
                <c:pt idx="635">
                  <c:v>44550</c:v>
                </c:pt>
                <c:pt idx="636">
                  <c:v>44555</c:v>
                </c:pt>
                <c:pt idx="637">
                  <c:v>44558</c:v>
                </c:pt>
                <c:pt idx="638">
                  <c:v>44570</c:v>
                </c:pt>
                <c:pt idx="639">
                  <c:v>44575</c:v>
                </c:pt>
                <c:pt idx="640">
                  <c:v>44585</c:v>
                </c:pt>
                <c:pt idx="641">
                  <c:v>44620</c:v>
                </c:pt>
                <c:pt idx="642">
                  <c:v>44630</c:v>
                </c:pt>
                <c:pt idx="643">
                  <c:v>44635</c:v>
                </c:pt>
                <c:pt idx="644">
                  <c:v>44655</c:v>
                </c:pt>
                <c:pt idx="645">
                  <c:v>44660</c:v>
                </c:pt>
                <c:pt idx="646">
                  <c:v>44665</c:v>
                </c:pt>
                <c:pt idx="647">
                  <c:v>44670</c:v>
                </c:pt>
                <c:pt idx="648">
                  <c:v>44675</c:v>
                </c:pt>
                <c:pt idx="649">
                  <c:v>44680</c:v>
                </c:pt>
                <c:pt idx="650">
                  <c:v>44685</c:v>
                </c:pt>
                <c:pt idx="651">
                  <c:v>44690</c:v>
                </c:pt>
                <c:pt idx="652">
                  <c:v>44695</c:v>
                </c:pt>
                <c:pt idx="653">
                  <c:v>44700</c:v>
                </c:pt>
                <c:pt idx="654">
                  <c:v>44705</c:v>
                </c:pt>
                <c:pt idx="655">
                  <c:v>44710</c:v>
                </c:pt>
                <c:pt idx="656">
                  <c:v>44715</c:v>
                </c:pt>
                <c:pt idx="657">
                  <c:v>44720</c:v>
                </c:pt>
                <c:pt idx="658">
                  <c:v>44725</c:v>
                </c:pt>
                <c:pt idx="659">
                  <c:v>44730</c:v>
                </c:pt>
                <c:pt idx="660">
                  <c:v>44735</c:v>
                </c:pt>
                <c:pt idx="661">
                  <c:v>44740</c:v>
                </c:pt>
                <c:pt idx="662">
                  <c:v>44745</c:v>
                </c:pt>
                <c:pt idx="663">
                  <c:v>44755</c:v>
                </c:pt>
                <c:pt idx="664">
                  <c:v>44760</c:v>
                </c:pt>
                <c:pt idx="665">
                  <c:v>44780</c:v>
                </c:pt>
                <c:pt idx="666">
                  <c:v>44790</c:v>
                </c:pt>
                <c:pt idx="667">
                  <c:v>44795</c:v>
                </c:pt>
                <c:pt idx="668">
                  <c:v>44800</c:v>
                </c:pt>
                <c:pt idx="669">
                  <c:v>44805</c:v>
                </c:pt>
                <c:pt idx="670">
                  <c:v>44810</c:v>
                </c:pt>
                <c:pt idx="671">
                  <c:v>44815</c:v>
                </c:pt>
                <c:pt idx="672">
                  <c:v>44820</c:v>
                </c:pt>
                <c:pt idx="673">
                  <c:v>44825</c:v>
                </c:pt>
                <c:pt idx="674">
                  <c:v>44830</c:v>
                </c:pt>
                <c:pt idx="675">
                  <c:v>44835</c:v>
                </c:pt>
                <c:pt idx="676">
                  <c:v>44840</c:v>
                </c:pt>
                <c:pt idx="677">
                  <c:v>44845</c:v>
                </c:pt>
                <c:pt idx="678">
                  <c:v>44850</c:v>
                </c:pt>
                <c:pt idx="679">
                  <c:v>44855</c:v>
                </c:pt>
                <c:pt idx="680">
                  <c:v>44860</c:v>
                </c:pt>
                <c:pt idx="681">
                  <c:v>44865</c:v>
                </c:pt>
                <c:pt idx="682">
                  <c:v>44870</c:v>
                </c:pt>
                <c:pt idx="683">
                  <c:v>44875</c:v>
                </c:pt>
                <c:pt idx="684">
                  <c:v>44880</c:v>
                </c:pt>
                <c:pt idx="685">
                  <c:v>44885</c:v>
                </c:pt>
                <c:pt idx="686">
                  <c:v>44890</c:v>
                </c:pt>
                <c:pt idx="687">
                  <c:v>44895</c:v>
                </c:pt>
                <c:pt idx="688">
                  <c:v>44900</c:v>
                </c:pt>
                <c:pt idx="689">
                  <c:v>44905</c:v>
                </c:pt>
                <c:pt idx="690">
                  <c:v>44910</c:v>
                </c:pt>
                <c:pt idx="691">
                  <c:v>44915</c:v>
                </c:pt>
                <c:pt idx="692">
                  <c:v>44920</c:v>
                </c:pt>
                <c:pt idx="693">
                  <c:v>44925</c:v>
                </c:pt>
                <c:pt idx="694">
                  <c:v>44930</c:v>
                </c:pt>
                <c:pt idx="695">
                  <c:v>44935</c:v>
                </c:pt>
                <c:pt idx="696">
                  <c:v>44940</c:v>
                </c:pt>
                <c:pt idx="697">
                  <c:v>44945</c:v>
                </c:pt>
                <c:pt idx="698">
                  <c:v>44950</c:v>
                </c:pt>
                <c:pt idx="699">
                  <c:v>44955</c:v>
                </c:pt>
                <c:pt idx="700">
                  <c:v>44960</c:v>
                </c:pt>
                <c:pt idx="701">
                  <c:v>44965</c:v>
                </c:pt>
                <c:pt idx="702">
                  <c:v>44970</c:v>
                </c:pt>
                <c:pt idx="703">
                  <c:v>44975</c:v>
                </c:pt>
                <c:pt idx="704">
                  <c:v>44980</c:v>
                </c:pt>
                <c:pt idx="705">
                  <c:v>44985</c:v>
                </c:pt>
                <c:pt idx="706">
                  <c:v>44990</c:v>
                </c:pt>
                <c:pt idx="707">
                  <c:v>44990</c:v>
                </c:pt>
                <c:pt idx="708">
                  <c:v>44995</c:v>
                </c:pt>
                <c:pt idx="709">
                  <c:v>45000</c:v>
                </c:pt>
                <c:pt idx="710">
                  <c:v>45005</c:v>
                </c:pt>
                <c:pt idx="711">
                  <c:v>45005</c:v>
                </c:pt>
                <c:pt idx="712">
                  <c:v>45010</c:v>
                </c:pt>
                <c:pt idx="713">
                  <c:v>45015</c:v>
                </c:pt>
                <c:pt idx="714">
                  <c:v>45020</c:v>
                </c:pt>
                <c:pt idx="715">
                  <c:v>45025</c:v>
                </c:pt>
                <c:pt idx="716">
                  <c:v>45030</c:v>
                </c:pt>
                <c:pt idx="717">
                  <c:v>45035</c:v>
                </c:pt>
                <c:pt idx="718">
                  <c:v>45040</c:v>
                </c:pt>
                <c:pt idx="719">
                  <c:v>45050</c:v>
                </c:pt>
                <c:pt idx="720">
                  <c:v>45055</c:v>
                </c:pt>
                <c:pt idx="721">
                  <c:v>45060</c:v>
                </c:pt>
                <c:pt idx="722">
                  <c:v>45070</c:v>
                </c:pt>
                <c:pt idx="723">
                  <c:v>45080</c:v>
                </c:pt>
                <c:pt idx="724">
                  <c:v>45085</c:v>
                </c:pt>
                <c:pt idx="725">
                  <c:v>45090</c:v>
                </c:pt>
                <c:pt idx="726">
                  <c:v>45095</c:v>
                </c:pt>
                <c:pt idx="727">
                  <c:v>45100</c:v>
                </c:pt>
                <c:pt idx="728">
                  <c:v>45105</c:v>
                </c:pt>
                <c:pt idx="729">
                  <c:v>45110</c:v>
                </c:pt>
                <c:pt idx="730">
                  <c:v>45115</c:v>
                </c:pt>
                <c:pt idx="731">
                  <c:v>45120</c:v>
                </c:pt>
                <c:pt idx="732">
                  <c:v>45125</c:v>
                </c:pt>
                <c:pt idx="733">
                  <c:v>45150</c:v>
                </c:pt>
                <c:pt idx="734">
                  <c:v>45155</c:v>
                </c:pt>
                <c:pt idx="735">
                  <c:v>45160</c:v>
                </c:pt>
                <c:pt idx="736">
                  <c:v>45165</c:v>
                </c:pt>
                <c:pt idx="737">
                  <c:v>45175</c:v>
                </c:pt>
                <c:pt idx="738">
                  <c:v>45180</c:v>
                </c:pt>
                <c:pt idx="739">
                  <c:v>45185</c:v>
                </c:pt>
                <c:pt idx="740">
                  <c:v>45190</c:v>
                </c:pt>
                <c:pt idx="741">
                  <c:v>45195</c:v>
                </c:pt>
                <c:pt idx="742">
                  <c:v>45200</c:v>
                </c:pt>
                <c:pt idx="743">
                  <c:v>45205</c:v>
                </c:pt>
                <c:pt idx="744">
                  <c:v>45210</c:v>
                </c:pt>
                <c:pt idx="745">
                  <c:v>45215</c:v>
                </c:pt>
                <c:pt idx="746">
                  <c:v>45220</c:v>
                </c:pt>
                <c:pt idx="747">
                  <c:v>45225</c:v>
                </c:pt>
                <c:pt idx="748">
                  <c:v>45230</c:v>
                </c:pt>
                <c:pt idx="749">
                  <c:v>45235</c:v>
                </c:pt>
                <c:pt idx="750">
                  <c:v>45240</c:v>
                </c:pt>
                <c:pt idx="751">
                  <c:v>45245</c:v>
                </c:pt>
                <c:pt idx="752">
                  <c:v>45250</c:v>
                </c:pt>
                <c:pt idx="753">
                  <c:v>45260</c:v>
                </c:pt>
                <c:pt idx="754">
                  <c:v>45270</c:v>
                </c:pt>
                <c:pt idx="755">
                  <c:v>45275</c:v>
                </c:pt>
                <c:pt idx="756">
                  <c:v>45280</c:v>
                </c:pt>
                <c:pt idx="757">
                  <c:v>45285</c:v>
                </c:pt>
                <c:pt idx="758">
                  <c:v>45290</c:v>
                </c:pt>
                <c:pt idx="759">
                  <c:v>45295</c:v>
                </c:pt>
                <c:pt idx="760">
                  <c:v>45300</c:v>
                </c:pt>
                <c:pt idx="761">
                  <c:v>45305</c:v>
                </c:pt>
                <c:pt idx="762">
                  <c:v>45310</c:v>
                </c:pt>
                <c:pt idx="763">
                  <c:v>45315</c:v>
                </c:pt>
                <c:pt idx="764">
                  <c:v>45320</c:v>
                </c:pt>
                <c:pt idx="765">
                  <c:v>45325</c:v>
                </c:pt>
                <c:pt idx="766">
                  <c:v>45330</c:v>
                </c:pt>
                <c:pt idx="767">
                  <c:v>45335</c:v>
                </c:pt>
                <c:pt idx="768">
                  <c:v>45340</c:v>
                </c:pt>
                <c:pt idx="769">
                  <c:v>45345</c:v>
                </c:pt>
                <c:pt idx="770">
                  <c:v>45355</c:v>
                </c:pt>
                <c:pt idx="771">
                  <c:v>45360</c:v>
                </c:pt>
                <c:pt idx="772">
                  <c:v>45365</c:v>
                </c:pt>
                <c:pt idx="773">
                  <c:v>45370</c:v>
                </c:pt>
                <c:pt idx="774">
                  <c:v>45375</c:v>
                </c:pt>
                <c:pt idx="775">
                  <c:v>45380</c:v>
                </c:pt>
                <c:pt idx="776">
                  <c:v>45385</c:v>
                </c:pt>
                <c:pt idx="777">
                  <c:v>45390</c:v>
                </c:pt>
                <c:pt idx="778">
                  <c:v>45400</c:v>
                </c:pt>
                <c:pt idx="779">
                  <c:v>45405</c:v>
                </c:pt>
                <c:pt idx="780">
                  <c:v>45410</c:v>
                </c:pt>
                <c:pt idx="781">
                  <c:v>45415</c:v>
                </c:pt>
                <c:pt idx="782">
                  <c:v>45420</c:v>
                </c:pt>
                <c:pt idx="783">
                  <c:v>45425</c:v>
                </c:pt>
                <c:pt idx="784">
                  <c:v>45430</c:v>
                </c:pt>
                <c:pt idx="785">
                  <c:v>45435</c:v>
                </c:pt>
                <c:pt idx="786">
                  <c:v>45440</c:v>
                </c:pt>
                <c:pt idx="787">
                  <c:v>45450</c:v>
                </c:pt>
                <c:pt idx="788">
                  <c:v>45454</c:v>
                </c:pt>
                <c:pt idx="789">
                  <c:v>45455</c:v>
                </c:pt>
                <c:pt idx="790">
                  <c:v>45460</c:v>
                </c:pt>
                <c:pt idx="791">
                  <c:v>45465</c:v>
                </c:pt>
                <c:pt idx="792">
                  <c:v>45470</c:v>
                </c:pt>
                <c:pt idx="793">
                  <c:v>45475</c:v>
                </c:pt>
                <c:pt idx="794">
                  <c:v>45480</c:v>
                </c:pt>
                <c:pt idx="795">
                  <c:v>45485</c:v>
                </c:pt>
                <c:pt idx="796">
                  <c:v>45486</c:v>
                </c:pt>
                <c:pt idx="797">
                  <c:v>45490</c:v>
                </c:pt>
                <c:pt idx="798">
                  <c:v>45495</c:v>
                </c:pt>
                <c:pt idx="799">
                  <c:v>45500</c:v>
                </c:pt>
                <c:pt idx="800">
                  <c:v>45502</c:v>
                </c:pt>
                <c:pt idx="801">
                  <c:v>45505</c:v>
                </c:pt>
                <c:pt idx="802">
                  <c:v>45530</c:v>
                </c:pt>
                <c:pt idx="803">
                  <c:v>45535</c:v>
                </c:pt>
                <c:pt idx="804">
                  <c:v>45540</c:v>
                </c:pt>
                <c:pt idx="805">
                  <c:v>45545</c:v>
                </c:pt>
                <c:pt idx="806">
                  <c:v>45550</c:v>
                </c:pt>
                <c:pt idx="807">
                  <c:v>45555</c:v>
                </c:pt>
                <c:pt idx="808">
                  <c:v>45560</c:v>
                </c:pt>
                <c:pt idx="809">
                  <c:v>45565</c:v>
                </c:pt>
                <c:pt idx="810">
                  <c:v>45566</c:v>
                </c:pt>
                <c:pt idx="811">
                  <c:v>45570</c:v>
                </c:pt>
                <c:pt idx="812">
                  <c:v>45575</c:v>
                </c:pt>
                <c:pt idx="813">
                  <c:v>45582</c:v>
                </c:pt>
                <c:pt idx="814">
                  <c:v>45585</c:v>
                </c:pt>
                <c:pt idx="815">
                  <c:v>45590</c:v>
                </c:pt>
                <c:pt idx="816">
                  <c:v>45595</c:v>
                </c:pt>
                <c:pt idx="817">
                  <c:v>45598</c:v>
                </c:pt>
                <c:pt idx="818">
                  <c:v>45600</c:v>
                </c:pt>
                <c:pt idx="819">
                  <c:v>45610</c:v>
                </c:pt>
                <c:pt idx="820">
                  <c:v>45614</c:v>
                </c:pt>
                <c:pt idx="821">
                  <c:v>45615</c:v>
                </c:pt>
                <c:pt idx="822">
                  <c:v>45620</c:v>
                </c:pt>
                <c:pt idx="823">
                  <c:v>45625</c:v>
                </c:pt>
                <c:pt idx="824">
                  <c:v>45630</c:v>
                </c:pt>
                <c:pt idx="825">
                  <c:v>45635</c:v>
                </c:pt>
                <c:pt idx="826">
                  <c:v>45640</c:v>
                </c:pt>
                <c:pt idx="827">
                  <c:v>45645</c:v>
                </c:pt>
                <c:pt idx="828">
                  <c:v>45650</c:v>
                </c:pt>
                <c:pt idx="829">
                  <c:v>45655</c:v>
                </c:pt>
                <c:pt idx="830">
                  <c:v>45660</c:v>
                </c:pt>
                <c:pt idx="831">
                  <c:v>45662</c:v>
                </c:pt>
                <c:pt idx="832">
                  <c:v>45665</c:v>
                </c:pt>
                <c:pt idx="833">
                  <c:v>45670</c:v>
                </c:pt>
                <c:pt idx="834">
                  <c:v>45678</c:v>
                </c:pt>
                <c:pt idx="835">
                  <c:v>45680</c:v>
                </c:pt>
                <c:pt idx="836">
                  <c:v>45690</c:v>
                </c:pt>
                <c:pt idx="837">
                  <c:v>45694</c:v>
                </c:pt>
                <c:pt idx="838">
                  <c:v>45695</c:v>
                </c:pt>
                <c:pt idx="839">
                  <c:v>45700</c:v>
                </c:pt>
                <c:pt idx="840">
                  <c:v>45710</c:v>
                </c:pt>
                <c:pt idx="841">
                  <c:v>45720</c:v>
                </c:pt>
                <c:pt idx="842">
                  <c:v>45725</c:v>
                </c:pt>
                <c:pt idx="843">
                  <c:v>45730</c:v>
                </c:pt>
                <c:pt idx="844">
                  <c:v>45735</c:v>
                </c:pt>
                <c:pt idx="845">
                  <c:v>45740</c:v>
                </c:pt>
                <c:pt idx="846">
                  <c:v>45742</c:v>
                </c:pt>
                <c:pt idx="847">
                  <c:v>45745</c:v>
                </c:pt>
                <c:pt idx="848">
                  <c:v>45750</c:v>
                </c:pt>
                <c:pt idx="849">
                  <c:v>45758</c:v>
                </c:pt>
                <c:pt idx="850">
                  <c:v>45760</c:v>
                </c:pt>
                <c:pt idx="851">
                  <c:v>45762</c:v>
                </c:pt>
                <c:pt idx="852">
                  <c:v>45770</c:v>
                </c:pt>
                <c:pt idx="853">
                  <c:v>45775</c:v>
                </c:pt>
                <c:pt idx="854">
                  <c:v>45780</c:v>
                </c:pt>
                <c:pt idx="855">
                  <c:v>45782</c:v>
                </c:pt>
                <c:pt idx="856">
                  <c:v>45785</c:v>
                </c:pt>
                <c:pt idx="857">
                  <c:v>45790</c:v>
                </c:pt>
                <c:pt idx="858">
                  <c:v>45795</c:v>
                </c:pt>
                <c:pt idx="859">
                  <c:v>45800</c:v>
                </c:pt>
                <c:pt idx="860">
                  <c:v>45802</c:v>
                </c:pt>
                <c:pt idx="861">
                  <c:v>45805</c:v>
                </c:pt>
                <c:pt idx="862">
                  <c:v>45810</c:v>
                </c:pt>
                <c:pt idx="863">
                  <c:v>45813</c:v>
                </c:pt>
                <c:pt idx="864">
                  <c:v>45815</c:v>
                </c:pt>
                <c:pt idx="865">
                  <c:v>45820</c:v>
                </c:pt>
                <c:pt idx="866">
                  <c:v>45822</c:v>
                </c:pt>
                <c:pt idx="867">
                  <c:v>45825</c:v>
                </c:pt>
                <c:pt idx="868">
                  <c:v>45835</c:v>
                </c:pt>
              </c:numCache>
            </c:numRef>
          </c:cat>
          <c:val>
            <c:numRef>
              <c:f>Calcs!$I$5:$I$873</c:f>
              <c:numCache>
                <c:formatCode>#,##0.0</c:formatCode>
                <c:ptCount val="869"/>
                <c:pt idx="0">
                  <c:v>217.98046205506733</c:v>
                </c:pt>
                <c:pt idx="1">
                  <c:v>216.66825411735391</c:v>
                </c:pt>
                <c:pt idx="2">
                  <c:v>218.4605381298405</c:v>
                </c:pt>
                <c:pt idx="3">
                  <c:v>234.84920853951547</c:v>
                </c:pt>
                <c:pt idx="4">
                  <c:v>234.32219940456312</c:v>
                </c:pt>
                <c:pt idx="5">
                  <c:v>234.10723515214835</c:v>
                </c:pt>
                <c:pt idx="6">
                  <c:v>248.56033286624407</c:v>
                </c:pt>
                <c:pt idx="7">
                  <c:v>248.06557267048305</c:v>
                </c:pt>
                <c:pt idx="8">
                  <c:v>247.61333092904525</c:v>
                </c:pt>
                <c:pt idx="9">
                  <c:v>247.25385672431261</c:v>
                </c:pt>
                <c:pt idx="10">
                  <c:v>246.67792493393455</c:v>
                </c:pt>
                <c:pt idx="11">
                  <c:v>248.53327566803841</c:v>
                </c:pt>
                <c:pt idx="12">
                  <c:v>247.79113537439684</c:v>
                </c:pt>
                <c:pt idx="13">
                  <c:v>247.76407817619116</c:v>
                </c:pt>
                <c:pt idx="14">
                  <c:v>247.70223315172103</c:v>
                </c:pt>
                <c:pt idx="15">
                  <c:v>247.05286039478472</c:v>
                </c:pt>
                <c:pt idx="16">
                  <c:v>245.75547796872138</c:v>
                </c:pt>
                <c:pt idx="17">
                  <c:v>245.37166521023349</c:v>
                </c:pt>
                <c:pt idx="18">
                  <c:v>243.99246991324941</c:v>
                </c:pt>
                <c:pt idx="19">
                  <c:v>247.40460397145858</c:v>
                </c:pt>
                <c:pt idx="20">
                  <c:v>246.36483449755451</c:v>
                </c:pt>
                <c:pt idx="21">
                  <c:v>246.03384766169069</c:v>
                </c:pt>
                <c:pt idx="22">
                  <c:v>244.04308258469837</c:v>
                </c:pt>
                <c:pt idx="23">
                  <c:v>244.66730553256883</c:v>
                </c:pt>
                <c:pt idx="24">
                  <c:v>244.04308258469837</c:v>
                </c:pt>
                <c:pt idx="25">
                  <c:v>243.25015073199802</c:v>
                </c:pt>
                <c:pt idx="26">
                  <c:v>242.83681391516487</c:v>
                </c:pt>
                <c:pt idx="27">
                  <c:v>246.17929942414415</c:v>
                </c:pt>
                <c:pt idx="28">
                  <c:v>246.84026812316861</c:v>
                </c:pt>
                <c:pt idx="29">
                  <c:v>246.82480686705108</c:v>
                </c:pt>
                <c:pt idx="30">
                  <c:v>245.87779192472306</c:v>
                </c:pt>
                <c:pt idx="31">
                  <c:v>245.08486007202271</c:v>
                </c:pt>
                <c:pt idx="32">
                  <c:v>243.79423695007432</c:v>
                </c:pt>
                <c:pt idx="33">
                  <c:v>237.48733726383304</c:v>
                </c:pt>
                <c:pt idx="34">
                  <c:v>237.46368517844058</c:v>
                </c:pt>
                <c:pt idx="35">
                  <c:v>237.48142424248493</c:v>
                </c:pt>
                <c:pt idx="36">
                  <c:v>236.76594865936335</c:v>
                </c:pt>
                <c:pt idx="37">
                  <c:v>235.80614617929734</c:v>
                </c:pt>
                <c:pt idx="38">
                  <c:v>247.69063720963288</c:v>
                </c:pt>
                <c:pt idx="39">
                  <c:v>247.13403198940176</c:v>
                </c:pt>
                <c:pt idx="40">
                  <c:v>245.95792865451722</c:v>
                </c:pt>
                <c:pt idx="41">
                  <c:v>245.28309303519779</c:v>
                </c:pt>
                <c:pt idx="42">
                  <c:v>246.62381053752318</c:v>
                </c:pt>
                <c:pt idx="43">
                  <c:v>246.38416106770143</c:v>
                </c:pt>
                <c:pt idx="44">
                  <c:v>240.70267466020977</c:v>
                </c:pt>
                <c:pt idx="45">
                  <c:v>240.47164344382327</c:v>
                </c:pt>
                <c:pt idx="46">
                  <c:v>246.05071855217363</c:v>
                </c:pt>
                <c:pt idx="47">
                  <c:v>246.33004667129006</c:v>
                </c:pt>
                <c:pt idx="48">
                  <c:v>243.60865715476149</c:v>
                </c:pt>
                <c:pt idx="49">
                  <c:v>242.51651548673348</c:v>
                </c:pt>
                <c:pt idx="50">
                  <c:v>240.60927906209608</c:v>
                </c:pt>
                <c:pt idx="51">
                  <c:v>243.20797350579056</c:v>
                </c:pt>
                <c:pt idx="52">
                  <c:v>240.80098581611892</c:v>
                </c:pt>
                <c:pt idx="53">
                  <c:v>240.46672788602783</c:v>
                </c:pt>
                <c:pt idx="54">
                  <c:v>238.74089778963278</c:v>
                </c:pt>
                <c:pt idx="55">
                  <c:v>239.01880979299406</c:v>
                </c:pt>
                <c:pt idx="56">
                  <c:v>237.30994662338966</c:v>
                </c:pt>
                <c:pt idx="57">
                  <c:v>237.92490084359335</c:v>
                </c:pt>
                <c:pt idx="58">
                  <c:v>237.30994662338966</c:v>
                </c:pt>
                <c:pt idx="59">
                  <c:v>235.86855515580484</c:v>
                </c:pt>
                <c:pt idx="60">
                  <c:v>234.98789515397661</c:v>
                </c:pt>
                <c:pt idx="61">
                  <c:v>234.00322019130252</c:v>
                </c:pt>
                <c:pt idx="62">
                  <c:v>230.81262593239455</c:v>
                </c:pt>
                <c:pt idx="63">
                  <c:v>230.69770229868993</c:v>
                </c:pt>
                <c:pt idx="64">
                  <c:v>230.38357769989727</c:v>
                </c:pt>
                <c:pt idx="65">
                  <c:v>238.62855038401867</c:v>
                </c:pt>
                <c:pt idx="66">
                  <c:v>238.34472535930925</c:v>
                </c:pt>
                <c:pt idx="67">
                  <c:v>238.0017701211188</c:v>
                </c:pt>
                <c:pt idx="68">
                  <c:v>248.63377383280235</c:v>
                </c:pt>
                <c:pt idx="69">
                  <c:v>247.48964088010499</c:v>
                </c:pt>
                <c:pt idx="70">
                  <c:v>247.43166116966427</c:v>
                </c:pt>
                <c:pt idx="71">
                  <c:v>246.85959469331553</c:v>
                </c:pt>
                <c:pt idx="72">
                  <c:v>246.75909652855159</c:v>
                </c:pt>
                <c:pt idx="73">
                  <c:v>245.56989817340855</c:v>
                </c:pt>
                <c:pt idx="74">
                  <c:v>247.81819257260253</c:v>
                </c:pt>
                <c:pt idx="75">
                  <c:v>246.97555411419705</c:v>
                </c:pt>
                <c:pt idx="76">
                  <c:v>246.92143971778572</c:v>
                </c:pt>
                <c:pt idx="77">
                  <c:v>246.39575700978958</c:v>
                </c:pt>
                <c:pt idx="78">
                  <c:v>245.45601966264837</c:v>
                </c:pt>
                <c:pt idx="79">
                  <c:v>245.29152848043927</c:v>
                </c:pt>
                <c:pt idx="80">
                  <c:v>244.98785245174557</c:v>
                </c:pt>
                <c:pt idx="81">
                  <c:v>244.69682959091406</c:v>
                </c:pt>
                <c:pt idx="82">
                  <c:v>247.77180880424993</c:v>
                </c:pt>
                <c:pt idx="83">
                  <c:v>247.5089674502519</c:v>
                </c:pt>
                <c:pt idx="84">
                  <c:v>247.15335855954865</c:v>
                </c:pt>
                <c:pt idx="85">
                  <c:v>247.04126445269657</c:v>
                </c:pt>
                <c:pt idx="86">
                  <c:v>246.74363527243406</c:v>
                </c:pt>
                <c:pt idx="87">
                  <c:v>245.16499680181687</c:v>
                </c:pt>
                <c:pt idx="88">
                  <c:v>247.13016667537238</c:v>
                </c:pt>
                <c:pt idx="89">
                  <c:v>247.33502831892966</c:v>
                </c:pt>
                <c:pt idx="90">
                  <c:v>247.2113382699894</c:v>
                </c:pt>
                <c:pt idx="91">
                  <c:v>248.03465015824798</c:v>
                </c:pt>
                <c:pt idx="92">
                  <c:v>247.31956706281213</c:v>
                </c:pt>
                <c:pt idx="93">
                  <c:v>247.39300802937043</c:v>
                </c:pt>
                <c:pt idx="94">
                  <c:v>247.94188262154282</c:v>
                </c:pt>
                <c:pt idx="95">
                  <c:v>247.98440107586603</c:v>
                </c:pt>
                <c:pt idx="96">
                  <c:v>247.5089674502519</c:v>
                </c:pt>
                <c:pt idx="97">
                  <c:v>247.26545266640076</c:v>
                </c:pt>
                <c:pt idx="98">
                  <c:v>247.28864455057706</c:v>
                </c:pt>
                <c:pt idx="99">
                  <c:v>247.14949324551927</c:v>
                </c:pt>
                <c:pt idx="100">
                  <c:v>246.91757440375633</c:v>
                </c:pt>
                <c:pt idx="101">
                  <c:v>247.57081247472203</c:v>
                </c:pt>
                <c:pt idx="102">
                  <c:v>247.50510213622252</c:v>
                </c:pt>
                <c:pt idx="103">
                  <c:v>246.80934561093355</c:v>
                </c:pt>
                <c:pt idx="104">
                  <c:v>247.4703143099581</c:v>
                </c:pt>
                <c:pt idx="105">
                  <c:v>246.65859836378763</c:v>
                </c:pt>
                <c:pt idx="106">
                  <c:v>245.90309826044751</c:v>
                </c:pt>
                <c:pt idx="107">
                  <c:v>245.91996915093051</c:v>
                </c:pt>
                <c:pt idx="108">
                  <c:v>244.28349277408091</c:v>
                </c:pt>
                <c:pt idx="109">
                  <c:v>243.70566477503863</c:v>
                </c:pt>
                <c:pt idx="110">
                  <c:v>242.6099110848472</c:v>
                </c:pt>
                <c:pt idx="111">
                  <c:v>242.67381333618815</c:v>
                </c:pt>
                <c:pt idx="112">
                  <c:v>241.19914599755097</c:v>
                </c:pt>
                <c:pt idx="113">
                  <c:v>241.32203494243737</c:v>
                </c:pt>
                <c:pt idx="114">
                  <c:v>239.99483433766392</c:v>
                </c:pt>
                <c:pt idx="115">
                  <c:v>239.77363423686833</c:v>
                </c:pt>
                <c:pt idx="116">
                  <c:v>239.69006975434556</c:v>
                </c:pt>
                <c:pt idx="117">
                  <c:v>239.2435046042223</c:v>
                </c:pt>
                <c:pt idx="118">
                  <c:v>239.37950409522892</c:v>
                </c:pt>
                <c:pt idx="119">
                  <c:v>237.77116228854243</c:v>
                </c:pt>
                <c:pt idx="120">
                  <c:v>237.82437948067539</c:v>
                </c:pt>
                <c:pt idx="121">
                  <c:v>237.3158596447378</c:v>
                </c:pt>
                <c:pt idx="122">
                  <c:v>236.93742627845862</c:v>
                </c:pt>
                <c:pt idx="123">
                  <c:v>237.19759921777552</c:v>
                </c:pt>
                <c:pt idx="124">
                  <c:v>236.81916585149639</c:v>
                </c:pt>
                <c:pt idx="125">
                  <c:v>235.62585358049787</c:v>
                </c:pt>
                <c:pt idx="126">
                  <c:v>239.75397200568653</c:v>
                </c:pt>
                <c:pt idx="127">
                  <c:v>239.79821202584566</c:v>
                </c:pt>
                <c:pt idx="128">
                  <c:v>239.7195631011183</c:v>
                </c:pt>
                <c:pt idx="129">
                  <c:v>242.62957331602902</c:v>
                </c:pt>
                <c:pt idx="130">
                  <c:v>242.44278211980162</c:v>
                </c:pt>
                <c:pt idx="131">
                  <c:v>242.70330668296089</c:v>
                </c:pt>
                <c:pt idx="132">
                  <c:v>242.38379542625614</c:v>
                </c:pt>
                <c:pt idx="133">
                  <c:v>242.45261323539256</c:v>
                </c:pt>
                <c:pt idx="134">
                  <c:v>241.02218591691451</c:v>
                </c:pt>
                <c:pt idx="135">
                  <c:v>239.83753648820928</c:v>
                </c:pt>
                <c:pt idx="136">
                  <c:v>239.25533064691857</c:v>
                </c:pt>
                <c:pt idx="137">
                  <c:v>238.36246442335363</c:v>
                </c:pt>
                <c:pt idx="138">
                  <c:v>237.39272892226325</c:v>
                </c:pt>
                <c:pt idx="139">
                  <c:v>237.30994662338966</c:v>
                </c:pt>
                <c:pt idx="140">
                  <c:v>236.6299491683568</c:v>
                </c:pt>
                <c:pt idx="141">
                  <c:v>235.21672806783749</c:v>
                </c:pt>
                <c:pt idx="142">
                  <c:v>233.53862003285766</c:v>
                </c:pt>
                <c:pt idx="143">
                  <c:v>232.72801982747188</c:v>
                </c:pt>
                <c:pt idx="144">
                  <c:v>233.07401987441284</c:v>
                </c:pt>
                <c:pt idx="145">
                  <c:v>232.27598686823364</c:v>
                </c:pt>
                <c:pt idx="146">
                  <c:v>231.417890403239</c:v>
                </c:pt>
                <c:pt idx="147">
                  <c:v>230.43720872895943</c:v>
                </c:pt>
                <c:pt idx="148">
                  <c:v>229.97751419414087</c:v>
                </c:pt>
                <c:pt idx="149">
                  <c:v>229.35341112534209</c:v>
                </c:pt>
                <c:pt idx="150">
                  <c:v>230.0158220720424</c:v>
                </c:pt>
                <c:pt idx="151">
                  <c:v>229.3442679659212</c:v>
                </c:pt>
                <c:pt idx="152">
                  <c:v>228.17394356004655</c:v>
                </c:pt>
                <c:pt idx="153">
                  <c:v>228.10994144410029</c:v>
                </c:pt>
                <c:pt idx="154">
                  <c:v>227.96365089336592</c:v>
                </c:pt>
                <c:pt idx="155">
                  <c:v>227.91793509626146</c:v>
                </c:pt>
                <c:pt idx="156">
                  <c:v>226.59217698023161</c:v>
                </c:pt>
                <c:pt idx="157">
                  <c:v>226.49160222660174</c:v>
                </c:pt>
                <c:pt idx="158">
                  <c:v>226.31660908861815</c:v>
                </c:pt>
                <c:pt idx="159">
                  <c:v>224.87387653996089</c:v>
                </c:pt>
                <c:pt idx="160">
                  <c:v>225.33643201357623</c:v>
                </c:pt>
                <c:pt idx="161">
                  <c:v>234.32913373528621</c:v>
                </c:pt>
                <c:pt idx="162">
                  <c:v>240.97794589675539</c:v>
                </c:pt>
                <c:pt idx="163">
                  <c:v>240.49130567500512</c:v>
                </c:pt>
                <c:pt idx="164">
                  <c:v>239.6212519452092</c:v>
                </c:pt>
                <c:pt idx="165">
                  <c:v>239.8227898148229</c:v>
                </c:pt>
                <c:pt idx="166">
                  <c:v>239.59667415623187</c:v>
                </c:pt>
                <c:pt idx="167">
                  <c:v>238.71724570424036</c:v>
                </c:pt>
                <c:pt idx="168">
                  <c:v>238.14959565482161</c:v>
                </c:pt>
                <c:pt idx="169">
                  <c:v>237.28629453799721</c:v>
                </c:pt>
                <c:pt idx="170">
                  <c:v>236.8901221076737</c:v>
                </c:pt>
                <c:pt idx="171">
                  <c:v>237.19168619642744</c:v>
                </c:pt>
                <c:pt idx="172">
                  <c:v>237.0793387908133</c:v>
                </c:pt>
                <c:pt idx="173">
                  <c:v>235.8130805100204</c:v>
                </c:pt>
                <c:pt idx="174">
                  <c:v>235.35541468229863</c:v>
                </c:pt>
                <c:pt idx="175">
                  <c:v>235.03643546903803</c:v>
                </c:pt>
                <c:pt idx="176">
                  <c:v>234.86307720096161</c:v>
                </c:pt>
                <c:pt idx="177">
                  <c:v>236.92560023576235</c:v>
                </c:pt>
                <c:pt idx="178">
                  <c:v>236.87238304362938</c:v>
                </c:pt>
                <c:pt idx="179">
                  <c:v>235.00176381542272</c:v>
                </c:pt>
                <c:pt idx="180">
                  <c:v>233.70504397021105</c:v>
                </c:pt>
                <c:pt idx="181">
                  <c:v>233.64263499370355</c:v>
                </c:pt>
                <c:pt idx="182">
                  <c:v>233.16416617381262</c:v>
                </c:pt>
                <c:pt idx="183">
                  <c:v>233.00467656718232</c:v>
                </c:pt>
                <c:pt idx="184">
                  <c:v>232.83528188559617</c:v>
                </c:pt>
                <c:pt idx="185">
                  <c:v>231.59410664158611</c:v>
                </c:pt>
                <c:pt idx="186">
                  <c:v>230.80496435681425</c:v>
                </c:pt>
                <c:pt idx="187">
                  <c:v>230.54447078708375</c:v>
                </c:pt>
                <c:pt idx="188">
                  <c:v>230.09243782784552</c:v>
                </c:pt>
                <c:pt idx="189">
                  <c:v>229.96985261856057</c:v>
                </c:pt>
                <c:pt idx="190">
                  <c:v>229.97751419414087</c:v>
                </c:pt>
                <c:pt idx="191">
                  <c:v>230.36825454873664</c:v>
                </c:pt>
                <c:pt idx="192">
                  <c:v>228.93282579198089</c:v>
                </c:pt>
                <c:pt idx="193">
                  <c:v>228.39337938614804</c:v>
                </c:pt>
                <c:pt idx="194">
                  <c:v>228.70424680645849</c:v>
                </c:pt>
                <c:pt idx="195">
                  <c:v>228.24708883541373</c:v>
                </c:pt>
                <c:pt idx="196">
                  <c:v>228.22880251657193</c:v>
                </c:pt>
                <c:pt idx="197">
                  <c:v>228.66767416877494</c:v>
                </c:pt>
                <c:pt idx="198">
                  <c:v>228.17394356004655</c:v>
                </c:pt>
                <c:pt idx="199">
                  <c:v>228.10994144410029</c:v>
                </c:pt>
                <c:pt idx="200">
                  <c:v>228.62195837167042</c:v>
                </c:pt>
                <c:pt idx="201">
                  <c:v>227.92707825568235</c:v>
                </c:pt>
                <c:pt idx="202">
                  <c:v>227.98193721220775</c:v>
                </c:pt>
                <c:pt idx="203">
                  <c:v>228.82310787893016</c:v>
                </c:pt>
                <c:pt idx="204">
                  <c:v>227.78993086436896</c:v>
                </c:pt>
                <c:pt idx="205">
                  <c:v>227.96365089336592</c:v>
                </c:pt>
                <c:pt idx="206">
                  <c:v>226.84818544401665</c:v>
                </c:pt>
                <c:pt idx="207">
                  <c:v>228.15565724120475</c:v>
                </c:pt>
                <c:pt idx="208">
                  <c:v>228.07336880641668</c:v>
                </c:pt>
                <c:pt idx="209">
                  <c:v>227.84478982089431</c:v>
                </c:pt>
                <c:pt idx="210">
                  <c:v>226.49160222660174</c:v>
                </c:pt>
                <c:pt idx="211">
                  <c:v>226.46417274833908</c:v>
                </c:pt>
                <c:pt idx="212">
                  <c:v>226.49160222660174</c:v>
                </c:pt>
                <c:pt idx="213">
                  <c:v>228.16480040062567</c:v>
                </c:pt>
                <c:pt idx="214">
                  <c:v>228.05508248757494</c:v>
                </c:pt>
                <c:pt idx="215">
                  <c:v>227.75335822668535</c:v>
                </c:pt>
                <c:pt idx="216">
                  <c:v>226.61960645849427</c:v>
                </c:pt>
                <c:pt idx="217">
                  <c:v>226.37167521642951</c:v>
                </c:pt>
                <c:pt idx="218">
                  <c:v>226.49160222660174</c:v>
                </c:pt>
                <c:pt idx="219">
                  <c:v>226.38188431355098</c:v>
                </c:pt>
                <c:pt idx="220">
                  <c:v>225.44656426919892</c:v>
                </c:pt>
                <c:pt idx="221">
                  <c:v>225.02806169783267</c:v>
                </c:pt>
                <c:pt idx="222">
                  <c:v>224.80779718658729</c:v>
                </c:pt>
                <c:pt idx="223">
                  <c:v>227.98193721220775</c:v>
                </c:pt>
                <c:pt idx="224">
                  <c:v>227.81736034263164</c:v>
                </c:pt>
                <c:pt idx="225">
                  <c:v>227.00361915417187</c:v>
                </c:pt>
                <c:pt idx="226">
                  <c:v>226.51903170486443</c:v>
                </c:pt>
                <c:pt idx="227">
                  <c:v>226.46417274833908</c:v>
                </c:pt>
                <c:pt idx="228">
                  <c:v>226.50988854544354</c:v>
                </c:pt>
                <c:pt idx="229">
                  <c:v>226.22850328411999</c:v>
                </c:pt>
                <c:pt idx="230">
                  <c:v>225.40251136694982</c:v>
                </c:pt>
                <c:pt idx="231">
                  <c:v>224.58753267534189</c:v>
                </c:pt>
                <c:pt idx="232">
                  <c:v>224.86286331439862</c:v>
                </c:pt>
                <c:pt idx="233">
                  <c:v>223.1227736755601</c:v>
                </c:pt>
                <c:pt idx="234">
                  <c:v>222.52497392539169</c:v>
                </c:pt>
                <c:pt idx="235">
                  <c:v>222.47005298134485</c:v>
                </c:pt>
                <c:pt idx="236">
                  <c:v>222.07187613700501</c:v>
                </c:pt>
                <c:pt idx="237">
                  <c:v>221.86592259682928</c:v>
                </c:pt>
                <c:pt idx="238">
                  <c:v>221.8247318887941</c:v>
                </c:pt>
                <c:pt idx="239">
                  <c:v>221.75608070873551</c:v>
                </c:pt>
                <c:pt idx="240">
                  <c:v>221.41282480844259</c:v>
                </c:pt>
                <c:pt idx="241">
                  <c:v>220.46543852363405</c:v>
                </c:pt>
                <c:pt idx="242">
                  <c:v>220.25948498345829</c:v>
                </c:pt>
                <c:pt idx="243">
                  <c:v>220.25948498345829</c:v>
                </c:pt>
                <c:pt idx="244">
                  <c:v>220.16337333137625</c:v>
                </c:pt>
                <c:pt idx="245">
                  <c:v>220.21829427542309</c:v>
                </c:pt>
                <c:pt idx="246">
                  <c:v>220.1221826233411</c:v>
                </c:pt>
                <c:pt idx="247">
                  <c:v>220.09472215131765</c:v>
                </c:pt>
                <c:pt idx="248">
                  <c:v>220.02607097125906</c:v>
                </c:pt>
                <c:pt idx="249">
                  <c:v>218.71657870305287</c:v>
                </c:pt>
                <c:pt idx="250">
                  <c:v>218.74858377470443</c:v>
                </c:pt>
                <c:pt idx="251">
                  <c:v>218.73258123887868</c:v>
                </c:pt>
                <c:pt idx="252">
                  <c:v>218.63656602392402</c:v>
                </c:pt>
                <c:pt idx="253">
                  <c:v>218.54055080896939</c:v>
                </c:pt>
                <c:pt idx="254">
                  <c:v>218.50854573731783</c:v>
                </c:pt>
                <c:pt idx="255">
                  <c:v>218.4605381298405</c:v>
                </c:pt>
                <c:pt idx="256">
                  <c:v>218.34852037906012</c:v>
                </c:pt>
                <c:pt idx="257">
                  <c:v>218.38052545071164</c:v>
                </c:pt>
                <c:pt idx="258">
                  <c:v>219.75674353172812</c:v>
                </c:pt>
                <c:pt idx="259">
                  <c:v>218.31651530740857</c:v>
                </c:pt>
                <c:pt idx="260">
                  <c:v>218.30051277158279</c:v>
                </c:pt>
                <c:pt idx="261">
                  <c:v>218.10848234167352</c:v>
                </c:pt>
                <c:pt idx="262">
                  <c:v>219.16464970617454</c:v>
                </c:pt>
                <c:pt idx="263">
                  <c:v>217.53239105194569</c:v>
                </c:pt>
                <c:pt idx="264">
                  <c:v>218.09247980584772</c:v>
                </c:pt>
                <c:pt idx="265">
                  <c:v>219.34067760025806</c:v>
                </c:pt>
                <c:pt idx="266">
                  <c:v>217.48438344446834</c:v>
                </c:pt>
                <c:pt idx="267">
                  <c:v>218.74858377470443</c:v>
                </c:pt>
                <c:pt idx="268">
                  <c:v>217.35636315786218</c:v>
                </c:pt>
                <c:pt idx="269">
                  <c:v>218.79659138218173</c:v>
                </c:pt>
                <c:pt idx="270">
                  <c:v>217.19633779960441</c:v>
                </c:pt>
                <c:pt idx="271">
                  <c:v>218.60456095227246</c:v>
                </c:pt>
                <c:pt idx="272">
                  <c:v>217.22834287125599</c:v>
                </c:pt>
                <c:pt idx="273">
                  <c:v>216.70025918900546</c:v>
                </c:pt>
                <c:pt idx="274">
                  <c:v>217.22834287125599</c:v>
                </c:pt>
                <c:pt idx="275">
                  <c:v>217.03631244134669</c:v>
                </c:pt>
                <c:pt idx="276">
                  <c:v>216.43382596648738</c:v>
                </c:pt>
                <c:pt idx="277">
                  <c:v>216.45165177412119</c:v>
                </c:pt>
                <c:pt idx="278">
                  <c:v>216.45165177412119</c:v>
                </c:pt>
                <c:pt idx="279">
                  <c:v>216.48730338938876</c:v>
                </c:pt>
                <c:pt idx="280">
                  <c:v>218.25250516410549</c:v>
                </c:pt>
                <c:pt idx="281">
                  <c:v>216.39817435121978</c:v>
                </c:pt>
                <c:pt idx="282">
                  <c:v>217.35636315786218</c:v>
                </c:pt>
                <c:pt idx="283">
                  <c:v>218.60456095227246</c:v>
                </c:pt>
                <c:pt idx="284">
                  <c:v>216.79627440396013</c:v>
                </c:pt>
                <c:pt idx="285">
                  <c:v>217.19633779960441</c:v>
                </c:pt>
                <c:pt idx="286">
                  <c:v>216.71626172483124</c:v>
                </c:pt>
                <c:pt idx="287">
                  <c:v>216.60424397405083</c:v>
                </c:pt>
                <c:pt idx="288">
                  <c:v>216.55623636657353</c:v>
                </c:pt>
                <c:pt idx="289">
                  <c:v>216.04165819854387</c:v>
                </c:pt>
                <c:pt idx="290">
                  <c:v>216.45165177412119</c:v>
                </c:pt>
                <c:pt idx="291">
                  <c:v>216.39817435121978</c:v>
                </c:pt>
                <c:pt idx="292">
                  <c:v>216.18426465961423</c:v>
                </c:pt>
                <c:pt idx="293">
                  <c:v>216.23774208251564</c:v>
                </c:pt>
                <c:pt idx="294">
                  <c:v>215.63166462296658</c:v>
                </c:pt>
                <c:pt idx="295">
                  <c:v>215.61383881533277</c:v>
                </c:pt>
                <c:pt idx="296">
                  <c:v>218.7005761672271</c:v>
                </c:pt>
                <c:pt idx="297">
                  <c:v>217.42037330116526</c:v>
                </c:pt>
                <c:pt idx="298">
                  <c:v>216.79627440396013</c:v>
                </c:pt>
                <c:pt idx="299">
                  <c:v>216.90829215474051</c:v>
                </c:pt>
                <c:pt idx="300">
                  <c:v>216.66825411735391</c:v>
                </c:pt>
                <c:pt idx="301">
                  <c:v>216.3446969283184</c:v>
                </c:pt>
                <c:pt idx="302">
                  <c:v>216.29121950541702</c:v>
                </c:pt>
                <c:pt idx="303">
                  <c:v>214.33038066569955</c:v>
                </c:pt>
                <c:pt idx="304">
                  <c:v>214.36603228096715</c:v>
                </c:pt>
                <c:pt idx="305">
                  <c:v>213.77778062905193</c:v>
                </c:pt>
                <c:pt idx="306">
                  <c:v>214.1521225893616</c:v>
                </c:pt>
                <c:pt idx="307">
                  <c:v>216.25556789014945</c:v>
                </c:pt>
                <c:pt idx="308">
                  <c:v>215.93470335274111</c:v>
                </c:pt>
                <c:pt idx="309">
                  <c:v>216.79627440396013</c:v>
                </c:pt>
                <c:pt idx="310">
                  <c:v>216.7482667964828</c:v>
                </c:pt>
                <c:pt idx="311">
                  <c:v>215.68514204586799</c:v>
                </c:pt>
                <c:pt idx="312">
                  <c:v>215.50688396953007</c:v>
                </c:pt>
                <c:pt idx="313">
                  <c:v>215.54253558479763</c:v>
                </c:pt>
                <c:pt idx="314">
                  <c:v>215.52470977716382</c:v>
                </c:pt>
                <c:pt idx="315">
                  <c:v>214.72254843364306</c:v>
                </c:pt>
                <c:pt idx="316">
                  <c:v>214.65124520310783</c:v>
                </c:pt>
                <c:pt idx="317">
                  <c:v>214.47298712676991</c:v>
                </c:pt>
                <c:pt idx="318">
                  <c:v>214.61559358784027</c:v>
                </c:pt>
                <c:pt idx="319">
                  <c:v>216.38034854358597</c:v>
                </c:pt>
                <c:pt idx="320">
                  <c:v>216.21991627488185</c:v>
                </c:pt>
                <c:pt idx="321">
                  <c:v>215.66731623823418</c:v>
                </c:pt>
                <c:pt idx="322">
                  <c:v>216.36252273595221</c:v>
                </c:pt>
                <c:pt idx="323">
                  <c:v>215.89905173747354</c:v>
                </c:pt>
                <c:pt idx="324">
                  <c:v>217.06831751299828</c:v>
                </c:pt>
                <c:pt idx="325">
                  <c:v>216.21991627488185</c:v>
                </c:pt>
                <c:pt idx="326">
                  <c:v>215.50688396953007</c:v>
                </c:pt>
                <c:pt idx="327">
                  <c:v>216.02383239091009</c:v>
                </c:pt>
                <c:pt idx="328">
                  <c:v>215.9168775451073</c:v>
                </c:pt>
                <c:pt idx="329">
                  <c:v>215.52470977716382</c:v>
                </c:pt>
                <c:pt idx="330">
                  <c:v>215.77427108403694</c:v>
                </c:pt>
                <c:pt idx="331">
                  <c:v>214.5799419725727</c:v>
                </c:pt>
                <c:pt idx="332">
                  <c:v>214.97210974051617</c:v>
                </c:pt>
                <c:pt idx="333">
                  <c:v>215.3464517008259</c:v>
                </c:pt>
                <c:pt idx="334">
                  <c:v>214.4551613191361</c:v>
                </c:pt>
                <c:pt idx="335">
                  <c:v>215.16819362448791</c:v>
                </c:pt>
                <c:pt idx="336">
                  <c:v>216.48730338938876</c:v>
                </c:pt>
                <c:pt idx="337">
                  <c:v>215.77427108403694</c:v>
                </c:pt>
                <c:pt idx="338">
                  <c:v>215.47123235426244</c:v>
                </c:pt>
                <c:pt idx="339">
                  <c:v>216.27339369778321</c:v>
                </c:pt>
                <c:pt idx="340">
                  <c:v>215.18601943212173</c:v>
                </c:pt>
                <c:pt idx="341">
                  <c:v>215.3464517008259</c:v>
                </c:pt>
                <c:pt idx="342">
                  <c:v>215.41775493136103</c:v>
                </c:pt>
                <c:pt idx="343">
                  <c:v>215.89905173747354</c:v>
                </c:pt>
                <c:pt idx="344">
                  <c:v>215.11471620158653</c:v>
                </c:pt>
                <c:pt idx="345">
                  <c:v>214.29472905043195</c:v>
                </c:pt>
                <c:pt idx="346">
                  <c:v>215.9168775451073</c:v>
                </c:pt>
                <c:pt idx="347">
                  <c:v>215.80992269930456</c:v>
                </c:pt>
                <c:pt idx="348">
                  <c:v>215.25732266265689</c:v>
                </c:pt>
                <c:pt idx="349">
                  <c:v>214.13429678172781</c:v>
                </c:pt>
                <c:pt idx="350">
                  <c:v>215.29297427792449</c:v>
                </c:pt>
                <c:pt idx="351">
                  <c:v>217.06831751299828</c:v>
                </c:pt>
                <c:pt idx="352">
                  <c:v>213.6886515908829</c:v>
                </c:pt>
                <c:pt idx="353">
                  <c:v>214.36603228096715</c:v>
                </c:pt>
                <c:pt idx="354">
                  <c:v>214.06299355119262</c:v>
                </c:pt>
                <c:pt idx="355">
                  <c:v>216.18426465961423</c:v>
                </c:pt>
                <c:pt idx="356">
                  <c:v>230.78964120565368</c:v>
                </c:pt>
                <c:pt idx="357">
                  <c:v>230.14606885690765</c:v>
                </c:pt>
                <c:pt idx="358">
                  <c:v>230.55213236266405</c:v>
                </c:pt>
                <c:pt idx="359">
                  <c:v>230.36825454873664</c:v>
                </c:pt>
                <c:pt idx="360">
                  <c:v>242.72296891414268</c:v>
                </c:pt>
                <c:pt idx="361">
                  <c:v>244.13587248235478</c:v>
                </c:pt>
                <c:pt idx="362">
                  <c:v>249.33726098615008</c:v>
                </c:pt>
                <c:pt idx="363">
                  <c:v>248.3361446525399</c:v>
                </c:pt>
                <c:pt idx="364">
                  <c:v>248.11582175286503</c:v>
                </c:pt>
                <c:pt idx="365">
                  <c:v>247.46644899592872</c:v>
                </c:pt>
                <c:pt idx="366">
                  <c:v>249.2986078458562</c:v>
                </c:pt>
                <c:pt idx="367">
                  <c:v>246.62381053752318</c:v>
                </c:pt>
                <c:pt idx="368">
                  <c:v>246.30298947308438</c:v>
                </c:pt>
                <c:pt idx="369">
                  <c:v>246.62381053752318</c:v>
                </c:pt>
                <c:pt idx="370">
                  <c:v>246.24114444861428</c:v>
                </c:pt>
                <c:pt idx="371">
                  <c:v>246.84026812316861</c:v>
                </c:pt>
                <c:pt idx="372">
                  <c:v>247.70609846575042</c:v>
                </c:pt>
                <c:pt idx="373">
                  <c:v>247.91096010930775</c:v>
                </c:pt>
                <c:pt idx="374">
                  <c:v>248.10422581077688</c:v>
                </c:pt>
                <c:pt idx="375">
                  <c:v>247.88003759707269</c:v>
                </c:pt>
                <c:pt idx="376">
                  <c:v>247.60946561501586</c:v>
                </c:pt>
                <c:pt idx="377">
                  <c:v>247.06832165090225</c:v>
                </c:pt>
                <c:pt idx="378">
                  <c:v>247.28864455057706</c:v>
                </c:pt>
                <c:pt idx="379">
                  <c:v>247.28477923654768</c:v>
                </c:pt>
                <c:pt idx="380">
                  <c:v>247.31570174878274</c:v>
                </c:pt>
                <c:pt idx="381">
                  <c:v>247.26931798043015</c:v>
                </c:pt>
                <c:pt idx="382">
                  <c:v>248.6685616590668</c:v>
                </c:pt>
                <c:pt idx="383">
                  <c:v>248.0539767283949</c:v>
                </c:pt>
                <c:pt idx="384">
                  <c:v>247.75248223410301</c:v>
                </c:pt>
                <c:pt idx="385">
                  <c:v>247.66744532545661</c:v>
                </c:pt>
                <c:pt idx="386">
                  <c:v>247.43939179772303</c:v>
                </c:pt>
                <c:pt idx="387">
                  <c:v>247.15722387357803</c:v>
                </c:pt>
                <c:pt idx="388">
                  <c:v>247.20747295596001</c:v>
                </c:pt>
                <c:pt idx="389">
                  <c:v>246.9639581721089</c:v>
                </c:pt>
                <c:pt idx="390">
                  <c:v>246.94463160196199</c:v>
                </c:pt>
                <c:pt idx="391">
                  <c:v>246.79001904078666</c:v>
                </c:pt>
                <c:pt idx="392">
                  <c:v>246.61221459543503</c:v>
                </c:pt>
                <c:pt idx="393">
                  <c:v>246.41508357993652</c:v>
                </c:pt>
                <c:pt idx="394">
                  <c:v>246.50398580261233</c:v>
                </c:pt>
                <c:pt idx="395">
                  <c:v>246.47692860440665</c:v>
                </c:pt>
                <c:pt idx="396">
                  <c:v>245.95792865451722</c:v>
                </c:pt>
                <c:pt idx="397">
                  <c:v>245.80187291754962</c:v>
                </c:pt>
                <c:pt idx="398">
                  <c:v>245.28731075781855</c:v>
                </c:pt>
                <c:pt idx="399">
                  <c:v>245.47289055313141</c:v>
                </c:pt>
                <c:pt idx="400">
                  <c:v>246.96009285807952</c:v>
                </c:pt>
                <c:pt idx="401">
                  <c:v>247.08764822104916</c:v>
                </c:pt>
                <c:pt idx="402">
                  <c:v>245.88200964734378</c:v>
                </c:pt>
                <c:pt idx="403">
                  <c:v>245.96214637713794</c:v>
                </c:pt>
                <c:pt idx="404">
                  <c:v>245.64581718058199</c:v>
                </c:pt>
                <c:pt idx="405">
                  <c:v>245.24513353161109</c:v>
                </c:pt>
                <c:pt idx="406">
                  <c:v>245.47710827575213</c:v>
                </c:pt>
                <c:pt idx="407">
                  <c:v>245.11438413036794</c:v>
                </c:pt>
                <c:pt idx="408">
                  <c:v>244.82757899215719</c:v>
                </c:pt>
                <c:pt idx="409">
                  <c:v>244.28771049670164</c:v>
                </c:pt>
                <c:pt idx="410">
                  <c:v>244.45641940153152</c:v>
                </c:pt>
                <c:pt idx="411">
                  <c:v>244.12321931449253</c:v>
                </c:pt>
                <c:pt idx="412">
                  <c:v>243.25436845461877</c:v>
                </c:pt>
                <c:pt idx="413">
                  <c:v>243.49899636662207</c:v>
                </c:pt>
                <c:pt idx="414">
                  <c:v>243.23327984151504</c:v>
                </c:pt>
                <c:pt idx="415">
                  <c:v>243.1194013307549</c:v>
                </c:pt>
                <c:pt idx="416">
                  <c:v>243.82376100841955</c:v>
                </c:pt>
                <c:pt idx="417">
                  <c:v>243.91233318345519</c:v>
                </c:pt>
                <c:pt idx="418">
                  <c:v>244.94989294815883</c:v>
                </c:pt>
                <c:pt idx="419">
                  <c:v>246.03384766169069</c:v>
                </c:pt>
                <c:pt idx="420">
                  <c:v>246.12518502773278</c:v>
                </c:pt>
                <c:pt idx="421">
                  <c:v>245.81452608541184</c:v>
                </c:pt>
                <c:pt idx="422">
                  <c:v>245.82296153065334</c:v>
                </c:pt>
                <c:pt idx="423">
                  <c:v>245.49819688885586</c:v>
                </c:pt>
                <c:pt idx="424">
                  <c:v>245.46867283051063</c:v>
                </c:pt>
                <c:pt idx="425">
                  <c:v>245.58676906389155</c:v>
                </c:pt>
                <c:pt idx="426">
                  <c:v>245.05533601367748</c:v>
                </c:pt>
                <c:pt idx="427">
                  <c:v>245.24091580899034</c:v>
                </c:pt>
                <c:pt idx="428">
                  <c:v>244.84866760526091</c:v>
                </c:pt>
                <c:pt idx="429">
                  <c:v>244.29192821932241</c:v>
                </c:pt>
                <c:pt idx="430">
                  <c:v>244.55342702180869</c:v>
                </c:pt>
                <c:pt idx="431">
                  <c:v>244.27083960621866</c:v>
                </c:pt>
                <c:pt idx="432">
                  <c:v>247.82205788663191</c:v>
                </c:pt>
                <c:pt idx="433">
                  <c:v>247.54375527651635</c:v>
                </c:pt>
                <c:pt idx="434">
                  <c:v>247.38527740131167</c:v>
                </c:pt>
                <c:pt idx="435">
                  <c:v>247.27318329445953</c:v>
                </c:pt>
                <c:pt idx="436">
                  <c:v>246.6199452234938</c:v>
                </c:pt>
                <c:pt idx="437">
                  <c:v>247.15335855954865</c:v>
                </c:pt>
                <c:pt idx="438">
                  <c:v>247.1417626174605</c:v>
                </c:pt>
                <c:pt idx="439">
                  <c:v>247.0335338246378</c:v>
                </c:pt>
                <c:pt idx="440">
                  <c:v>246.844133437198</c:v>
                </c:pt>
                <c:pt idx="441">
                  <c:v>246.94849691599137</c:v>
                </c:pt>
                <c:pt idx="442">
                  <c:v>248.59125537847913</c:v>
                </c:pt>
                <c:pt idx="443">
                  <c:v>249.15559122676905</c:v>
                </c:pt>
                <c:pt idx="444">
                  <c:v>247.97667044780727</c:v>
                </c:pt>
                <c:pt idx="445">
                  <c:v>247.45098773981118</c:v>
                </c:pt>
                <c:pt idx="446">
                  <c:v>247.2345301541657</c:v>
                </c:pt>
                <c:pt idx="447">
                  <c:v>247.23066484013631</c:v>
                </c:pt>
                <c:pt idx="448">
                  <c:v>247.257722038342</c:v>
                </c:pt>
                <c:pt idx="449">
                  <c:v>247.16108918760742</c:v>
                </c:pt>
                <c:pt idx="450">
                  <c:v>247.126301361343</c:v>
                </c:pt>
                <c:pt idx="451">
                  <c:v>247.0335338246378</c:v>
                </c:pt>
                <c:pt idx="452">
                  <c:v>246.84026812316861</c:v>
                </c:pt>
                <c:pt idx="453">
                  <c:v>247.31956706281213</c:v>
                </c:pt>
                <c:pt idx="454">
                  <c:v>246.76296184258098</c:v>
                </c:pt>
                <c:pt idx="455">
                  <c:v>246.7359046443753</c:v>
                </c:pt>
                <c:pt idx="456">
                  <c:v>246.77069247063974</c:v>
                </c:pt>
                <c:pt idx="457">
                  <c:v>246.90984377569757</c:v>
                </c:pt>
                <c:pt idx="458">
                  <c:v>246.41508357993652</c:v>
                </c:pt>
                <c:pt idx="459">
                  <c:v>246.39189169576019</c:v>
                </c:pt>
                <c:pt idx="460">
                  <c:v>246.15224222593847</c:v>
                </c:pt>
                <c:pt idx="461">
                  <c:v>246.1908953662323</c:v>
                </c:pt>
                <c:pt idx="462">
                  <c:v>248.47529595759767</c:v>
                </c:pt>
                <c:pt idx="463">
                  <c:v>247.78340474633808</c:v>
                </c:pt>
                <c:pt idx="464">
                  <c:v>246.0981278295271</c:v>
                </c:pt>
                <c:pt idx="465">
                  <c:v>247.6017349869571</c:v>
                </c:pt>
                <c:pt idx="466">
                  <c:v>247.50510213622252</c:v>
                </c:pt>
                <c:pt idx="467">
                  <c:v>247.30024049266521</c:v>
                </c:pt>
                <c:pt idx="468">
                  <c:v>247.24612609625385</c:v>
                </c:pt>
                <c:pt idx="469">
                  <c:v>247.54375527651635</c:v>
                </c:pt>
                <c:pt idx="470">
                  <c:v>248.15060957912948</c:v>
                </c:pt>
                <c:pt idx="471">
                  <c:v>246.9407662879326</c:v>
                </c:pt>
                <c:pt idx="472">
                  <c:v>246.79774966884543</c:v>
                </c:pt>
                <c:pt idx="473">
                  <c:v>246.65859836378763</c:v>
                </c:pt>
                <c:pt idx="474">
                  <c:v>246.72044338825776</c:v>
                </c:pt>
                <c:pt idx="475">
                  <c:v>246.66246367781702</c:v>
                </c:pt>
                <c:pt idx="476">
                  <c:v>246.28366290293746</c:v>
                </c:pt>
                <c:pt idx="477">
                  <c:v>246.6431371076701</c:v>
                </c:pt>
                <c:pt idx="478">
                  <c:v>246.4189488939659</c:v>
                </c:pt>
                <c:pt idx="479">
                  <c:v>246.0043236033454</c:v>
                </c:pt>
                <c:pt idx="480">
                  <c:v>245.59520450913303</c:v>
                </c:pt>
                <c:pt idx="481">
                  <c:v>245.58255134127077</c:v>
                </c:pt>
                <c:pt idx="482">
                  <c:v>245.47289055313141</c:v>
                </c:pt>
                <c:pt idx="483">
                  <c:v>244.76853087546675</c:v>
                </c:pt>
                <c:pt idx="484">
                  <c:v>244.69682959091406</c:v>
                </c:pt>
                <c:pt idx="485">
                  <c:v>243.75205972386686</c:v>
                </c:pt>
                <c:pt idx="486">
                  <c:v>243.99668763587013</c:v>
                </c:pt>
                <c:pt idx="487">
                  <c:v>243.41464191420712</c:v>
                </c:pt>
                <c:pt idx="488">
                  <c:v>242.84524936040637</c:v>
                </c:pt>
                <c:pt idx="489">
                  <c:v>242.984434206891</c:v>
                </c:pt>
                <c:pt idx="490">
                  <c:v>242.66398222059721</c:v>
                </c:pt>
                <c:pt idx="491">
                  <c:v>242.34938652168796</c:v>
                </c:pt>
                <c:pt idx="492">
                  <c:v>242.00038191821048</c:v>
                </c:pt>
                <c:pt idx="493">
                  <c:v>241.19423043975553</c:v>
                </c:pt>
                <c:pt idx="494">
                  <c:v>240.94353699218721</c:v>
                </c:pt>
                <c:pt idx="495">
                  <c:v>241.7349417972558</c:v>
                </c:pt>
                <c:pt idx="496">
                  <c:v>241.48424834968748</c:v>
                </c:pt>
                <c:pt idx="497">
                  <c:v>245.27043986733554</c:v>
                </c:pt>
                <c:pt idx="498">
                  <c:v>246.06720531729206</c:v>
                </c:pt>
                <c:pt idx="499">
                  <c:v>246.20635662234983</c:v>
                </c:pt>
                <c:pt idx="500">
                  <c:v>245.72173618775543</c:v>
                </c:pt>
                <c:pt idx="501">
                  <c:v>246.85186406525676</c:v>
                </c:pt>
                <c:pt idx="502">
                  <c:v>246.7359046443753</c:v>
                </c:pt>
                <c:pt idx="503">
                  <c:v>247.126301361343</c:v>
                </c:pt>
                <c:pt idx="504">
                  <c:v>246.9253050318151</c:v>
                </c:pt>
                <c:pt idx="505">
                  <c:v>246.844133437198</c:v>
                </c:pt>
                <c:pt idx="506">
                  <c:v>246.5581001990237</c:v>
                </c:pt>
                <c:pt idx="507">
                  <c:v>246.5117164306711</c:v>
                </c:pt>
                <c:pt idx="508">
                  <c:v>246.57356145514123</c:v>
                </c:pt>
                <c:pt idx="509">
                  <c:v>246.44600609217159</c:v>
                </c:pt>
                <c:pt idx="510">
                  <c:v>246.24887507667304</c:v>
                </c:pt>
                <c:pt idx="511">
                  <c:v>246.1908953662323</c:v>
                </c:pt>
                <c:pt idx="512">
                  <c:v>246.11358908564463</c:v>
                </c:pt>
                <c:pt idx="513">
                  <c:v>246.0001058807247</c:v>
                </c:pt>
                <c:pt idx="514">
                  <c:v>245.55302728292557</c:v>
                </c:pt>
                <c:pt idx="515">
                  <c:v>245.48554372099366</c:v>
                </c:pt>
                <c:pt idx="516">
                  <c:v>245.40962471382019</c:v>
                </c:pt>
                <c:pt idx="517">
                  <c:v>245.046900568436</c:v>
                </c:pt>
                <c:pt idx="518">
                  <c:v>244.52390296346343</c:v>
                </c:pt>
                <c:pt idx="519">
                  <c:v>244.67574097781034</c:v>
                </c:pt>
                <c:pt idx="520">
                  <c:v>244.22444465739045</c:v>
                </c:pt>
                <c:pt idx="521">
                  <c:v>244.16539654070002</c:v>
                </c:pt>
                <c:pt idx="522">
                  <c:v>243.79423695007432</c:v>
                </c:pt>
                <c:pt idx="523">
                  <c:v>243.7014470524179</c:v>
                </c:pt>
                <c:pt idx="524">
                  <c:v>243.37668241062042</c:v>
                </c:pt>
                <c:pt idx="525">
                  <c:v>243.3724646879997</c:v>
                </c:pt>
                <c:pt idx="526">
                  <c:v>243.25436845461877</c:v>
                </c:pt>
                <c:pt idx="527">
                  <c:v>242.73280002973362</c:v>
                </c:pt>
                <c:pt idx="528">
                  <c:v>242.79463668895741</c:v>
                </c:pt>
                <c:pt idx="529">
                  <c:v>242.90007975447608</c:v>
                </c:pt>
                <c:pt idx="530">
                  <c:v>242.60499552705173</c:v>
                </c:pt>
                <c:pt idx="531">
                  <c:v>242.91273292233834</c:v>
                </c:pt>
                <c:pt idx="532">
                  <c:v>242.60007996925629</c:v>
                </c:pt>
                <c:pt idx="533">
                  <c:v>242.52143104452898</c:v>
                </c:pt>
                <c:pt idx="534">
                  <c:v>240.54046125295969</c:v>
                </c:pt>
                <c:pt idx="535">
                  <c:v>241.5530661588239</c:v>
                </c:pt>
                <c:pt idx="536">
                  <c:v>241.91681743568773</c:v>
                </c:pt>
                <c:pt idx="537">
                  <c:v>241.16473709298273</c:v>
                </c:pt>
                <c:pt idx="538">
                  <c:v>241.29254159566463</c:v>
                </c:pt>
                <c:pt idx="539">
                  <c:v>241.23847045991459</c:v>
                </c:pt>
                <c:pt idx="540">
                  <c:v>240.60927906209608</c:v>
                </c:pt>
                <c:pt idx="541">
                  <c:v>239.91618541293661</c:v>
                </c:pt>
                <c:pt idx="542">
                  <c:v>240.40774119248232</c:v>
                </c:pt>
                <c:pt idx="543">
                  <c:v>239.83262093041384</c:v>
                </c:pt>
                <c:pt idx="544">
                  <c:v>240.07839882018672</c:v>
                </c:pt>
                <c:pt idx="545">
                  <c:v>239.91126985514114</c:v>
                </c:pt>
                <c:pt idx="546">
                  <c:v>239.38541711657703</c:v>
                </c:pt>
                <c:pt idx="547">
                  <c:v>239.31446086039966</c:v>
                </c:pt>
                <c:pt idx="548">
                  <c:v>239.10750511321575</c:v>
                </c:pt>
                <c:pt idx="549">
                  <c:v>239.14889626265253</c:v>
                </c:pt>
                <c:pt idx="550">
                  <c:v>239.10750511321575</c:v>
                </c:pt>
                <c:pt idx="551">
                  <c:v>238.42750765818289</c:v>
                </c:pt>
                <c:pt idx="552">
                  <c:v>238.64037642671488</c:v>
                </c:pt>
                <c:pt idx="553">
                  <c:v>237.74159718180184</c:v>
                </c:pt>
                <c:pt idx="554">
                  <c:v>238.3979425514423</c:v>
                </c:pt>
                <c:pt idx="555">
                  <c:v>237.77116228854243</c:v>
                </c:pt>
                <c:pt idx="556">
                  <c:v>237.77707530989053</c:v>
                </c:pt>
                <c:pt idx="557">
                  <c:v>237.39864194361135</c:v>
                </c:pt>
                <c:pt idx="558">
                  <c:v>237.01429555598406</c:v>
                </c:pt>
                <c:pt idx="559">
                  <c:v>237.51098934922547</c:v>
                </c:pt>
                <c:pt idx="560">
                  <c:v>236.74229657397089</c:v>
                </c:pt>
                <c:pt idx="561">
                  <c:v>237.19168619642744</c:v>
                </c:pt>
                <c:pt idx="562">
                  <c:v>237.7120320750613</c:v>
                </c:pt>
                <c:pt idx="563">
                  <c:v>235.72293421062068</c:v>
                </c:pt>
                <c:pt idx="564">
                  <c:v>236.83099189419258</c:v>
                </c:pt>
                <c:pt idx="565">
                  <c:v>236.42299342117286</c:v>
                </c:pt>
                <c:pt idx="566">
                  <c:v>236.20833736123467</c:v>
                </c:pt>
                <c:pt idx="567">
                  <c:v>235.88242381725098</c:v>
                </c:pt>
                <c:pt idx="568">
                  <c:v>234.67585027143906</c:v>
                </c:pt>
                <c:pt idx="569">
                  <c:v>235.03643546903803</c:v>
                </c:pt>
                <c:pt idx="570">
                  <c:v>234.32913373528621</c:v>
                </c:pt>
                <c:pt idx="571">
                  <c:v>234.3568710581784</c:v>
                </c:pt>
                <c:pt idx="572">
                  <c:v>235.34848035157557</c:v>
                </c:pt>
                <c:pt idx="573">
                  <c:v>235.05030413048414</c:v>
                </c:pt>
                <c:pt idx="574">
                  <c:v>234.36380538890148</c:v>
                </c:pt>
                <c:pt idx="575">
                  <c:v>233.17110050453564</c:v>
                </c:pt>
                <c:pt idx="576">
                  <c:v>233.60102900936522</c:v>
                </c:pt>
                <c:pt idx="577">
                  <c:v>235.15431909133</c:v>
                </c:pt>
                <c:pt idx="578">
                  <c:v>235.2930057057911</c:v>
                </c:pt>
                <c:pt idx="579">
                  <c:v>234.43314869613204</c:v>
                </c:pt>
                <c:pt idx="580">
                  <c:v>234.12110381359449</c:v>
                </c:pt>
                <c:pt idx="581">
                  <c:v>233.98935152985638</c:v>
                </c:pt>
                <c:pt idx="582">
                  <c:v>233.15723184308956</c:v>
                </c:pt>
                <c:pt idx="583">
                  <c:v>233.98935152985638</c:v>
                </c:pt>
                <c:pt idx="584">
                  <c:v>232.40623365309889</c:v>
                </c:pt>
                <c:pt idx="585">
                  <c:v>232.24534056591239</c:v>
                </c:pt>
                <c:pt idx="586">
                  <c:v>232.25300214149269</c:v>
                </c:pt>
                <c:pt idx="587">
                  <c:v>230.65939442078837</c:v>
                </c:pt>
                <c:pt idx="588">
                  <c:v>230.80496435681425</c:v>
                </c:pt>
                <c:pt idx="589">
                  <c:v>230.45253188012006</c:v>
                </c:pt>
                <c:pt idx="590">
                  <c:v>230.13074570574707</c:v>
                </c:pt>
                <c:pt idx="591">
                  <c:v>229.68637432208911</c:v>
                </c:pt>
                <c:pt idx="592">
                  <c:v>229.09740266155703</c:v>
                </c:pt>
                <c:pt idx="593">
                  <c:v>229.63684906738987</c:v>
                </c:pt>
                <c:pt idx="594">
                  <c:v>246.9253050318151</c:v>
                </c:pt>
                <c:pt idx="595">
                  <c:v>246.59675333931753</c:v>
                </c:pt>
                <c:pt idx="596">
                  <c:v>246.74750058646345</c:v>
                </c:pt>
                <c:pt idx="597">
                  <c:v>246.4421407781422</c:v>
                </c:pt>
                <c:pt idx="598">
                  <c:v>246.24114444861428</c:v>
                </c:pt>
                <c:pt idx="599">
                  <c:v>245.96214637713794</c:v>
                </c:pt>
                <c:pt idx="600">
                  <c:v>245.10173096250571</c:v>
                </c:pt>
                <c:pt idx="601">
                  <c:v>244.87397394098542</c:v>
                </c:pt>
                <c:pt idx="602">
                  <c:v>245.25778669947334</c:v>
                </c:pt>
                <c:pt idx="603">
                  <c:v>245.36744748761274</c:v>
                </c:pt>
                <c:pt idx="604">
                  <c:v>244.84444988264016</c:v>
                </c:pt>
                <c:pt idx="605">
                  <c:v>244.98785245174557</c:v>
                </c:pt>
                <c:pt idx="606">
                  <c:v>244.78540176594973</c:v>
                </c:pt>
                <c:pt idx="607">
                  <c:v>244.58295108015392</c:v>
                </c:pt>
                <c:pt idx="608">
                  <c:v>244.49859662773898</c:v>
                </c:pt>
                <c:pt idx="609">
                  <c:v>244.11900159187178</c:v>
                </c:pt>
                <c:pt idx="610">
                  <c:v>243.33450518441296</c:v>
                </c:pt>
                <c:pt idx="611">
                  <c:v>243.2459330093773</c:v>
                </c:pt>
                <c:pt idx="612">
                  <c:v>242.97178103902877</c:v>
                </c:pt>
                <c:pt idx="613">
                  <c:v>242.42803544641527</c:v>
                </c:pt>
                <c:pt idx="614">
                  <c:v>243.88280912510999</c:v>
                </c:pt>
                <c:pt idx="615">
                  <c:v>243.27123934510175</c:v>
                </c:pt>
                <c:pt idx="616">
                  <c:v>243.26702162248102</c:v>
                </c:pt>
                <c:pt idx="617">
                  <c:v>242.54600883350625</c:v>
                </c:pt>
                <c:pt idx="618">
                  <c:v>242.43786656200618</c:v>
                </c:pt>
                <c:pt idx="619">
                  <c:v>242.38379542625614</c:v>
                </c:pt>
                <c:pt idx="620">
                  <c:v>242.44769767759712</c:v>
                </c:pt>
                <c:pt idx="621">
                  <c:v>241.46458611850565</c:v>
                </c:pt>
                <c:pt idx="622">
                  <c:v>241.74477291284671</c:v>
                </c:pt>
                <c:pt idx="623">
                  <c:v>241.45475500291474</c:v>
                </c:pt>
                <c:pt idx="624">
                  <c:v>241.20406155534641</c:v>
                </c:pt>
                <c:pt idx="625">
                  <c:v>240.75183023816436</c:v>
                </c:pt>
                <c:pt idx="626">
                  <c:v>240.82064804730075</c:v>
                </c:pt>
                <c:pt idx="627">
                  <c:v>240.15213218711855</c:v>
                </c:pt>
                <c:pt idx="628">
                  <c:v>240.08331437798216</c:v>
                </c:pt>
                <c:pt idx="629">
                  <c:v>239.96042543309574</c:v>
                </c:pt>
                <c:pt idx="630">
                  <c:v>239.90143873955026</c:v>
                </c:pt>
                <c:pt idx="631">
                  <c:v>240.63877240886885</c:v>
                </c:pt>
                <c:pt idx="632">
                  <c:v>239.6212519452092</c:v>
                </c:pt>
                <c:pt idx="633">
                  <c:v>239.59175859843643</c:v>
                </c:pt>
                <c:pt idx="634">
                  <c:v>239.33811294579212</c:v>
                </c:pt>
                <c:pt idx="635">
                  <c:v>238.61081131997435</c:v>
                </c:pt>
                <c:pt idx="636">
                  <c:v>240.97794589675539</c:v>
                </c:pt>
                <c:pt idx="637">
                  <c:v>239.13707021995629</c:v>
                </c:pt>
                <c:pt idx="638">
                  <c:v>245.98323499024167</c:v>
                </c:pt>
                <c:pt idx="639">
                  <c:v>245.8651387568608</c:v>
                </c:pt>
                <c:pt idx="640">
                  <c:v>245.38431837809568</c:v>
                </c:pt>
                <c:pt idx="641">
                  <c:v>245.11860185298869</c:v>
                </c:pt>
                <c:pt idx="642">
                  <c:v>244.82336126953641</c:v>
                </c:pt>
                <c:pt idx="643">
                  <c:v>244.28349277408091</c:v>
                </c:pt>
                <c:pt idx="644">
                  <c:v>242.29531538593793</c:v>
                </c:pt>
                <c:pt idx="645">
                  <c:v>241.89223964671044</c:v>
                </c:pt>
                <c:pt idx="646">
                  <c:v>241.32203494243737</c:v>
                </c:pt>
                <c:pt idx="647">
                  <c:v>241.17948376636915</c:v>
                </c:pt>
                <c:pt idx="648">
                  <c:v>240.70759021800521</c:v>
                </c:pt>
                <c:pt idx="649">
                  <c:v>239.9260165285275</c:v>
                </c:pt>
                <c:pt idx="650">
                  <c:v>240.28485224759592</c:v>
                </c:pt>
                <c:pt idx="651">
                  <c:v>239.45046035140624</c:v>
                </c:pt>
                <c:pt idx="652">
                  <c:v>238.58124621323375</c:v>
                </c:pt>
                <c:pt idx="653">
                  <c:v>238.54576808514511</c:v>
                </c:pt>
                <c:pt idx="654">
                  <c:v>238.6344634053668</c:v>
                </c:pt>
                <c:pt idx="655">
                  <c:v>237.82437948067539</c:v>
                </c:pt>
                <c:pt idx="656">
                  <c:v>236.88420908632557</c:v>
                </c:pt>
                <c:pt idx="657">
                  <c:v>236.82507887284447</c:v>
                </c:pt>
                <c:pt idx="658">
                  <c:v>236.97881742789539</c:v>
                </c:pt>
                <c:pt idx="659">
                  <c:v>236.1528627154502</c:v>
                </c:pt>
                <c:pt idx="660">
                  <c:v>235.30687436723724</c:v>
                </c:pt>
                <c:pt idx="661">
                  <c:v>234.91855184674606</c:v>
                </c:pt>
                <c:pt idx="662">
                  <c:v>234.83533987806933</c:v>
                </c:pt>
                <c:pt idx="663">
                  <c:v>248.87728861665352</c:v>
                </c:pt>
                <c:pt idx="664">
                  <c:v>246.74363527243406</c:v>
                </c:pt>
                <c:pt idx="665">
                  <c:v>245.5741158960293</c:v>
                </c:pt>
                <c:pt idx="666">
                  <c:v>251.37097609023587</c:v>
                </c:pt>
                <c:pt idx="667">
                  <c:v>246.53877362887678</c:v>
                </c:pt>
                <c:pt idx="668">
                  <c:v>246.28366290293746</c:v>
                </c:pt>
                <c:pt idx="669">
                  <c:v>245.75547796872138</c:v>
                </c:pt>
                <c:pt idx="670">
                  <c:v>245.55724500554632</c:v>
                </c:pt>
                <c:pt idx="671">
                  <c:v>245.75126024610066</c:v>
                </c:pt>
                <c:pt idx="672">
                  <c:v>245.49397916623514</c:v>
                </c:pt>
                <c:pt idx="673">
                  <c:v>244.41424217532403</c:v>
                </c:pt>
                <c:pt idx="674">
                  <c:v>244.55764474442941</c:v>
                </c:pt>
                <c:pt idx="675">
                  <c:v>244.3678472264958</c:v>
                </c:pt>
                <c:pt idx="676">
                  <c:v>244.00934080373239</c:v>
                </c:pt>
                <c:pt idx="677">
                  <c:v>243.51586725710507</c:v>
                </c:pt>
                <c:pt idx="678">
                  <c:v>243.30919884868851</c:v>
                </c:pt>
                <c:pt idx="679">
                  <c:v>242.94647470330432</c:v>
                </c:pt>
                <c:pt idx="680">
                  <c:v>242.72296891414268</c:v>
                </c:pt>
                <c:pt idx="681">
                  <c:v>242.55583994909716</c:v>
                </c:pt>
                <c:pt idx="682">
                  <c:v>242.61482664264264</c:v>
                </c:pt>
                <c:pt idx="683">
                  <c:v>242.1478486520742</c:v>
                </c:pt>
                <c:pt idx="684">
                  <c:v>242.1970042300288</c:v>
                </c:pt>
                <c:pt idx="685">
                  <c:v>241.89715520450588</c:v>
                </c:pt>
                <c:pt idx="686">
                  <c:v>241.13032818841455</c:v>
                </c:pt>
                <c:pt idx="687">
                  <c:v>240.74691468036889</c:v>
                </c:pt>
                <c:pt idx="688">
                  <c:v>240.66826575564158</c:v>
                </c:pt>
                <c:pt idx="689">
                  <c:v>240.51096790618692</c:v>
                </c:pt>
                <c:pt idx="690">
                  <c:v>239.86702983498202</c:v>
                </c:pt>
                <c:pt idx="691">
                  <c:v>239.54260302048183</c:v>
                </c:pt>
                <c:pt idx="692">
                  <c:v>240.30943003657316</c:v>
                </c:pt>
                <c:pt idx="693">
                  <c:v>243.40198874634493</c:v>
                </c:pt>
                <c:pt idx="694">
                  <c:v>243.27545706772253</c:v>
                </c:pt>
                <c:pt idx="695">
                  <c:v>242.90429747709683</c:v>
                </c:pt>
                <c:pt idx="696">
                  <c:v>242.8663379735101</c:v>
                </c:pt>
                <c:pt idx="697">
                  <c:v>242.6885600095745</c:v>
                </c:pt>
                <c:pt idx="698">
                  <c:v>242.31497761711978</c:v>
                </c:pt>
                <c:pt idx="699">
                  <c:v>242.07411528514234</c:v>
                </c:pt>
                <c:pt idx="700">
                  <c:v>242.04953749616507</c:v>
                </c:pt>
                <c:pt idx="701">
                  <c:v>241.81359072198313</c:v>
                </c:pt>
                <c:pt idx="702">
                  <c:v>241.45967056071021</c:v>
                </c:pt>
                <c:pt idx="703">
                  <c:v>240.55520792634604</c:v>
                </c:pt>
                <c:pt idx="704">
                  <c:v>240.70759021800521</c:v>
                </c:pt>
                <c:pt idx="705">
                  <c:v>240.53554569516425</c:v>
                </c:pt>
                <c:pt idx="706">
                  <c:v>239.63599861859555</c:v>
                </c:pt>
                <c:pt idx="707">
                  <c:v>239.75397200568653</c:v>
                </c:pt>
                <c:pt idx="708">
                  <c:v>239.43863430871002</c:v>
                </c:pt>
                <c:pt idx="709">
                  <c:v>239.0838530278233</c:v>
                </c:pt>
                <c:pt idx="710">
                  <c:v>239.04837489973463</c:v>
                </c:pt>
                <c:pt idx="711">
                  <c:v>239.10750511321575</c:v>
                </c:pt>
                <c:pt idx="712">
                  <c:v>242.74263114532457</c:v>
                </c:pt>
                <c:pt idx="713">
                  <c:v>242.81150757944042</c:v>
                </c:pt>
                <c:pt idx="714">
                  <c:v>243.14048994385863</c:v>
                </c:pt>
                <c:pt idx="715">
                  <c:v>243.29654568082626</c:v>
                </c:pt>
                <c:pt idx="716">
                  <c:v>242.86212025088938</c:v>
                </c:pt>
                <c:pt idx="717">
                  <c:v>242.3543020794834</c:v>
                </c:pt>
                <c:pt idx="718">
                  <c:v>248.84636610441845</c:v>
                </c:pt>
                <c:pt idx="719">
                  <c:v>246.56196551305308</c:v>
                </c:pt>
                <c:pt idx="720">
                  <c:v>245.69642985203095</c:v>
                </c:pt>
                <c:pt idx="721">
                  <c:v>245.69221212941022</c:v>
                </c:pt>
                <c:pt idx="722">
                  <c:v>245.84405014375707</c:v>
                </c:pt>
                <c:pt idx="723">
                  <c:v>245.06377145891898</c:v>
                </c:pt>
                <c:pt idx="724">
                  <c:v>245.56989817340855</c:v>
                </c:pt>
                <c:pt idx="725">
                  <c:v>245.88622736996453</c:v>
                </c:pt>
                <c:pt idx="726">
                  <c:v>245.71330074251395</c:v>
                </c:pt>
                <c:pt idx="727">
                  <c:v>245.62894629009901</c:v>
                </c:pt>
                <c:pt idx="728">
                  <c:v>245.52350322458034</c:v>
                </c:pt>
                <c:pt idx="729">
                  <c:v>245.08907779464346</c:v>
                </c:pt>
                <c:pt idx="730">
                  <c:v>244.94567522553811</c:v>
                </c:pt>
                <c:pt idx="731">
                  <c:v>244.07682436566435</c:v>
                </c:pt>
                <c:pt idx="732">
                  <c:v>243.75627744648762</c:v>
                </c:pt>
                <c:pt idx="733">
                  <c:v>246.0001058807247</c:v>
                </c:pt>
                <c:pt idx="734">
                  <c:v>246.0001058807247</c:v>
                </c:pt>
                <c:pt idx="735">
                  <c:v>245.4475842174069</c:v>
                </c:pt>
                <c:pt idx="736">
                  <c:v>245.28731075781855</c:v>
                </c:pt>
                <c:pt idx="737">
                  <c:v>244.98363472912482</c:v>
                </c:pt>
                <c:pt idx="738">
                  <c:v>244.30879910980536</c:v>
                </c:pt>
                <c:pt idx="739">
                  <c:v>244.39315356222031</c:v>
                </c:pt>
                <c:pt idx="740">
                  <c:v>243.77314833697059</c:v>
                </c:pt>
                <c:pt idx="741">
                  <c:v>243.56226220593325</c:v>
                </c:pt>
                <c:pt idx="742">
                  <c:v>242.81150757944042</c:v>
                </c:pt>
                <c:pt idx="743">
                  <c:v>242.50176881334713</c:v>
                </c:pt>
                <c:pt idx="744">
                  <c:v>241.70544845048303</c:v>
                </c:pt>
                <c:pt idx="745">
                  <c:v>241.53831948543751</c:v>
                </c:pt>
                <c:pt idx="746">
                  <c:v>242.3788798684607</c:v>
                </c:pt>
                <c:pt idx="747">
                  <c:v>243.03082915571923</c:v>
                </c:pt>
                <c:pt idx="748">
                  <c:v>242.77704004989275</c:v>
                </c:pt>
                <c:pt idx="749">
                  <c:v>242.71313779855183</c:v>
                </c:pt>
                <c:pt idx="750">
                  <c:v>241.46950167630109</c:v>
                </c:pt>
                <c:pt idx="751">
                  <c:v>241.19423043975553</c:v>
                </c:pt>
                <c:pt idx="752">
                  <c:v>240.96811478116445</c:v>
                </c:pt>
                <c:pt idx="753">
                  <c:v>240.83047916289166</c:v>
                </c:pt>
                <c:pt idx="754">
                  <c:v>240.23078111184586</c:v>
                </c:pt>
                <c:pt idx="755">
                  <c:v>240.90421252982352</c:v>
                </c:pt>
                <c:pt idx="756">
                  <c:v>239.57209636725457</c:v>
                </c:pt>
                <c:pt idx="757">
                  <c:v>239.26715668961475</c:v>
                </c:pt>
                <c:pt idx="758">
                  <c:v>239.09567907051951</c:v>
                </c:pt>
                <c:pt idx="759">
                  <c:v>238.72315872558843</c:v>
                </c:pt>
                <c:pt idx="760">
                  <c:v>238.45707276492342</c:v>
                </c:pt>
                <c:pt idx="761">
                  <c:v>238.64037642671488</c:v>
                </c:pt>
                <c:pt idx="762">
                  <c:v>238.97150562220915</c:v>
                </c:pt>
                <c:pt idx="763">
                  <c:v>237.75933624584616</c:v>
                </c:pt>
                <c:pt idx="764">
                  <c:v>237.75342322449808</c:v>
                </c:pt>
                <c:pt idx="765">
                  <c:v>241.18931488196003</c:v>
                </c:pt>
                <c:pt idx="766">
                  <c:v>243.90389773821371</c:v>
                </c:pt>
                <c:pt idx="767">
                  <c:v>244.44376623366927</c:v>
                </c:pt>
                <c:pt idx="768">
                  <c:v>245.74282480085918</c:v>
                </c:pt>
                <c:pt idx="769">
                  <c:v>245.16499680181687</c:v>
                </c:pt>
                <c:pt idx="770">
                  <c:v>246.57356145514123</c:v>
                </c:pt>
                <c:pt idx="771">
                  <c:v>243.96716357752493</c:v>
                </c:pt>
                <c:pt idx="772">
                  <c:v>245.42227788168245</c:v>
                </c:pt>
                <c:pt idx="773">
                  <c:v>245.27887531257704</c:v>
                </c:pt>
                <c:pt idx="774">
                  <c:v>246.26433633279058</c:v>
                </c:pt>
                <c:pt idx="775">
                  <c:v>245.12281957560947</c:v>
                </c:pt>
                <c:pt idx="776">
                  <c:v>245.03002967795302</c:v>
                </c:pt>
                <c:pt idx="777">
                  <c:v>244.70948275877626</c:v>
                </c:pt>
                <c:pt idx="778">
                  <c:v>247.74088629201486</c:v>
                </c:pt>
                <c:pt idx="779">
                  <c:v>246.33391198531945</c:v>
                </c:pt>
                <c:pt idx="780">
                  <c:v>245.97058182237947</c:v>
                </c:pt>
                <c:pt idx="781">
                  <c:v>245.57833361865008</c:v>
                </c:pt>
                <c:pt idx="782">
                  <c:v>245.48976144361436</c:v>
                </c:pt>
                <c:pt idx="783">
                  <c:v>245.3210525387845</c:v>
                </c:pt>
                <c:pt idx="784">
                  <c:v>245.26200442209407</c:v>
                </c:pt>
                <c:pt idx="785">
                  <c:v>245.15656135657539</c:v>
                </c:pt>
                <c:pt idx="786">
                  <c:v>245.1860854149206</c:v>
                </c:pt>
                <c:pt idx="787">
                  <c:v>244.44376623366927</c:v>
                </c:pt>
                <c:pt idx="788">
                  <c:v>244.86975621836464</c:v>
                </c:pt>
                <c:pt idx="789">
                  <c:v>244.8824093862269</c:v>
                </c:pt>
                <c:pt idx="790">
                  <c:v>245.1860854149206</c:v>
                </c:pt>
                <c:pt idx="791">
                  <c:v>244.99207017436629</c:v>
                </c:pt>
                <c:pt idx="792">
                  <c:v>245.0089410648493</c:v>
                </c:pt>
                <c:pt idx="793">
                  <c:v>244.72635364925929</c:v>
                </c:pt>
                <c:pt idx="794">
                  <c:v>244.28771049670164</c:v>
                </c:pt>
                <c:pt idx="795">
                  <c:v>242.12818642089238</c:v>
                </c:pt>
                <c:pt idx="796">
                  <c:v>243.96294585490421</c:v>
                </c:pt>
                <c:pt idx="797">
                  <c:v>244.03042941683611</c:v>
                </c:pt>
                <c:pt idx="798">
                  <c:v>242.984434206891</c:v>
                </c:pt>
                <c:pt idx="799">
                  <c:v>242.3788798684607</c:v>
                </c:pt>
                <c:pt idx="800">
                  <c:v>241.91190187789226</c:v>
                </c:pt>
                <c:pt idx="801">
                  <c:v>242.11835530530146</c:v>
                </c:pt>
                <c:pt idx="802">
                  <c:v>244.86132077312317</c:v>
                </c:pt>
                <c:pt idx="803">
                  <c:v>243.83219645366103</c:v>
                </c:pt>
                <c:pt idx="804">
                  <c:v>245.0089410648493</c:v>
                </c:pt>
                <c:pt idx="805">
                  <c:v>244.28771049670164</c:v>
                </c:pt>
                <c:pt idx="806">
                  <c:v>244.23288010263198</c:v>
                </c:pt>
                <c:pt idx="807">
                  <c:v>243.79423695007432</c:v>
                </c:pt>
                <c:pt idx="808">
                  <c:v>243.40198874634493</c:v>
                </c:pt>
                <c:pt idx="809">
                  <c:v>243.08987727240967</c:v>
                </c:pt>
                <c:pt idx="810">
                  <c:v>242.71313779855183</c:v>
                </c:pt>
                <c:pt idx="811">
                  <c:v>242.75737781871092</c:v>
                </c:pt>
                <c:pt idx="812">
                  <c:v>242.37396431066526</c:v>
                </c:pt>
                <c:pt idx="813">
                  <c:v>241.25321713330095</c:v>
                </c:pt>
                <c:pt idx="814">
                  <c:v>241.10083484164181</c:v>
                </c:pt>
                <c:pt idx="815">
                  <c:v>240.77149246934619</c:v>
                </c:pt>
                <c:pt idx="816">
                  <c:v>240.963199223369</c:v>
                </c:pt>
                <c:pt idx="817">
                  <c:v>240.36841673011867</c:v>
                </c:pt>
                <c:pt idx="818">
                  <c:v>239.98991877986847</c:v>
                </c:pt>
                <c:pt idx="819">
                  <c:v>239.40906920196943</c:v>
                </c:pt>
                <c:pt idx="820">
                  <c:v>239.17254834804498</c:v>
                </c:pt>
                <c:pt idx="821">
                  <c:v>239.2198525188299</c:v>
                </c:pt>
                <c:pt idx="822">
                  <c:v>238.72907174693657</c:v>
                </c:pt>
                <c:pt idx="823">
                  <c:v>239.7195631011183</c:v>
                </c:pt>
                <c:pt idx="824">
                  <c:v>237.4755112211368</c:v>
                </c:pt>
                <c:pt idx="825">
                  <c:v>237.57011956270662</c:v>
                </c:pt>
                <c:pt idx="826">
                  <c:v>237.2153382818199</c:v>
                </c:pt>
                <c:pt idx="827">
                  <c:v>236.97881742789539</c:v>
                </c:pt>
                <c:pt idx="828">
                  <c:v>236.80733980880012</c:v>
                </c:pt>
                <c:pt idx="829">
                  <c:v>238.13185659077726</c:v>
                </c:pt>
                <c:pt idx="830">
                  <c:v>236.74820959531903</c:v>
                </c:pt>
                <c:pt idx="831">
                  <c:v>236.60038406161621</c:v>
                </c:pt>
                <c:pt idx="832">
                  <c:v>236.85464397958503</c:v>
                </c:pt>
                <c:pt idx="833">
                  <c:v>236.22195069533703</c:v>
                </c:pt>
                <c:pt idx="834">
                  <c:v>237.59968466944716</c:v>
                </c:pt>
                <c:pt idx="835">
                  <c:v>236.46438457060967</c:v>
                </c:pt>
                <c:pt idx="836">
                  <c:v>235.05723846120719</c:v>
                </c:pt>
                <c:pt idx="837">
                  <c:v>234.82147121662325</c:v>
                </c:pt>
                <c:pt idx="838">
                  <c:v>237.29812058069345</c:v>
                </c:pt>
                <c:pt idx="839">
                  <c:v>234.49555767263953</c:v>
                </c:pt>
                <c:pt idx="840">
                  <c:v>233.87840223828746</c:v>
                </c:pt>
                <c:pt idx="841">
                  <c:v>232.45986468216105</c:v>
                </c:pt>
                <c:pt idx="842">
                  <c:v>233.82292759250302</c:v>
                </c:pt>
                <c:pt idx="843">
                  <c:v>231.54813718810425</c:v>
                </c:pt>
                <c:pt idx="844">
                  <c:v>230.91988799051893</c:v>
                </c:pt>
                <c:pt idx="845">
                  <c:v>229.70935904883004</c:v>
                </c:pt>
                <c:pt idx="846">
                  <c:v>230.19969988596986</c:v>
                </c:pt>
                <c:pt idx="847">
                  <c:v>228.95111211082269</c:v>
                </c:pt>
                <c:pt idx="848">
                  <c:v>228.65853100935402</c:v>
                </c:pt>
                <c:pt idx="849">
                  <c:v>227.16819602374804</c:v>
                </c:pt>
                <c:pt idx="850">
                  <c:v>226.88475808170026</c:v>
                </c:pt>
                <c:pt idx="851">
                  <c:v>226.68360857444054</c:v>
                </c:pt>
                <c:pt idx="852">
                  <c:v>225.79898748719154</c:v>
                </c:pt>
                <c:pt idx="853">
                  <c:v>224.91792944220998</c:v>
                </c:pt>
                <c:pt idx="854">
                  <c:v>224.52145332196827</c:v>
                </c:pt>
                <c:pt idx="855">
                  <c:v>224.01484494610392</c:v>
                </c:pt>
                <c:pt idx="856">
                  <c:v>224.15801687841343</c:v>
                </c:pt>
                <c:pt idx="857">
                  <c:v>227.86307613973611</c:v>
                </c:pt>
                <c:pt idx="858">
                  <c:v>228.2928046325182</c:v>
                </c:pt>
                <c:pt idx="859">
                  <c:v>226.82989912517488</c:v>
                </c:pt>
                <c:pt idx="860">
                  <c:v>226.74761069038684</c:v>
                </c:pt>
                <c:pt idx="861">
                  <c:v>226.05229167512368</c:v>
                </c:pt>
                <c:pt idx="862">
                  <c:v>224.42233429190784</c:v>
                </c:pt>
                <c:pt idx="863">
                  <c:v>228.42080886441073</c:v>
                </c:pt>
                <c:pt idx="864">
                  <c:v>223.76154075817172</c:v>
                </c:pt>
                <c:pt idx="865">
                  <c:v>223.14480012668463</c:v>
                </c:pt>
                <c:pt idx="866">
                  <c:v>222.48378321735655</c:v>
                </c:pt>
                <c:pt idx="867">
                  <c:v>221.38536433641914</c:v>
                </c:pt>
                <c:pt idx="868">
                  <c:v>229.05168686445251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5-9A4B-AE74-0D4EFABC4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235344"/>
        <c:axId val="641237056"/>
      </c:lineChart>
      <c:dateAx>
        <c:axId val="641235344"/>
        <c:scaling>
          <c:orientation val="minMax"/>
          <c:max val="46023"/>
          <c:min val="387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7056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6412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 Reservoir  Water Level Elevation</a:t>
                </a:r>
                <a:r>
                  <a:rPr lang="en-GB" sz="1400" b="1" baseline="0"/>
                  <a:t> (</a:t>
                </a:r>
                <a:r>
                  <a:rPr lang="en-GB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SRTM30-ft</a:t>
                </a:r>
                <a:r>
                  <a:rPr lang="en-GB" sz="1400" b="1" baseline="0"/>
                  <a:t>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 Mirani Elevation-Area-Capacity.xlsx]Annual Chart!tbl_AnnualReport</c:name>
    <c:fmtId val="0"/>
  </c:pivotSource>
  <c:chart>
    <c:title>
      <c:tx>
        <c:strRef>
          <c:f>Info!$C$53</c:f>
          <c:strCache>
            <c:ptCount val="1"/>
            <c:pt idx="0">
              <c:v>Mirani Reservoir, Balochistan: Reservoir Capacity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bg1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Info!$C$53</c:f>
              <c:strCache>
                <c:ptCount val="1"/>
                <c:pt idx="0">
                  <c:v>Min of Volume (MCM)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Info!$C$53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Info!$C$53</c:f>
              <c:numCache>
                <c:formatCode>#,##0.0</c:formatCode>
                <c:ptCount val="20"/>
                <c:pt idx="0">
                  <c:v>83.250204126426681</c:v>
                </c:pt>
                <c:pt idx="1">
                  <c:v>207.66068767357808</c:v>
                </c:pt>
                <c:pt idx="2">
                  <c:v>317.66186948976053</c:v>
                </c:pt>
                <c:pt idx="3">
                  <c:v>225.5451750237778</c:v>
                </c:pt>
                <c:pt idx="4">
                  <c:v>283.82251197411006</c:v>
                </c:pt>
                <c:pt idx="5">
                  <c:v>283.7524526429342</c:v>
                </c:pt>
                <c:pt idx="6">
                  <c:v>172.14772126944092</c:v>
                </c:pt>
                <c:pt idx="7">
                  <c:v>251.67107412814272</c:v>
                </c:pt>
                <c:pt idx="8">
                  <c:v>237.22176350364961</c:v>
                </c:pt>
                <c:pt idx="9">
                  <c:v>152.01972402809128</c:v>
                </c:pt>
                <c:pt idx="10">
                  <c:v>129.98284438066463</c:v>
                </c:pt>
                <c:pt idx="11">
                  <c:v>87.371398156277436</c:v>
                </c:pt>
                <c:pt idx="12">
                  <c:v>70.377490220048898</c:v>
                </c:pt>
                <c:pt idx="13">
                  <c:v>69.983113691931536</c:v>
                </c:pt>
                <c:pt idx="14">
                  <c:v>284.80334261057175</c:v>
                </c:pt>
                <c:pt idx="15">
                  <c:v>161.19564577376471</c:v>
                </c:pt>
                <c:pt idx="16">
                  <c:v>215.32546796652082</c:v>
                </c:pt>
                <c:pt idx="17">
                  <c:v>264.45871403081912</c:v>
                </c:pt>
                <c:pt idx="18">
                  <c:v>237.0772703974047</c:v>
                </c:pt>
                <c:pt idx="19">
                  <c:v>108.21291333333333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6-4D48-B2BB-4B4B822D1EC7}"/>
            </c:ext>
          </c:extLst>
        </c:ser>
        <c:ser>
          <c:idx val="1"/>
          <c:order val="1"/>
          <c:tx>
            <c:strRef>
              <c:f>Info!$C$53</c:f>
              <c:strCache>
                <c:ptCount val="1"/>
                <c:pt idx="0">
                  <c:v>Average of Volume (MCM)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Info!$C$53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Info!$C$53</c:f>
              <c:numCache>
                <c:formatCode>#,##0.0</c:formatCode>
                <c:ptCount val="20"/>
                <c:pt idx="0">
                  <c:v>88.47577041264266</c:v>
                </c:pt>
                <c:pt idx="1">
                  <c:v>330.05463562418214</c:v>
                </c:pt>
                <c:pt idx="2">
                  <c:v>368.36460744413841</c:v>
                </c:pt>
                <c:pt idx="3">
                  <c:v>309.12854830329155</c:v>
                </c:pt>
                <c:pt idx="4">
                  <c:v>356.59592388784597</c:v>
                </c:pt>
                <c:pt idx="5">
                  <c:v>321.60695369364026</c:v>
                </c:pt>
                <c:pt idx="6">
                  <c:v>221.35107566015478</c:v>
                </c:pt>
                <c:pt idx="7">
                  <c:v>366.77441905736572</c:v>
                </c:pt>
                <c:pt idx="8">
                  <c:v>340.46618409247151</c:v>
                </c:pt>
                <c:pt idx="9">
                  <c:v>227.48247729141193</c:v>
                </c:pt>
                <c:pt idx="10">
                  <c:v>196.89110264742263</c:v>
                </c:pt>
                <c:pt idx="11">
                  <c:v>120.02240185076674</c:v>
                </c:pt>
                <c:pt idx="12">
                  <c:v>81.028276256891957</c:v>
                </c:pt>
                <c:pt idx="13">
                  <c:v>341.9153205821641</c:v>
                </c:pt>
                <c:pt idx="14">
                  <c:v>360.4456237652609</c:v>
                </c:pt>
                <c:pt idx="15">
                  <c:v>269.10858295064503</c:v>
                </c:pt>
                <c:pt idx="16">
                  <c:v>311.86240525964882</c:v>
                </c:pt>
                <c:pt idx="17">
                  <c:v>320.62345834433177</c:v>
                </c:pt>
                <c:pt idx="18">
                  <c:v>318.41232543430823</c:v>
                </c:pt>
                <c:pt idx="19">
                  <c:v>170.13434565786906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6-4D48-B2BB-4B4B822D1EC7}"/>
            </c:ext>
          </c:extLst>
        </c:ser>
        <c:ser>
          <c:idx val="2"/>
          <c:order val="2"/>
          <c:tx>
            <c:strRef>
              <c:f>Info!$C$53</c:f>
              <c:strCache>
                <c:ptCount val="1"/>
                <c:pt idx="0">
                  <c:v>Max of Volume (MCM)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Info!$C$53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Info!$C$53</c:f>
              <c:numCache>
                <c:formatCode>#,##0.0</c:formatCode>
                <c:ptCount val="20"/>
                <c:pt idx="0">
                  <c:v>92.300669446883234</c:v>
                </c:pt>
                <c:pt idx="1">
                  <c:v>419.26778796522109</c:v>
                </c:pt>
                <c:pt idx="2">
                  <c:v>418.74800215247586</c:v>
                </c:pt>
                <c:pt idx="3">
                  <c:v>386.22426129784753</c:v>
                </c:pt>
                <c:pt idx="4">
                  <c:v>402.56038684126815</c:v>
                </c:pt>
                <c:pt idx="5">
                  <c:v>376.42258597179517</c:v>
                </c:pt>
                <c:pt idx="6">
                  <c:v>264.09748126520685</c:v>
                </c:pt>
                <c:pt idx="7">
                  <c:v>420.67863517124374</c:v>
                </c:pt>
                <c:pt idx="8">
                  <c:v>409.1690921747429</c:v>
                </c:pt>
                <c:pt idx="9">
                  <c:v>315.6294483279396</c:v>
                </c:pt>
                <c:pt idx="10">
                  <c:v>291.03862308522116</c:v>
                </c:pt>
                <c:pt idx="11">
                  <c:v>159.06171048407322</c:v>
                </c:pt>
                <c:pt idx="12">
                  <c:v>93.997631694468822</c:v>
                </c:pt>
                <c:pt idx="13">
                  <c:v>434.193066302619</c:v>
                </c:pt>
                <c:pt idx="14">
                  <c:v>430.7030758456155</c:v>
                </c:pt>
                <c:pt idx="15">
                  <c:v>387.85787385218964</c:v>
                </c:pt>
                <c:pt idx="16">
                  <c:v>478.73501387929281</c:v>
                </c:pt>
                <c:pt idx="17">
                  <c:v>424.76266655709895</c:v>
                </c:pt>
                <c:pt idx="18">
                  <c:v>403.52570335065212</c:v>
                </c:pt>
                <c:pt idx="19">
                  <c:v>246.75830851581506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6-4D48-B2BB-4B4B822D1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17200"/>
        <c:axId val="92614800"/>
      </c:lineChart>
      <c:catAx>
        <c:axId val="9261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92614800"/>
        <c:crosses val="autoZero"/>
        <c:auto val="1"/>
        <c:lblAlgn val="ctr"/>
        <c:lblOffset val="100"/>
        <c:noMultiLvlLbl val="0"/>
      </c:catAx>
      <c:valAx>
        <c:axId val="9261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Capacity</a:t>
                </a:r>
                <a:r>
                  <a:rPr lang="en-US" b="1" baseline="0"/>
                  <a:t> (MCM)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9261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8033DC-F5C1-428E-9E2A-D6F4BA0E6F78}">
  <sheetPr/>
  <sheetViews>
    <sheetView workbookViewId="0"/>
  </sheetViews>
  <pageMargins left="0.7" right="0.7" top="0.75" bottom="0.75" header="0.3" footer="0.3"/>
  <pageSetup paperSize="9" orientation="landscape" horizontalDpi="300" verticalDpi="300"/>
  <drawing r:id="rId1"/>
</chartsheet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9</xdr:row>
      <xdr:rowOff>187326</xdr:rowOff>
    </xdr:from>
    <xdr:to>
      <xdr:col>7</xdr:col>
      <xdr:colOff>25399</xdr:colOff>
      <xdr:row>13</xdr:row>
      <xdr:rowOff>144464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5EE8DB7-9E62-92C7-F5F8-036D8E2987D7}"/>
            </a:ext>
          </a:extLst>
        </xdr:cNvPr>
        <xdr:cNvSpPr/>
      </xdr:nvSpPr>
      <xdr:spPr>
        <a:xfrm>
          <a:off x="9936162" y="1609726"/>
          <a:ext cx="4224337" cy="769938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This Excel tool is provided</a:t>
          </a:r>
          <a:r>
            <a:rPr lang="en-US" sz="1100" b="1" baseline="0">
              <a:solidFill>
                <a:sysClr val="windowText" lastClr="000000"/>
              </a:solidFill>
            </a:rPr>
            <a:t> "as is".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It is your responsibility to check your own data</a:t>
          </a:r>
          <a:br>
            <a:rPr lang="en-US" sz="1100" b="1" baseline="0">
              <a:solidFill>
                <a:sysClr val="windowText" lastClr="000000"/>
              </a:solidFill>
            </a:rPr>
          </a:br>
          <a:r>
            <a:rPr lang="en-US" sz="1100" b="1" baseline="0">
              <a:solidFill>
                <a:sysClr val="windowText" lastClr="000000"/>
              </a:solidFill>
            </a:rPr>
            <a:t>&amp; all calculations in this Excel tool.</a:t>
          </a:r>
          <a:endParaRPr lang="en-001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21102</xdr:colOff>
      <xdr:row>3</xdr:row>
      <xdr:rowOff>2218</xdr:rowOff>
    </xdr:from>
    <xdr:to>
      <xdr:col>21</xdr:col>
      <xdr:colOff>481011</xdr:colOff>
      <xdr:row>22</xdr:row>
      <xdr:rowOff>163168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0D02E-AA15-433C-8D64-2388DB1E5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6453</xdr:colOff>
      <xdr:row>24</xdr:row>
      <xdr:rowOff>18195</xdr:rowOff>
    </xdr:from>
    <xdr:to>
      <xdr:col>21</xdr:col>
      <xdr:colOff>501650</xdr:colOff>
      <xdr:row>46</xdr:row>
      <xdr:rowOff>91797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854EF7-2378-463F-9D7B-2B602AEA0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AEB2DD-264B-4924-A770-1A0A79FA25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</xdr:colOff>
      <xdr:row>4</xdr:row>
      <xdr:rowOff>12700</xdr:rowOff>
    </xdr:from>
    <xdr:to>
      <xdr:col>21</xdr:col>
      <xdr:colOff>584200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5623D-6432-3D2B-B15B-D5CB40FB9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</xdr:colOff>
      <xdr:row>35</xdr:row>
      <xdr:rowOff>0</xdr:rowOff>
    </xdr:from>
    <xdr:to>
      <xdr:col>21</xdr:col>
      <xdr:colOff>584200</xdr:colOff>
      <xdr:row>63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872269-0A01-074A-9664-377C8922C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25400</xdr:colOff>
      <xdr:row>66</xdr:row>
      <xdr:rowOff>0</xdr:rowOff>
    </xdr:from>
    <xdr:to>
      <xdr:col>21</xdr:col>
      <xdr:colOff>596900</xdr:colOff>
      <xdr:row>94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A9D019-5FE5-5147-A264-067B485D2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4</xdr:row>
      <xdr:rowOff>0</xdr:rowOff>
    </xdr:from>
    <xdr:to>
      <xdr:col>33</xdr:col>
      <xdr:colOff>571500</xdr:colOff>
      <xdr:row>32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622EFE-F5EF-A34F-8BAC-C2B594CDE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35</xdr:row>
      <xdr:rowOff>0</xdr:rowOff>
    </xdr:from>
    <xdr:to>
      <xdr:col>33</xdr:col>
      <xdr:colOff>571500</xdr:colOff>
      <xdr:row>63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A05152-F49B-7742-9CAE-89518AD13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66</xdr:row>
      <xdr:rowOff>0</xdr:rowOff>
    </xdr:from>
    <xdr:to>
      <xdr:col>33</xdr:col>
      <xdr:colOff>571500</xdr:colOff>
      <xdr:row>94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BB4E62-6B04-884E-91C8-8BD4FF3DE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211929</xdr:colOff>
      <xdr:row>2</xdr:row>
      <xdr:rowOff>9524</xdr:rowOff>
    </xdr:from>
    <xdr:to>
      <xdr:col>12</xdr:col>
      <xdr:colOff>590550</xdr:colOff>
      <xdr:row>21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5BEB1-7472-643C-C926-AC1528888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s de Jong" refreshedDate="45857.938588078701" createdVersion="8" refreshedVersion="8" minRefreshableVersion="3" recordCount="869" xr:uid="{75C9A2BF-5542-46AF-B61E-63DD5C9AE622}">
  <cacheSource type="worksheet">
    <worksheetSource name="tbl_Monitoring"/>
  </cacheSource>
  <cacheFields count="10">
    <cacheField name="No" numFmtId="0">
      <sharedItems containsSemiMixedTypes="0" containsString="0" containsNumber="1" containsInteger="1" minValue="1" maxValue="872"/>
    </cacheField>
    <cacheField name="Date" numFmtId="14">
      <sharedItems containsSemiMixedTypes="0" containsNonDate="0" containsDate="1" containsString="0" minDate="1999-11-06T00:00:00" maxDate="2025-06-28T00:00:00" count="844">
        <d v="2006-09-06T00:00:00"/>
        <d v="2006-09-22T00:00:00"/>
        <d v="2006-10-24T00:00:00"/>
        <d v="2007-04-02T00:00:00"/>
        <d v="2007-04-18T00:00:00"/>
        <d v="2007-05-04T00:00:00"/>
        <d v="2007-07-23T00:00:00"/>
        <d v="2007-08-08T00:00:00"/>
        <d v="2007-09-09T00:00:00"/>
        <d v="2007-09-25T00:00:00"/>
        <d v="2007-10-11T00:00:00"/>
        <d v="2008-01-31T00:00:00"/>
        <d v="2008-03-03T00:00:00"/>
        <d v="2008-03-19T00:00:00"/>
        <d v="2008-04-04T00:00:00"/>
        <d v="2008-04-20T00:00:00"/>
        <d v="2008-05-22T00:00:00"/>
        <d v="2008-06-07T00:00:00"/>
        <d v="2008-07-25T00:00:00"/>
        <d v="2008-08-10T00:00:00"/>
        <d v="2008-08-26T00:00:00"/>
        <d v="2008-09-11T00:00:00"/>
        <d v="2008-09-27T00:00:00"/>
        <d v="2008-10-13T00:00:00"/>
        <d v="2008-10-29T00:00:00"/>
        <d v="2008-11-14T00:00:00"/>
        <d v="2008-11-30T00:00:00"/>
        <d v="2009-03-06T00:00:00"/>
        <d v="2009-04-23T00:00:00"/>
        <d v="2009-05-09T00:00:00"/>
        <d v="2009-05-25T00:00:00"/>
        <d v="2009-06-10T00:00:00"/>
        <d v="2009-06-26T00:00:00"/>
        <d v="2009-09-14T00:00:00"/>
        <d v="2009-09-30T00:00:00"/>
        <d v="2009-10-16T00:00:00"/>
        <d v="2009-11-01T00:00:00"/>
        <d v="2009-11-17T00:00:00"/>
        <d v="2010-03-09T00:00:00"/>
        <d v="2010-03-25T00:00:00"/>
        <d v="2010-05-12T00:00:00"/>
        <d v="2010-05-28T00:00:00"/>
        <d v="2010-06-13T00:00:00"/>
        <d v="2010-06-29T00:00:00"/>
        <d v="2010-10-19T00:00:00"/>
        <d v="2010-11-04T00:00:00"/>
        <d v="2011-04-29T00:00:00"/>
        <d v="2011-05-15T00:00:00"/>
        <d v="2011-07-02T00:00:00"/>
        <d v="2011-07-18T00:00:00"/>
        <d v="2011-08-03T00:00:00"/>
        <d v="2011-09-20T00:00:00"/>
        <d v="2011-10-22T00:00:00"/>
        <d v="2011-11-07T00:00:00"/>
        <d v="2012-03-30T00:00:00"/>
        <d v="2012-04-15T00:00:00"/>
        <d v="2012-05-01T00:00:00"/>
        <d v="2012-05-17T00:00:00"/>
        <d v="2012-06-18T00:00:00"/>
        <d v="2012-07-04T00:00:00"/>
        <d v="2012-07-20T00:00:00"/>
        <d v="2012-08-05T00:00:00"/>
        <d v="2012-09-22T00:00:00"/>
        <d v="2012-10-08T00:00:00"/>
        <d v="2012-10-24T00:00:00"/>
        <d v="2013-03-17T00:00:00"/>
        <d v="2013-04-02T00:00:00"/>
        <d v="2013-04-05T00:00:00"/>
        <d v="2013-04-10T00:00:00"/>
        <d v="2013-04-18T00:00:00"/>
        <d v="2013-05-04T00:00:00"/>
        <d v="2013-05-20T00:00:00"/>
        <d v="2013-05-28T00:00:00"/>
        <d v="2013-07-31T00:00:00"/>
        <d v="2013-08-16T00:00:00"/>
        <d v="2013-09-09T00:00:00"/>
        <d v="2013-09-17T00:00:00"/>
        <d v="2013-10-11T00:00:00"/>
        <d v="2013-10-19T00:00:00"/>
        <d v="2013-10-27T00:00:00"/>
        <d v="2013-11-04T00:00:00"/>
        <d v="2013-11-20T00:00:00"/>
        <d v="2013-11-28T00:00:00"/>
        <d v="2013-12-06T00:00:00"/>
        <d v="2013-12-14T00:00:00"/>
        <d v="2013-12-22T00:00:00"/>
        <d v="2013-12-30T00:00:00"/>
        <d v="2014-01-07T00:00:00"/>
        <d v="2014-01-15T00:00:00"/>
        <d v="2014-01-23T00:00:00"/>
        <d v="2014-01-31T00:00:00"/>
        <d v="2014-02-08T00:00:00"/>
        <d v="2014-02-16T00:00:00"/>
        <d v="2014-02-24T00:00:00"/>
        <d v="2014-03-04T00:00:00"/>
        <d v="2014-03-20T00:00:00"/>
        <d v="2014-03-28T00:00:00"/>
        <d v="2014-04-05T00:00:00"/>
        <d v="2014-04-13T00:00:00"/>
        <d v="2014-04-21T00:00:00"/>
        <d v="2014-05-07T00:00:00"/>
        <d v="2014-05-23T00:00:00"/>
        <d v="2014-05-31T00:00:00"/>
        <d v="2014-06-08T00:00:00"/>
        <d v="2014-06-16T00:00:00"/>
        <d v="2014-06-24T00:00:00"/>
        <d v="2014-07-10T00:00:00"/>
        <d v="2014-07-18T00:00:00"/>
        <d v="2014-08-11T00:00:00"/>
        <d v="2014-08-19T00:00:00"/>
        <d v="2014-08-27T00:00:00"/>
        <d v="2014-09-04T00:00:00"/>
        <d v="2014-09-12T00:00:00"/>
        <d v="2014-09-20T00:00:00"/>
        <d v="2014-10-06T00:00:00"/>
        <d v="2014-10-14T00:00:00"/>
        <d v="2014-10-22T00:00:00"/>
        <d v="2014-10-30T00:00:00"/>
        <d v="2014-11-07T00:00:00"/>
        <d v="2014-11-15T00:00:00"/>
        <d v="2014-11-23T00:00:00"/>
        <d v="2014-12-01T00:00:00"/>
        <d v="2014-12-09T00:00:00"/>
        <d v="2014-12-17T00:00:00"/>
        <d v="2014-12-25T00:00:00"/>
        <d v="2015-01-18T00:00:00"/>
        <d v="2015-01-26T00:00:00"/>
        <d v="2015-02-19T00:00:00"/>
        <d v="2015-02-27T00:00:00"/>
        <d v="2015-03-15T00:00:00"/>
        <d v="2015-03-23T00:00:00"/>
        <d v="2015-03-31T00:00:00"/>
        <d v="2015-04-08T00:00:00"/>
        <d v="2015-04-16T00:00:00"/>
        <d v="2015-05-02T00:00:00"/>
        <d v="2015-05-18T00:00:00"/>
        <d v="2015-05-26T00:00:00"/>
        <d v="2015-06-03T00:00:00"/>
        <d v="2015-06-19T00:00:00"/>
        <d v="2015-06-27T00:00:00"/>
        <d v="2015-07-05T00:00:00"/>
        <d v="2015-07-21T00:00:00"/>
        <d v="2015-08-22T00:00:00"/>
        <d v="2015-08-30T00:00:00"/>
        <d v="2015-09-07T00:00:00"/>
        <d v="2015-09-15T00:00:00"/>
        <d v="2015-09-23T00:00:00"/>
        <d v="2015-10-01T00:00:00"/>
        <d v="2015-10-09T00:00:00"/>
        <d v="2015-10-17T00:00:00"/>
        <d v="2015-10-25T00:00:00"/>
        <d v="2015-11-02T00:00:00"/>
        <d v="2015-11-18T00:00:00"/>
        <d v="2015-11-26T00:00:00"/>
        <d v="2015-12-12T00:00:00"/>
        <d v="2015-12-20T00:00:00"/>
        <d v="2016-01-13T00:00:00"/>
        <d v="2016-01-21T00:00:00"/>
        <d v="2016-02-06T00:00:00"/>
        <d v="2016-02-14T00:00:00"/>
        <d v="2016-02-22T00:00:00"/>
        <d v="2016-03-11T00:00:00"/>
        <d v="2016-03-17T00:00:00"/>
        <d v="2016-03-25T00:00:00"/>
        <d v="2016-04-10T00:00:00"/>
        <d v="2016-04-18T00:00:00"/>
        <d v="2016-04-26T00:00:00"/>
        <d v="2016-05-04T00:00:00"/>
        <d v="2016-05-12T00:00:00"/>
        <d v="2016-05-20T00:00:00"/>
        <d v="2016-05-28T00:00:00"/>
        <d v="2016-06-05T00:00:00"/>
        <d v="2016-06-09T00:00:00"/>
        <d v="2016-06-13T00:00:00"/>
        <d v="2016-06-21T00:00:00"/>
        <d v="2016-07-07T00:00:00"/>
        <d v="2016-07-15T00:00:00"/>
        <d v="2016-07-31T00:00:00"/>
        <d v="2016-08-16T00:00:00"/>
        <d v="2016-08-24T00:00:00"/>
        <d v="2016-08-28T00:00:00"/>
        <d v="2016-09-01T00:00:00"/>
        <d v="2016-09-09T00:00:00"/>
        <d v="2016-09-25T00:00:00"/>
        <d v="2016-10-07T00:00:00"/>
        <d v="2016-10-11T00:00:00"/>
        <d v="2016-10-19T00:00:00"/>
        <d v="2016-10-27T00:00:00"/>
        <d v="2016-11-04T00:00:00"/>
        <d v="2016-11-12T00:00:00"/>
        <d v="2016-11-16T00:00:00"/>
        <d v="2016-11-20T00:00:00"/>
        <d v="2016-11-26T00:00:00"/>
        <d v="2016-11-28T00:00:00"/>
        <d v="2016-12-06T00:00:00"/>
        <d v="2016-12-14T00:00:00"/>
        <d v="2016-12-22T00:00:00"/>
        <d v="2016-12-26T00:00:00"/>
        <d v="2016-12-30T00:00:00"/>
        <d v="2017-01-05T00:00:00"/>
        <d v="2017-01-07T00:00:00"/>
        <d v="2017-01-15T00:00:00"/>
        <d v="2017-01-31T00:00:00"/>
        <d v="2017-02-04T00:00:00"/>
        <d v="2017-02-16T00:00:00"/>
        <d v="2017-02-24T00:00:00"/>
        <d v="2017-03-04T00:00:00"/>
        <d v="2017-03-06T00:00:00"/>
        <d v="2017-03-20T00:00:00"/>
        <d v="2017-03-26T00:00:00"/>
        <d v="2017-03-28T00:00:00"/>
        <d v="2017-04-05T00:00:00"/>
        <d v="2017-04-13T00:00:00"/>
        <d v="2017-04-15T00:00:00"/>
        <d v="2017-04-21T00:00:00"/>
        <d v="2017-04-29T00:00:00"/>
        <d v="2017-05-05T00:00:00"/>
        <d v="2017-05-07T00:00:00"/>
        <d v="2017-05-15T00:00:00"/>
        <d v="2017-05-23T00:00:00"/>
        <d v="2017-05-25T00:00:00"/>
        <d v="2017-05-31T00:00:00"/>
        <d v="2017-06-08T00:00:00"/>
        <d v="2017-06-14T00:00:00"/>
        <d v="2017-06-24T00:00:00"/>
        <d v="2017-07-02T00:00:00"/>
        <d v="2017-07-04T00:00:00"/>
        <d v="2017-07-18T00:00:00"/>
        <d v="2017-07-26T00:00:00"/>
        <d v="2017-08-03T00:00:00"/>
        <d v="2017-08-13T00:00:00"/>
        <d v="2017-08-19T00:00:00"/>
        <d v="2017-08-27T00:00:00"/>
        <d v="2017-08-28T00:00:00"/>
        <d v="2017-09-04T00:00:00"/>
        <d v="2017-09-12T00:00:00"/>
        <d v="2017-09-17T00:00:00"/>
        <d v="2017-09-20T00:00:00"/>
        <d v="2017-09-22T00:00:00"/>
        <d v="2017-09-28T00:00:00"/>
        <d v="2017-10-06T00:00:00"/>
        <d v="2017-10-07T00:00:00"/>
        <d v="2017-10-12T00:00:00"/>
        <d v="2017-10-14T00:00:00"/>
        <d v="2017-10-22T00:00:00"/>
        <d v="2017-10-27T00:00:00"/>
        <d v="2017-10-30T00:00:00"/>
        <d v="2017-11-01T00:00:00"/>
        <d v="2017-11-06T00:00:00"/>
        <d v="2017-11-07T00:00:00"/>
        <d v="2017-11-15T00:00:00"/>
        <d v="2017-11-16T00:00:00"/>
        <d v="2017-11-21T00:00:00"/>
        <d v="2017-11-23T00:00:00"/>
        <d v="2017-11-26T00:00:00"/>
        <d v="2017-12-01T00:00:00"/>
        <d v="2017-12-06T00:00:00"/>
        <d v="2017-12-09T00:00:00"/>
        <d v="2017-12-11T00:00:00"/>
        <d v="2017-12-16T00:00:00"/>
        <d v="2017-12-17T00:00:00"/>
        <d v="2017-12-26T00:00:00"/>
        <d v="2018-01-02T00:00:00"/>
        <d v="2018-01-05T00:00:00"/>
        <d v="2018-01-10T00:00:00"/>
        <d v="2018-01-15T00:00:00"/>
        <d v="2018-01-18T00:00:00"/>
        <d v="2018-01-20T00:00:00"/>
        <d v="2018-01-25T00:00:00"/>
        <d v="2018-01-26T00:00:00"/>
        <d v="2018-02-03T00:00:00"/>
        <d v="2018-02-04T00:00:00"/>
        <d v="2018-02-09T00:00:00"/>
        <d v="2018-02-19T00:00:00"/>
        <d v="2018-02-27T00:00:00"/>
        <d v="2018-03-01T00:00:00"/>
        <d v="2018-03-06T00:00:00"/>
        <d v="2018-03-07T00:00:00"/>
        <d v="2018-03-11T00:00:00"/>
        <d v="2018-03-15T00:00:00"/>
        <d v="2018-03-16T00:00:00"/>
        <d v="2018-03-21T00:00:00"/>
        <d v="2018-03-23T00:00:00"/>
        <d v="2018-03-26T00:00:00"/>
        <d v="2018-03-31T00:00:00"/>
        <d v="2018-04-05T00:00:00"/>
        <d v="2018-04-08T00:00:00"/>
        <d v="2018-04-15T00:00:00"/>
        <d v="2018-04-16T00:00:00"/>
        <d v="2018-04-20T00:00:00"/>
        <d v="2018-04-24T00:00:00"/>
        <d v="2018-04-25T00:00:00"/>
        <d v="2018-04-30T00:00:00"/>
        <d v="2018-05-02T00:00:00"/>
        <d v="2018-05-10T00:00:00"/>
        <d v="2018-05-15T00:00:00"/>
        <d v="2018-06-19T00:00:00"/>
        <d v="2018-06-27T00:00:00"/>
        <d v="2018-07-13T00:00:00"/>
        <d v="2018-07-21T00:00:00"/>
        <d v="2018-07-29T00:00:00"/>
        <d v="2018-08-18T00:00:00"/>
        <d v="2018-08-22T00:00:00"/>
        <d v="2018-09-02T00:00:00"/>
        <d v="2018-09-07T00:00:00"/>
        <d v="2018-09-15T00:00:00"/>
        <d v="2018-09-17T00:00:00"/>
        <d v="2018-09-22T00:00:00"/>
        <d v="2018-09-23T00:00:00"/>
        <d v="2018-09-27T00:00:00"/>
        <d v="2018-10-01T00:00:00"/>
        <d v="2018-10-02T00:00:00"/>
        <d v="2018-10-07T00:00:00"/>
        <d v="2018-10-09T00:00:00"/>
        <d v="2018-10-12T00:00:00"/>
        <d v="2018-10-17T00:00:00"/>
        <d v="2018-10-22T00:00:00"/>
        <d v="2018-10-25T00:00:00"/>
        <d v="2018-10-27T00:00:00"/>
        <d v="2018-11-01T00:00:00"/>
        <d v="2018-11-02T00:00:00"/>
        <d v="2018-11-06T00:00:00"/>
        <d v="2018-11-10T00:00:00"/>
        <d v="2018-11-11T00:00:00"/>
        <d v="2018-11-16T00:00:00"/>
        <d v="2018-11-21T00:00:00"/>
        <d v="2018-11-26T00:00:00"/>
        <d v="2018-12-01T00:00:00"/>
        <d v="2018-12-04T00:00:00"/>
        <d v="2018-12-06T00:00:00"/>
        <d v="2018-12-11T00:00:00"/>
        <d v="2018-12-16T00:00:00"/>
        <d v="2018-12-20T00:00:00"/>
        <d v="2018-12-21T00:00:00"/>
        <d v="2018-12-26T00:00:00"/>
        <d v="2018-12-28T00:00:00"/>
        <d v="2018-12-31T00:00:00"/>
        <d v="2019-01-05T00:00:00"/>
        <d v="2019-01-13T00:00:00"/>
        <d v="2019-01-15T00:00:00"/>
        <d v="2019-01-20T00:00:00"/>
        <d v="2019-01-21T00:00:00"/>
        <d v="2019-01-25T00:00:00"/>
        <d v="2019-01-28T00:00:00"/>
        <d v="2019-02-06T00:00:00"/>
        <d v="2019-02-09T00:00:00"/>
        <d v="2019-02-14T00:00:00"/>
        <d v="2019-02-24T00:00:00"/>
        <d v="2019-03-02T00:00:00"/>
        <d v="2019-03-06T00:00:00"/>
        <d v="2019-03-10T00:00:00"/>
        <d v="2019-03-11T00:00:00"/>
        <d v="2019-03-21T00:00:00"/>
        <d v="2019-03-26T00:00:00"/>
        <d v="2019-03-31T00:00:00"/>
        <d v="2019-04-03T00:00:00"/>
        <d v="2019-04-05T00:00:00"/>
        <d v="2019-04-11T00:00:00"/>
        <d v="2019-04-15T00:00:00"/>
        <d v="2019-04-19T00:00:00"/>
        <d v="2019-04-20T00:00:00"/>
        <d v="2019-04-25T00:00:00"/>
        <d v="2019-04-27T00:00:00"/>
        <d v="2019-04-30T00:00:00"/>
        <d v="2019-05-05T00:00:00"/>
        <d v="2019-05-10T00:00:00"/>
        <d v="2019-05-13T00:00:00"/>
        <d v="2019-05-15T00:00:00"/>
        <d v="2019-05-21T00:00:00"/>
        <d v="2019-05-25T00:00:00"/>
        <d v="2019-05-29T00:00:00"/>
        <d v="2019-05-30T00:00:00"/>
        <d v="2019-06-04T00:00:00"/>
        <d v="2019-06-06T00:00:00"/>
        <d v="2019-06-09T00:00:00"/>
        <d v="2019-06-14T00:00:00"/>
        <d v="2019-06-19T00:00:00"/>
        <d v="2019-06-24T00:00:00"/>
        <d v="2019-06-29T00:00:00"/>
        <d v="2019-06-30T00:00:00"/>
        <d v="2019-07-04T00:00:00"/>
        <d v="2019-07-08T00:00:00"/>
        <d v="2019-07-09T00:00:00"/>
        <d v="2019-07-19T00:00:00"/>
        <d v="2019-08-01T00:00:00"/>
        <d v="2019-08-03T00:00:00"/>
        <d v="2019-08-09T00:00:00"/>
        <d v="2019-08-13T00:00:00"/>
        <d v="2019-08-17T00:00:00"/>
        <d v="2019-08-18T00:00:00"/>
        <d v="2019-08-23T00:00:00"/>
        <d v="2019-08-25T00:00:00"/>
        <d v="2019-08-28T00:00:00"/>
        <d v="2019-09-02T00:00:00"/>
        <d v="2019-09-07T00:00:00"/>
        <d v="2019-09-10T00:00:00"/>
        <d v="2019-09-12T00:00:00"/>
        <d v="2019-09-17T00:00:00"/>
        <d v="2019-09-18T00:00:00"/>
        <d v="2019-09-22T00:00:00"/>
        <d v="2019-09-26T00:00:00"/>
        <d v="2019-09-27T00:00:00"/>
        <d v="2019-10-02T00:00:00"/>
        <d v="2019-10-04T00:00:00"/>
        <d v="2019-10-12T00:00:00"/>
        <d v="2019-10-17T00:00:00"/>
        <d v="2019-10-20T00:00:00"/>
        <d v="2019-10-22T00:00:00"/>
        <d v="2019-10-27T00:00:00"/>
        <d v="2019-10-28T00:00:00"/>
        <d v="2019-11-01T00:00:00"/>
        <d v="2019-11-05T00:00:00"/>
        <d v="2019-11-06T00:00:00"/>
        <d v="2019-11-11T00:00:00"/>
        <d v="2019-11-13T00:00:00"/>
        <d v="2019-11-16T00:00:00"/>
        <d v="2019-11-29T00:00:00"/>
        <d v="2019-12-01T00:00:00"/>
        <d v="2019-12-06T00:00:00"/>
        <d v="2019-12-15T00:00:00"/>
        <d v="2019-12-16T00:00:00"/>
        <d v="2019-12-21T00:00:00"/>
        <d v="2019-12-23T00:00:00"/>
        <d v="2019-12-26T00:00:00"/>
        <d v="2019-12-31T00:00:00"/>
        <d v="2020-01-08T00:00:00"/>
        <d v="2020-01-16T00:00:00"/>
        <d v="2020-01-20T00:00:00"/>
        <d v="2020-01-25T00:00:00"/>
        <d v="2020-01-30T00:00:00"/>
        <d v="2020-02-01T00:00:00"/>
        <d v="2020-02-04T00:00:00"/>
        <d v="2020-02-09T00:00:00"/>
        <d v="2020-02-14T00:00:00"/>
        <d v="2020-02-17T00:00:00"/>
        <d v="2020-02-19T00:00:00"/>
        <d v="2020-02-24T00:00:00"/>
        <d v="2020-02-29T00:00:00"/>
        <d v="2020-03-04T00:00:00"/>
        <d v="2020-03-05T00:00:00"/>
        <d v="2020-03-10T00:00:00"/>
        <d v="2020-03-12T00:00:00"/>
        <d v="2020-03-20T00:00:00"/>
        <d v="2020-03-25T00:00:00"/>
        <d v="2020-03-28T00:00:00"/>
        <d v="2020-03-30T00:00:00"/>
        <d v="2020-04-04T00:00:00"/>
        <d v="2020-04-05T00:00:00"/>
        <d v="2020-04-09T00:00:00"/>
        <d v="2020-04-13T00:00:00"/>
        <d v="2020-04-14T00:00:00"/>
        <d v="2020-04-19T00:00:00"/>
        <d v="2020-04-21T00:00:00"/>
        <d v="2020-04-24T00:00:00"/>
        <d v="2020-04-29T00:00:00"/>
        <d v="2020-05-04T00:00:00"/>
        <d v="2020-05-07T00:00:00"/>
        <d v="2020-05-09T00:00:00"/>
        <d v="2020-05-14T00:00:00"/>
        <d v="2020-05-15T00:00:00"/>
        <d v="2020-05-23T00:00:00"/>
        <d v="2020-05-24T00:00:00"/>
        <d v="2020-05-29T00:00:00"/>
        <d v="2020-05-31T00:00:00"/>
        <d v="2020-06-03T00:00:00"/>
        <d v="2020-06-13T00:00:00"/>
        <d v="2020-06-16T00:00:00"/>
        <d v="2020-06-18T00:00:00"/>
        <d v="2020-06-23T00:00:00"/>
        <d v="2020-06-24T00:00:00"/>
        <d v="2020-06-28T00:00:00"/>
        <d v="2020-07-02T00:00:00"/>
        <d v="2020-07-03T00:00:00"/>
        <d v="2020-07-10T00:00:00"/>
        <d v="2020-07-13T00:00:00"/>
        <d v="2020-07-18T00:00:00"/>
        <d v="2020-07-26T00:00:00"/>
        <d v="2020-07-28T00:00:00"/>
        <d v="2020-08-02T00:00:00"/>
        <d v="2020-08-03T00:00:00"/>
        <d v="2020-08-17T00:00:00"/>
        <d v="2020-08-22T00:00:00"/>
        <d v="2020-09-01T00:00:00"/>
        <d v="2020-09-04T00:00:00"/>
        <d v="2020-09-06T00:00:00"/>
        <d v="2020-09-11T00:00:00"/>
        <d v="2020-09-12T00:00:00"/>
        <d v="2020-09-16T00:00:00"/>
        <d v="2020-09-20T00:00:00"/>
        <d v="2020-09-21T00:00:00"/>
        <d v="2020-09-26T00:00:00"/>
        <d v="2020-09-28T00:00:00"/>
        <d v="2020-10-01T00:00:00"/>
        <d v="2020-10-06T00:00:00"/>
        <d v="2020-10-11T00:00:00"/>
        <d v="2020-10-14T00:00:00"/>
        <d v="2020-10-16T00:00:00"/>
        <d v="2020-10-21T00:00:00"/>
        <d v="2020-10-22T00:00:00"/>
        <d v="2020-10-26T00:00:00"/>
        <d v="2020-10-30T00:00:00"/>
        <d v="2020-10-31T00:00:00"/>
        <d v="2020-11-05T00:00:00"/>
        <d v="2020-11-10T00:00:00"/>
        <d v="2020-11-15T00:00:00"/>
        <d v="2020-11-20T00:00:00"/>
        <d v="2020-11-23T00:00:00"/>
        <d v="2020-11-25T00:00:00"/>
        <d v="2020-11-30T00:00:00"/>
        <d v="2020-12-01T00:00:00"/>
        <d v="2020-12-05T00:00:00"/>
        <d v="2020-12-09T00:00:00"/>
        <d v="2020-12-10T00:00:00"/>
        <d v="2020-12-15T00:00:00"/>
        <d v="2020-12-17T00:00:00"/>
        <d v="2020-12-20T00:00:00"/>
        <d v="2020-12-25T00:00:00"/>
        <d v="2021-01-02T00:00:00"/>
        <d v="2021-01-04T00:00:00"/>
        <d v="2021-01-09T00:00:00"/>
        <d v="2021-01-10T00:00:00"/>
        <d v="2021-01-14T00:00:00"/>
        <d v="2021-01-18T00:00:00"/>
        <d v="2021-01-19T00:00:00"/>
        <d v="2021-01-24T00:00:00"/>
        <d v="2021-01-26T00:00:00"/>
        <d v="2021-01-29T00:00:00"/>
        <d v="2021-02-03T00:00:00"/>
        <d v="2021-02-08T00:00:00"/>
        <d v="2021-02-13T00:00:00"/>
        <d v="2021-02-18T00:00:00"/>
        <d v="2021-02-19T00:00:00"/>
        <d v="2021-02-23T00:00:00"/>
        <d v="2021-02-27T00:00:00"/>
        <d v="2021-02-28T00:00:00"/>
        <d v="2021-03-05T00:00:00"/>
        <d v="2021-03-07T00:00:00"/>
        <d v="2021-03-10T00:00:00"/>
        <d v="2021-03-15T00:00:00"/>
        <d v="2021-03-20T00:00:00"/>
        <d v="2021-03-23T00:00:00"/>
        <d v="2021-03-25T00:00:00"/>
        <d v="2021-03-30T00:00:00"/>
        <d v="2021-03-31T00:00:00"/>
        <d v="2021-04-04T00:00:00"/>
        <d v="2021-04-08T00:00:00"/>
        <d v="2021-04-09T00:00:00"/>
        <d v="2021-04-14T00:00:00"/>
        <d v="2021-04-16T00:00:00"/>
        <d v="2021-04-24T00:00:00"/>
        <d v="2021-04-29T00:00:00"/>
        <d v="2021-05-04T00:00:00"/>
        <d v="2021-05-09T00:00:00"/>
        <d v="2021-05-10T00:00:00"/>
        <d v="2021-05-14T00:00:00"/>
        <d v="2021-05-18T00:00:00"/>
        <d v="2021-05-19T00:00:00"/>
        <d v="2021-05-24T00:00:00"/>
        <d v="2021-05-26T00:00:00"/>
        <d v="2021-05-29T00:00:00"/>
        <d v="2021-06-03T00:00:00"/>
        <d v="2021-06-18T00:00:00"/>
        <d v="2021-06-19T00:00:00"/>
        <d v="2021-06-23T00:00:00"/>
        <d v="2021-06-28T00:00:00"/>
        <d v="2021-07-03T00:00:00"/>
        <d v="2021-07-08T00:00:00"/>
        <d v="2021-07-13T00:00:00"/>
        <d v="2021-07-21T00:00:00"/>
        <d v="2021-07-23T00:00:00"/>
        <d v="2021-07-29T00:00:00"/>
        <d v="2021-08-02T00:00:00"/>
        <d v="2021-08-06T00:00:00"/>
        <d v="2021-08-07T00:00:00"/>
        <d v="2021-08-12T00:00:00"/>
        <d v="2021-08-17T00:00:00"/>
        <d v="2021-08-22T00:00:00"/>
        <d v="2021-08-27T00:00:00"/>
        <d v="2021-08-30T00:00:00"/>
        <d v="2021-09-01T00:00:00"/>
        <d v="2021-09-06T00:00:00"/>
        <d v="2021-09-07T00:00:00"/>
        <d v="2021-09-11T00:00:00"/>
        <d v="2021-09-15T00:00:00"/>
        <d v="2021-09-16T00:00:00"/>
        <d v="2021-09-21T00:00:00"/>
        <d v="2021-09-26T00:00:00"/>
        <d v="2021-10-06T00:00:00"/>
        <d v="2021-10-09T00:00:00"/>
        <d v="2021-10-11T00:00:00"/>
        <d v="2021-10-16T00:00:00"/>
        <d v="2021-10-17T00:00:00"/>
        <d v="2021-10-25T00:00:00"/>
        <d v="2021-10-26T00:00:00"/>
        <d v="2021-10-31T00:00:00"/>
        <d v="2021-11-02T00:00:00"/>
        <d v="2021-11-05T00:00:00"/>
        <d v="2021-11-10T00:00:00"/>
        <d v="2021-11-15T00:00:00"/>
        <d v="2021-11-18T00:00:00"/>
        <d v="2021-11-20T00:00:00"/>
        <d v="2021-11-25T00:00:00"/>
        <d v="2021-11-26T00:00:00"/>
        <d v="2021-11-30T00:00:00"/>
        <d v="2021-12-04T00:00:00"/>
        <d v="2021-12-05T00:00:00"/>
        <d v="2021-12-10T00:00:00"/>
        <d v="2021-12-12T00:00:00"/>
        <d v="2021-12-20T00:00:00"/>
        <d v="2021-12-25T00:00:00"/>
        <d v="2021-12-28T00:00:00"/>
        <d v="2022-01-09T00:00:00"/>
        <d v="2022-01-14T00:00:00"/>
        <d v="2022-01-24T00:00:00"/>
        <d v="2022-02-28T00:00:00"/>
        <d v="2022-03-10T00:00:00"/>
        <d v="2022-03-15T00:00:00"/>
        <d v="2022-04-04T00:00:00"/>
        <d v="2022-04-09T00:00:00"/>
        <d v="2022-04-14T00:00:00"/>
        <d v="2022-04-19T00:00:00"/>
        <d v="2022-04-24T00:00:00"/>
        <d v="2022-04-29T00:00:00"/>
        <d v="2022-05-04T00:00:00"/>
        <d v="2022-05-09T00:00:00"/>
        <d v="2022-05-14T00:00:00"/>
        <d v="2022-05-19T00:00:00"/>
        <d v="2022-05-24T00:00:00"/>
        <d v="2022-05-29T00:00:00"/>
        <d v="2022-06-03T00:00:00"/>
        <d v="2022-06-08T00:00:00"/>
        <d v="2022-06-13T00:00:00"/>
        <d v="2022-06-18T00:00:00"/>
        <d v="2022-06-23T00:00:00"/>
        <d v="2022-06-28T00:00:00"/>
        <d v="2022-07-03T00:00:00"/>
        <d v="2022-07-13T00:00:00"/>
        <d v="2022-07-18T00:00:00"/>
        <d v="2022-08-07T00:00:00"/>
        <d v="2022-08-17T00:00:00"/>
        <d v="2022-08-22T00:00:00"/>
        <d v="2022-08-27T00:00:00"/>
        <d v="2022-09-01T00:00:00"/>
        <d v="2022-09-06T00:00:00"/>
        <d v="2022-09-11T00:00:00"/>
        <d v="2022-09-16T00:00:00"/>
        <d v="2022-09-21T00:00:00"/>
        <d v="2022-09-26T00:00:00"/>
        <d v="2022-10-01T00:00:00"/>
        <d v="2022-10-06T00:00:00"/>
        <d v="2022-10-11T00:00:00"/>
        <d v="2022-10-16T00:00:00"/>
        <d v="2022-10-21T00:00:00"/>
        <d v="2022-10-26T00:00:00"/>
        <d v="2022-10-31T00:00:00"/>
        <d v="2022-11-05T00:00:00"/>
        <d v="2022-11-10T00:00:00"/>
        <d v="2022-11-15T00:00:00"/>
        <d v="2022-11-20T00:00:00"/>
        <d v="2022-11-25T00:00:00"/>
        <d v="2022-11-30T00:00:00"/>
        <d v="2022-12-05T00:00:00"/>
        <d v="2022-12-10T00:00:00"/>
        <d v="2022-12-15T00:00:00"/>
        <d v="2022-12-20T00:00:00"/>
        <d v="2022-12-25T00:00:00"/>
        <d v="2022-12-30T00:00:00"/>
        <d v="2023-01-04T00:00:00"/>
        <d v="2023-01-09T00:00:00"/>
        <d v="2023-01-14T00:00:00"/>
        <d v="2023-01-19T00:00:00"/>
        <d v="2023-01-24T00:00:00"/>
        <d v="2023-01-29T00:00:00"/>
        <d v="2023-02-03T00:00:00"/>
        <d v="2023-02-08T00:00:00"/>
        <d v="2023-02-13T00:00:00"/>
        <d v="2023-02-18T00:00:00"/>
        <d v="2023-02-23T00:00:00"/>
        <d v="2023-02-28T00:00:00"/>
        <d v="2023-03-05T00:00:00"/>
        <d v="2023-03-10T00:00:00"/>
        <d v="2023-03-15T00:00:00"/>
        <d v="2023-03-20T00:00:00"/>
        <d v="2023-03-25T00:00:00"/>
        <d v="2023-03-30T00:00:00"/>
        <d v="2023-04-04T00:00:00"/>
        <d v="2023-04-09T00:00:00"/>
        <d v="2023-04-14T00:00:00"/>
        <d v="2023-04-19T00:00:00"/>
        <d v="2023-04-24T00:00:00"/>
        <d v="2023-05-04T00:00:00"/>
        <d v="2023-05-09T00:00:00"/>
        <d v="2023-05-14T00:00:00"/>
        <d v="2023-05-24T00:00:00"/>
        <d v="2023-06-03T00:00:00"/>
        <d v="2023-06-08T00:00:00"/>
        <d v="2023-06-13T00:00:00"/>
        <d v="2023-06-18T00:00:00"/>
        <d v="2023-06-23T00:00:00"/>
        <d v="2023-06-28T00:00:00"/>
        <d v="2023-07-03T00:00:00"/>
        <d v="2023-07-08T00:00:00"/>
        <d v="2023-07-13T00:00:00"/>
        <d v="2023-07-18T00:00:00"/>
        <d v="2023-08-12T00:00:00"/>
        <d v="2023-08-17T00:00:00"/>
        <d v="2023-08-22T00:00:00"/>
        <d v="2023-08-27T00:00:00"/>
        <d v="2023-09-06T00:00:00"/>
        <d v="2023-09-11T00:00:00"/>
        <d v="2023-09-16T00:00:00"/>
        <d v="2023-09-21T00:00:00"/>
        <d v="2023-09-26T00:00:00"/>
        <d v="2023-10-01T00:00:00"/>
        <d v="2023-10-06T00:00:00"/>
        <d v="2023-10-11T00:00:00"/>
        <d v="2023-10-16T00:00:00"/>
        <d v="2023-10-21T00:00:00"/>
        <d v="2023-10-26T00:00:00"/>
        <d v="2023-10-31T00:00:00"/>
        <d v="2023-11-05T00:00:00"/>
        <d v="2023-11-10T00:00:00"/>
        <d v="2023-11-15T00:00:00"/>
        <d v="2023-11-20T00:00:00"/>
        <d v="2023-11-30T00:00:00"/>
        <d v="2023-12-10T00:00:00"/>
        <d v="2023-12-15T00:00:00"/>
        <d v="2023-12-20T00:00:00"/>
        <d v="2023-12-25T00:00:00"/>
        <d v="2023-12-30T00:00:00"/>
        <d v="2024-01-04T00:00:00"/>
        <d v="2024-01-09T00:00:00"/>
        <d v="2024-01-14T00:00:00"/>
        <d v="2024-01-19T00:00:00"/>
        <d v="2024-01-24T00:00:00"/>
        <d v="2024-01-29T00:00:00"/>
        <d v="2024-02-03T00:00:00"/>
        <d v="2024-02-08T00:00:00"/>
        <d v="2024-02-13T00:00:00"/>
        <d v="2024-02-18T00:00:00"/>
        <d v="2024-02-23T00:00:00"/>
        <d v="2024-03-04T00:00:00"/>
        <d v="2024-03-09T00:00:00"/>
        <d v="2024-03-14T00:00:00"/>
        <d v="2024-03-19T00:00:00"/>
        <d v="2024-03-24T00:00:00"/>
        <d v="2024-03-29T00:00:00"/>
        <d v="2024-04-03T00:00:00"/>
        <d v="2024-04-08T00:00:00"/>
        <d v="2024-04-18T00:00:00"/>
        <d v="2024-04-23T00:00:00"/>
        <d v="2024-04-28T00:00:00"/>
        <d v="2024-05-03T00:00:00"/>
        <d v="2024-05-08T00:00:00"/>
        <d v="2024-05-13T00:00:00"/>
        <d v="2024-05-18T00:00:00"/>
        <d v="2024-05-23T00:00:00"/>
        <d v="2024-05-28T00:00:00"/>
        <d v="2024-06-07T00:00:00"/>
        <d v="2024-06-11T00:00:00"/>
        <d v="2024-06-12T00:00:00"/>
        <d v="2024-06-17T00:00:00"/>
        <d v="2024-06-22T00:00:00"/>
        <d v="2024-06-27T00:00:00"/>
        <d v="2024-07-02T00:00:00"/>
        <d v="2024-07-07T00:00:00"/>
        <d v="2024-07-12T00:00:00"/>
        <d v="2024-07-13T00:00:00"/>
        <d v="2024-07-17T00:00:00"/>
        <d v="2024-07-22T00:00:00"/>
        <d v="2024-07-27T00:00:00"/>
        <d v="2024-07-29T00:00:00"/>
        <d v="2024-08-01T00:00:00"/>
        <d v="2024-08-26T00:00:00"/>
        <d v="2024-08-31T00:00:00"/>
        <d v="2024-09-05T00:00:00"/>
        <d v="2024-09-10T00:00:00"/>
        <d v="2024-09-15T00:00:00"/>
        <d v="2024-09-20T00:00:00"/>
        <d v="2024-09-25T00:00:00"/>
        <d v="2024-09-30T00:00:00"/>
        <d v="2024-10-01T00:00:00"/>
        <d v="2024-10-05T00:00:00"/>
        <d v="2024-10-10T00:00:00"/>
        <d v="2024-10-17T00:00:00"/>
        <d v="2024-10-20T00:00:00"/>
        <d v="2024-10-25T00:00:00"/>
        <d v="2024-10-30T00:00:00"/>
        <d v="2024-11-02T00:00:00"/>
        <d v="2024-11-04T00:00:00"/>
        <d v="2024-11-14T00:00:00"/>
        <d v="2024-11-18T00:00:00"/>
        <d v="2024-11-19T00:00:00"/>
        <d v="2024-11-24T00:00:00"/>
        <d v="2024-11-29T00:00:00"/>
        <d v="2024-12-04T00:00:00"/>
        <d v="2024-12-09T00:00:00"/>
        <d v="2024-12-14T00:00:00"/>
        <d v="2024-12-19T00:00:00"/>
        <d v="2024-12-24T00:00:00"/>
        <d v="2024-12-29T00:00:00"/>
        <d v="2025-01-03T00:00:00"/>
        <d v="2025-01-05T00:00:00"/>
        <d v="2025-01-08T00:00:00"/>
        <d v="2025-01-13T00:00:00"/>
        <d v="2025-01-21T00:00:00"/>
        <d v="2025-01-23T00:00:00"/>
        <d v="2025-02-02T00:00:00"/>
        <d v="2025-02-06T00:00:00"/>
        <d v="2025-02-07T00:00:00"/>
        <d v="2025-02-12T00:00:00"/>
        <d v="2025-02-22T00:00:00"/>
        <d v="2025-03-04T00:00:00"/>
        <d v="2025-03-09T00:00:00"/>
        <d v="2025-03-14T00:00:00"/>
        <d v="2025-03-19T00:00:00"/>
        <d v="2025-03-24T00:00:00"/>
        <d v="2025-03-26T00:00:00"/>
        <d v="2025-03-29T00:00:00"/>
        <d v="2025-04-03T00:00:00"/>
        <d v="2025-04-11T00:00:00"/>
        <d v="2025-04-13T00:00:00"/>
        <d v="2025-04-15T00:00:00"/>
        <d v="2025-04-23T00:00:00"/>
        <d v="2025-04-28T00:00:00"/>
        <d v="2025-05-03T00:00:00"/>
        <d v="2025-05-05T00:00:00"/>
        <d v="2025-05-08T00:00:00"/>
        <d v="2025-05-13T00:00:00"/>
        <d v="2025-05-18T00:00:00"/>
        <d v="2025-05-23T00:00:00"/>
        <d v="2025-05-25T00:00:00"/>
        <d v="2025-05-28T00:00:00"/>
        <d v="2025-06-02T00:00:00"/>
        <d v="2025-06-05T00:00:00"/>
        <d v="2025-06-07T00:00:00"/>
        <d v="2025-06-12T00:00:00"/>
        <d v="2025-06-14T00:00:00"/>
        <d v="2025-06-17T00:00:00"/>
        <d v="2025-06-27T00:00:00"/>
        <d v="2024-10-15T00:00:00" u="1"/>
        <d v="2025-04-08T00:00:00" u="1"/>
        <d v="2025-06-22T00:00:00" u="1"/>
        <d v="1999-11-06T00:00:00" u="1"/>
      </sharedItems>
      <fieldGroup par="9"/>
    </cacheField>
    <cacheField name="Area (km2)" numFmtId="0">
      <sharedItems containsSemiMixedTypes="0" containsString="0" containsNumber="1" minValue="12.92" maxValue="68.5"/>
    </cacheField>
    <cacheField name="Volume (MCM)" numFmtId="166">
      <sharedItems containsSemiMixedTypes="0" containsString="0" containsNumber="1" minValue="69.983113691931536" maxValue="478.73501387929281"/>
    </cacheField>
    <cacheField name="Elevation (SRTM30-m)" numFmtId="4">
      <sharedItems containsSemiMixedTypes="0" containsString="0" containsNumber="1" minValue="65.132301005161636" maxValue="76.617873512610359"/>
    </cacheField>
    <cacheField name="Area (Acre)" numFmtId="3">
      <sharedItems containsSemiMixedTypes="0" containsString="0" containsNumber="1" minValue="3192.601528555776" maxValue="16926.718630500825"/>
    </cacheField>
    <cacheField name="Volume (Acre-ft)" numFmtId="3">
      <sharedItems containsSemiMixedTypes="0" containsString="0" containsNumber="1" minValue="56736.233612549295" maxValue="388116.79208114592"/>
    </cacheField>
    <cacheField name="Elevation (SRTM30-ft)" numFmtId="164">
      <sharedItems containsSemiMixedTypes="0" containsString="0" containsNumber="1" minValue="213.6886515908829" maxValue="251.37097609023587"/>
    </cacheField>
    <cacheField name="Months (Date)" numFmtId="0" databaseField="0">
      <fieldGroup base="1">
        <rangePr groupBy="months" startDate="2006-09-06T00:00:00" endDate="2025-06-28T00:00:00"/>
        <groupItems count="14">
          <s v="&lt;06/09/200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/06/2025"/>
        </groupItems>
      </fieldGroup>
    </cacheField>
    <cacheField name="Years (Date)" numFmtId="0" databaseField="0">
      <fieldGroup base="1">
        <rangePr groupBy="years" startDate="2006-09-06T00:00:00" endDate="2025-06-28T00:00:00"/>
        <groupItems count="22">
          <s v="&lt;06/09/2006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28/06/2025"/>
        </groupItems>
      </fieldGroup>
    </cacheField>
  </cacheFields>
  <extLst>
    <ext xmlns:x14="http://schemas.microsoft.com/office/spreadsheetml/2009/9/main" uri="{725AE2AE-9491-48be-B2B4-4EB974FC3084}">
      <x14:pivotCacheDefinition pivotCacheId="10567144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9">
  <r>
    <n v="1"/>
    <x v="0"/>
    <n v="15.42"/>
    <n v="89.876437664618081"/>
    <n v="66.440444834650279"/>
    <n v="3810.3649822236894"/>
    <n v="72864.01382554369"/>
    <n v="217.98046205506733"/>
  </r>
  <r>
    <n v="2"/>
    <x v="1"/>
    <n v="14.6"/>
    <n v="83.250204126426681"/>
    <n v="66.040483855233632"/>
    <n v="3607.7385694206137"/>
    <n v="67492.038870998629"/>
    <n v="216.66825411735391"/>
  </r>
  <r>
    <n v="3"/>
    <x v="2"/>
    <n v="15.72"/>
    <n v="92.300669446883234"/>
    <n v="66.586772022241732"/>
    <n v="3884.4965966638392"/>
    <n v="74829.37051623092"/>
    <n v="218.4605381298405"/>
  </r>
  <r>
    <n v="4"/>
    <x v="3"/>
    <n v="32.56"/>
    <n v="215.47146378162452"/>
    <n v="71.58203876313064"/>
    <n v="8045.7512205709036"/>
    <n v="174685.55857299111"/>
    <n v="234.84920853951547"/>
  </r>
  <r>
    <n v="5"/>
    <x v="4"/>
    <n v="31.8"/>
    <n v="209.92362280768501"/>
    <n v="71.421406378796519"/>
    <n v="7857.9511306558579"/>
    <n v="170187.85069836999"/>
    <n v="234.32219940456312"/>
  </r>
  <r>
    <n v="6"/>
    <x v="5"/>
    <n v="31.49"/>
    <n v="207.66068767357808"/>
    <n v="71.355885274660238"/>
    <n v="7781.3484624010362"/>
    <n v="168353.25932845875"/>
    <n v="234.10723515214835"/>
  </r>
  <r>
    <n v="7"/>
    <x v="6"/>
    <n v="61"/>
    <n v="419.26778796522109"/>
    <n v="75.761189457934236"/>
    <n v="15073.428269497086"/>
    <n v="339905.92743452173"/>
    <n v="248.56033286624407"/>
  </r>
  <r>
    <n v="8"/>
    <x v="7"/>
    <n v="59.72"/>
    <n v="409.76313310359455"/>
    <n v="75.610386550265673"/>
    <n v="14757.133381219113"/>
    <n v="332200.37833578157"/>
    <n v="248.06557267048305"/>
  </r>
  <r>
    <n v="9"/>
    <x v="8"/>
    <n v="58.55"/>
    <n v="401.07528451913902"/>
    <n v="75.472543267474876"/>
    <n v="14468.02008490253"/>
    <n v="325157.02486271434"/>
    <n v="247.61333092904525"/>
  </r>
  <r>
    <n v="10"/>
    <x v="9"/>
    <n v="57.62"/>
    <n v="394.16955872123845"/>
    <n v="75.362975529871932"/>
    <n v="14238.212080138066"/>
    <n v="319558.46184566087"/>
    <n v="247.25385672431261"/>
  </r>
  <r>
    <n v="11"/>
    <x v="10"/>
    <n v="56.13"/>
    <n v="383.10554642137635"/>
    <n v="75.187431520163997"/>
    <n v="13870.025061751991"/>
    <n v="310588.72109790868"/>
    <n v="246.67792493393455"/>
  </r>
  <r>
    <n v="12"/>
    <x v="11"/>
    <n v="60.93"/>
    <n v="418.74800215247586"/>
    <n v="75.752942423921112"/>
    <n v="15056.130892794385"/>
    <n v="339484.5302181844"/>
    <n v="248.53327566803841"/>
  </r>
  <r>
    <n v="13"/>
    <x v="12"/>
    <n v="59.01"/>
    <n v="404.49101986003603"/>
    <n v="75.526738062418261"/>
    <n v="14581.688560377426"/>
    <n v="327926.20657007408"/>
    <n v="247.79113537439684"/>
  </r>
  <r>
    <n v="14"/>
    <x v="13"/>
    <n v="58.94"/>
    <n v="403.97123404729086"/>
    <n v="75.518491028405137"/>
    <n v="14564.391183674725"/>
    <n v="327504.80935373675"/>
    <n v="247.76407817619116"/>
  </r>
  <r>
    <n v="15"/>
    <x v="14"/>
    <n v="58.78"/>
    <n v="402.78315218958755"/>
    <n v="75.499640664946568"/>
    <n v="14524.85432263998"/>
    <n v="326541.61571639421"/>
    <n v="247.70223315172103"/>
  </r>
  <r>
    <n v="16"/>
    <x v="15"/>
    <n v="57.1"/>
    <n v="390.30829268370269"/>
    <n v="75.301711848631584"/>
    <n v="14109.71728177514"/>
    <n v="316428.0825242977"/>
    <n v="247.05286039478472"/>
  </r>
  <r>
    <n v="17"/>
    <x v="16"/>
    <n v="53.81"/>
    <n v="366.18033298623169"/>
    <n v="74.906269685165896"/>
    <n v="13296.740576748169"/>
    <n v="296867.22725832637"/>
    <n v="245.75547796872138"/>
  </r>
  <r>
    <n v="18"/>
    <x v="17"/>
    <n v="52.9"/>
    <n v="359.80001480967258"/>
    <n v="74.789283556378322"/>
    <n v="13071.874679613045"/>
    <n v="291694.61913201225"/>
    <n v="245.37166521023349"/>
  </r>
  <r>
    <n v="19"/>
    <x v="18"/>
    <n v="49.63"/>
    <n v="336.8729374059933"/>
    <n v="74.368904829855893"/>
    <n v="12263.840082215416"/>
    <n v="273107.33498580661"/>
    <n v="243.99246991324941"/>
  </r>
  <r>
    <n v="20"/>
    <x v="19"/>
    <n v="58.01"/>
    <n v="397.06550824939029"/>
    <n v="75.408923290802207"/>
    <n v="14334.583178910261"/>
    <n v="321906.24633668328"/>
    <n v="247.40460397145858"/>
  </r>
  <r>
    <n v="21"/>
    <x v="20"/>
    <n v="55.32"/>
    <n v="377.09088201675331"/>
    <n v="75.09200155515498"/>
    <n v="13669.869702763586"/>
    <n v="305712.55330886215"/>
    <n v="246.36483449755451"/>
  </r>
  <r>
    <n v="22"/>
    <x v="21"/>
    <n v="54.47"/>
    <n v="370.80781649890088"/>
    <n v="74.991116767583279"/>
    <n v="13459.830128516494"/>
    <n v="300618.78919609264"/>
    <n v="246.03384766169069"/>
  </r>
  <r>
    <n v="23"/>
    <x v="22"/>
    <n v="49.75"/>
    <n v="337.71429804466044"/>
    <n v="74.384331572113595"/>
    <n v="12293.492727991475"/>
    <n v="273789.43715630955"/>
    <n v="244.04308258469837"/>
  </r>
  <r>
    <n v="24"/>
    <x v="23"/>
    <n v="51.23"/>
    <n v="348.09107925488837"/>
    <n v="74.574594726625278"/>
    <n v="12659.208692562879"/>
    <n v="282202.03059251269"/>
    <n v="244.66730553256883"/>
  </r>
  <r>
    <n v="25"/>
    <x v="24"/>
    <n v="49.75"/>
    <n v="337.71429804466044"/>
    <n v="74.384331572113595"/>
    <n v="12293.492727991475"/>
    <n v="273789.43715630955"/>
    <n v="244.04308258469837"/>
  </r>
  <r>
    <n v="26"/>
    <x v="25"/>
    <n v="47.87"/>
    <n v="324.53298137220872"/>
    <n v="74.142645943409562"/>
    <n v="11828.934610833205"/>
    <n v="263103.1698184298"/>
    <n v="243.25015073199802"/>
  </r>
  <r>
    <n v="27"/>
    <x v="26"/>
    <n v="46.89"/>
    <n v="317.66186948976053"/>
    <n v="74.016660881638316"/>
    <n v="11586.771336995382"/>
    <n v="257532.66875932235"/>
    <n v="242.83681391516487"/>
  </r>
  <r>
    <n v="28"/>
    <x v="27"/>
    <n v="54.84"/>
    <n v="373.52663644364338"/>
    <n v="75.035450464779274"/>
    <n v="13551.259119659348"/>
    <n v="302822.97239683458"/>
    <n v="246.17929942414415"/>
  </r>
  <r>
    <n v="29"/>
    <x v="28"/>
    <n v="56.55"/>
    <n v="386.22426129784753"/>
    <n v="75.23691372424274"/>
    <n v="13973.8093219682"/>
    <n v="313117.10439593275"/>
    <n v="246.84026812316861"/>
  </r>
  <r>
    <n v="30"/>
    <x v="29"/>
    <n v="56.51"/>
    <n v="385.92724083342171"/>
    <n v="75.232201133378098"/>
    <n v="13963.925106709514"/>
    <n v="312876.30598659714"/>
    <n v="246.82480686705108"/>
  </r>
  <r>
    <n v="31"/>
    <x v="30"/>
    <n v="54.1"/>
    <n v="368.21362119634387"/>
    <n v="74.943550978955358"/>
    <n v="13368.401137373645"/>
    <n v="298515.64083704184"/>
    <n v="245.87779192472306"/>
  </r>
  <r>
    <n v="32"/>
    <x v="31"/>
    <n v="52.22"/>
    <n v="355.03230452389221"/>
    <n v="74.701865350251325"/>
    <n v="12903.843020215372"/>
    <n v="287829.37349916215"/>
    <n v="245.08486007202271"/>
  </r>
  <r>
    <n v="33"/>
    <x v="32"/>
    <n v="49.16"/>
    <n v="333.57760823788038"/>
    <n v="74.308483422679885"/>
    <n v="12147.700552925846"/>
    <n v="270435.76815133664"/>
    <n v="243.79423695007432"/>
  </r>
  <r>
    <n v="34"/>
    <x v="33"/>
    <n v="36.68"/>
    <n v="245.38562400648823"/>
    <n v="72.386140398305855"/>
    <n v="9063.8253922156237"/>
    <n v="198937.36294843396"/>
    <n v="237.48733726383304"/>
  </r>
  <r>
    <n v="35"/>
    <x v="34"/>
    <n v="36.64"/>
    <n v="245.09663779399838"/>
    <n v="72.378931242678206"/>
    <n v="9053.9411769569379"/>
    <n v="198703.07801314504"/>
    <n v="237.46368517844058"/>
  </r>
  <r>
    <n v="36"/>
    <x v="35"/>
    <n v="36.67"/>
    <n v="245.31337745336577"/>
    <n v="72.384338109398939"/>
    <n v="9061.3543384009536"/>
    <n v="198878.79171461173"/>
    <n v="237.48142424248493"/>
  </r>
  <r>
    <n v="37"/>
    <x v="36"/>
    <n v="35.46"/>
    <n v="236.57154452554744"/>
    <n v="72.16626115166261"/>
    <n v="8762.356826825684"/>
    <n v="191791.67242212218"/>
    <n v="236.76594865936335"/>
  </r>
  <r>
    <n v="38"/>
    <x v="37"/>
    <n v="33.94"/>
    <n v="225.5451750237778"/>
    <n v="71.873713355737323"/>
    <n v="8386.7566469955909"/>
    <n v="182852.44918743469"/>
    <n v="235.80614617929734"/>
  </r>
  <r>
    <n v="39"/>
    <x v="38"/>
    <n v="58.75"/>
    <n v="402.56038684126815"/>
    <n v="75.496106221798087"/>
    <n v="14517.441161195964"/>
    <n v="326361.01690939249"/>
    <n v="247.69063720963288"/>
  </r>
  <r>
    <n v="40"/>
    <x v="39"/>
    <n v="57.31"/>
    <n v="391.86765012193831"/>
    <n v="75.326452950670955"/>
    <n v="14161.609411883246"/>
    <n v="317692.27417330979"/>
    <n v="247.13403198940176"/>
  </r>
  <r>
    <n v="41"/>
    <x v="40"/>
    <n v="54.29"/>
    <n v="369.54577554090019"/>
    <n v="74.967976654196718"/>
    <n v="13415.351159852406"/>
    <n v="299595.63594033819"/>
    <n v="245.95792865451722"/>
  </r>
  <r>
    <n v="42"/>
    <x v="41"/>
    <n v="52.69"/>
    <n v="358.32763369200512"/>
    <n v="74.762286757427333"/>
    <n v="13019.982549504941"/>
    <n v="290500.94033363205"/>
    <n v="245.28309303519779"/>
  </r>
  <r>
    <n v="43"/>
    <x v="42"/>
    <n v="55.99"/>
    <n v="382.06597479588595"/>
    <n v="75.17093745213775"/>
    <n v="13835.430308346587"/>
    <n v="309745.92666523397"/>
    <n v="246.62381053752318"/>
  </r>
  <r>
    <n v="44"/>
    <x v="43"/>
    <n v="55.37"/>
    <n v="377.46215759728557"/>
    <n v="75.097892293735782"/>
    <n v="13682.224971836944"/>
    <n v="306013.55132053164"/>
    <n v="246.38416106770143"/>
  </r>
  <r>
    <n v="45"/>
    <x v="44"/>
    <n v="42.53"/>
    <n v="287.11530053937435"/>
    <n v="73.366175236725397"/>
    <n v="10509.391873798542"/>
    <n v="232768.16228623057"/>
    <n v="240.70267466020977"/>
  </r>
  <r>
    <n v="46"/>
    <x v="45"/>
    <n v="42.06"/>
    <n v="283.82251197411006"/>
    <n v="73.295756921970508"/>
    <n v="10393.252344508974"/>
    <n v="230098.65515201021"/>
    <n v="240.47164344382327"/>
  </r>
  <r>
    <n v="47"/>
    <x v="46"/>
    <n v="54.51"/>
    <n v="371.08827004512324"/>
    <n v="74.996259015002508"/>
    <n v="13469.714343775182"/>
    <n v="300846.1565862603"/>
    <n v="246.05071855217363"/>
  </r>
  <r>
    <n v="48"/>
    <x v="47"/>
    <n v="55.23"/>
    <n v="376.42258597179517"/>
    <n v="75.081398225709535"/>
    <n v="13647.630218431541"/>
    <n v="305170.75688785693"/>
    <n v="246.33004667129006"/>
  </r>
  <r>
    <n v="49"/>
    <x v="48"/>
    <n v="48.72"/>
    <n v="330.49261922943424"/>
    <n v="74.251918701068305"/>
    <n v="12038.974185080295"/>
    <n v="267934.72685949242"/>
    <n v="243.60865715476149"/>
  </r>
  <r>
    <n v="50"/>
    <x v="49"/>
    <n v="46.22"/>
    <n v="312.96719374325784"/>
    <n v="73.919033920652041"/>
    <n v="11421.210731412382"/>
    <n v="253726.63319106703"/>
    <n v="242.51651548673348"/>
  </r>
  <r>
    <n v="51"/>
    <x v="50"/>
    <n v="42.34"/>
    <n v="285.78417324703349"/>
    <n v="73.337708258420236"/>
    <n v="10462.441851319782"/>
    <n v="231688.99982771598"/>
    <n v="240.60927906209608"/>
  </r>
  <r>
    <n v="52"/>
    <x v="51"/>
    <n v="47.77"/>
    <n v="323.83184750665282"/>
    <n v="74.129790324861474"/>
    <n v="11804.224072686489"/>
    <n v="262534.75134301069"/>
    <n v="243.20797350579056"/>
  </r>
  <r>
    <n v="53"/>
    <x v="52"/>
    <n v="42.73"/>
    <n v="288.51648716289105"/>
    <n v="73.396140477046629"/>
    <n v="10558.812950091975"/>
    <n v="233904.12276887751"/>
    <n v="240.80098581611892"/>
  </r>
  <r>
    <n v="54"/>
    <x v="53"/>
    <n v="42.05"/>
    <n v="283.7524526429342"/>
    <n v="73.294258659954451"/>
    <n v="10390.781290694302"/>
    <n v="230041.85712787783"/>
    <n v="240.46672788602783"/>
  </r>
  <r>
    <n v="55"/>
    <x v="54"/>
    <n v="38.799999999999997"/>
    <n v="260.70189326845093"/>
    <n v="72.768225646571139"/>
    <n v="9587.6888009260128"/>
    <n v="211354.46451874622"/>
    <n v="238.74089778963278"/>
  </r>
  <r>
    <n v="56"/>
    <x v="55"/>
    <n v="39.270000000000003"/>
    <n v="264.09748126520685"/>
    <n v="72.852933225195997"/>
    <n v="9703.8283302155833"/>
    <n v="214107.31250839093"/>
    <n v="239.01880979299406"/>
  </r>
  <r>
    <n v="57"/>
    <x v="56"/>
    <n v="36.380000000000003"/>
    <n v="243.21822741281429"/>
    <n v="72.332071731098495"/>
    <n v="8989.6937777754756"/>
    <n v="197180.22593376713"/>
    <n v="237.30994662338966"/>
  </r>
  <r>
    <n v="58"/>
    <x v="57"/>
    <n v="37.42"/>
    <n v="250.7318689375507"/>
    <n v="72.519509777417326"/>
    <n v="9246.6833745013282"/>
    <n v="203271.6342512788"/>
    <n v="237.92490084359335"/>
  </r>
  <r>
    <n v="59"/>
    <x v="58"/>
    <n v="36.380000000000003"/>
    <n v="243.21822741281429"/>
    <n v="72.332071731098495"/>
    <n v="8989.6937777754756"/>
    <n v="197180.22593376713"/>
    <n v="237.30994662338966"/>
  </r>
  <r>
    <n v="60"/>
    <x v="59"/>
    <n v="34.03"/>
    <n v="226.20215619174434"/>
    <n v="71.892735611776885"/>
    <n v="8408.9961313276362"/>
    <n v="183385.0724883767"/>
    <n v="235.86855515580484"/>
  </r>
  <r>
    <n v="61"/>
    <x v="60"/>
    <n v="32.76"/>
    <n v="216.93142193266121"/>
    <n v="71.624310443218562"/>
    <n v="8095.1722968643362"/>
    <n v="175869.16590841772"/>
    <n v="234.98789515397661"/>
  </r>
  <r>
    <n v="62"/>
    <x v="61"/>
    <n v="31.34"/>
    <n v="206.56571906030055"/>
    <n v="71.324181514594301"/>
    <n v="7744.2826551809612"/>
    <n v="167465.55382688879"/>
    <n v="234.00322019130252"/>
  </r>
  <r>
    <n v="63"/>
    <x v="62"/>
    <n v="27.03"/>
    <n v="176.04559432534677"/>
    <n v="70.351688384475267"/>
    <n v="6679.2584610574795"/>
    <n v="142722.48602814748"/>
    <n v="230.81262593239455"/>
  </r>
  <r>
    <n v="64"/>
    <x v="63"/>
    <n v="26.88"/>
    <n v="175.00152118537198"/>
    <n v="70.316659660921957"/>
    <n v="6642.1926538374046"/>
    <n v="141876.04215828827"/>
    <n v="230.69770229868993"/>
  </r>
  <r>
    <n v="65"/>
    <x v="64"/>
    <n v="26.47"/>
    <n v="172.14772126944092"/>
    <n v="70.220914483209569"/>
    <n v="6540.8794474358665"/>
    <n v="139562.42891400639"/>
    <n v="230.38357769989727"/>
  </r>
  <r>
    <n v="66"/>
    <x v="65"/>
    <n v="38.61"/>
    <n v="259.32920875912407"/>
    <n v="72.733982157339824"/>
    <n v="9540.7387784472521"/>
    <n v="210241.61107612384"/>
    <n v="238.62855038401867"/>
  </r>
  <r>
    <n v="67"/>
    <x v="66"/>
    <n v="38.130000000000003"/>
    <n v="255.86137420924575"/>
    <n v="72.64747228980805"/>
    <n v="9422.1281953430152"/>
    <n v="207430.19185265695"/>
    <n v="238.34472535930925"/>
  </r>
  <r>
    <n v="68"/>
    <x v="67"/>
    <n v="37.549999999999997"/>
    <n v="251.67107412814272"/>
    <n v="72.542939533207175"/>
    <n v="9278.8070740920575"/>
    <n v="204033.06029096773"/>
    <n v="238.0017701211188"/>
  </r>
  <r>
    <n v="69"/>
    <x v="68"/>
    <n v="61.19"/>
    <n v="420.67863517124374"/>
    <n v="75.783574264541286"/>
    <n v="15120.378291975847"/>
    <n v="341049.71987886599"/>
    <n v="248.63377383280235"/>
  </r>
  <r>
    <n v="70"/>
    <x v="69"/>
    <n v="58.23"/>
    <n v="398.69912080373234"/>
    <n v="75.434842540557739"/>
    <n v="14388.946362833036"/>
    <n v="323230.63758802926"/>
    <n v="247.48964088010499"/>
  </r>
  <r>
    <n v="71"/>
    <x v="70"/>
    <n v="58.08"/>
    <n v="397.58529406213552"/>
    <n v="75.417170324815331"/>
    <n v="14351.880555612963"/>
    <n v="322327.64355302067"/>
    <n v="247.43166116966427"/>
  </r>
  <r>
    <n v="72"/>
    <x v="71"/>
    <n v="56.6"/>
    <n v="386.59553687837985"/>
    <n v="75.242804462823543"/>
    <n v="13986.164591041559"/>
    <n v="313418.1024076023"/>
    <n v="246.85959469331553"/>
  </r>
  <r>
    <n v="73"/>
    <x v="72"/>
    <n v="56.34"/>
    <n v="384.66490385961197"/>
    <n v="75.212172622203369"/>
    <n v="13921.917191860097"/>
    <n v="311852.91274692072"/>
    <n v="246.75909652855159"/>
  </r>
  <r>
    <n v="74"/>
    <x v="73"/>
    <n v="53.37"/>
    <n v="363.09534397778549"/>
    <n v="74.849704963554316"/>
    <n v="13188.014208902614"/>
    <n v="294366.18596648215"/>
    <n v="245.56989817340855"/>
  </r>
  <r>
    <n v="75"/>
    <x v="74"/>
    <n v="59.08"/>
    <n v="405.01080567278126"/>
    <n v="75.534985096431384"/>
    <n v="14598.985937080128"/>
    <n v="328347.60378641146"/>
    <n v="247.81819257260253"/>
  </r>
  <r>
    <n v="76"/>
    <x v="75"/>
    <n v="56.9"/>
    <n v="388.82319036157355"/>
    <n v="75.278148894308373"/>
    <n v="14060.296205481707"/>
    <n v="315224.09047761955"/>
    <n v="246.97555411419705"/>
  </r>
  <r>
    <n v="77"/>
    <x v="76"/>
    <n v="56.76"/>
    <n v="387.78361873608316"/>
    <n v="75.261654826282125"/>
    <n v="14025.701452076304"/>
    <n v="314381.29604494484"/>
    <n v="246.92143971778572"/>
  </r>
  <r>
    <n v="78"/>
    <x v="77"/>
    <n v="55.4"/>
    <n v="377.68492294560491"/>
    <n v="75.101426736884264"/>
    <n v="13689.63813328096"/>
    <n v="306194.15012753336"/>
    <n v="246.39575700978958"/>
  </r>
  <r>
    <n v="79"/>
    <x v="78"/>
    <n v="53.1"/>
    <n v="361.20228254078449"/>
    <n v="74.814994793474483"/>
    <n v="13121.29575590648"/>
    <n v="292831.45608285058"/>
    <n v="245.45601966264837"/>
  </r>
  <r>
    <n v="80"/>
    <x v="79"/>
    <n v="52.71"/>
    <n v="358.4678604651163"/>
    <n v="74.764857881136948"/>
    <n v="13024.924657134285"/>
    <n v="290614.62402871589"/>
    <n v="245.29152848043927"/>
  </r>
  <r>
    <n v="81"/>
    <x v="80"/>
    <n v="51.99"/>
    <n v="353.41969663311352"/>
    <n v="74.672297427590735"/>
    <n v="12847.008782477926"/>
    <n v="286522.01100569812"/>
    <n v="244.98785245174557"/>
  </r>
  <r>
    <n v="82"/>
    <x v="81"/>
    <n v="51.3"/>
    <n v="348.5818729607775"/>
    <n v="74.583593659608937"/>
    <n v="12676.506069265582"/>
    <n v="282599.92352530611"/>
    <n v="244.69682959091406"/>
  </r>
  <r>
    <n v="83"/>
    <x v="82"/>
    <n v="58.96"/>
    <n v="404.11974427950378"/>
    <n v="75.520847323837458"/>
    <n v="14569.333291304069"/>
    <n v="327625.20855840459"/>
    <n v="247.77180880424993"/>
  </r>
  <r>
    <n v="84"/>
    <x v="83"/>
    <n v="58.28"/>
    <n v="399.07039638426465"/>
    <n v="75.440733279138541"/>
    <n v="14401.301631906395"/>
    <n v="323531.63559969881"/>
    <n v="247.5089674502519"/>
  </r>
  <r>
    <n v="85"/>
    <x v="84"/>
    <n v="57.36"/>
    <n v="392.23892570247057"/>
    <n v="75.332343689251758"/>
    <n v="14173.964680956602"/>
    <n v="317993.27218497929"/>
    <n v="247.15335855954865"/>
  </r>
  <r>
    <n v="86"/>
    <x v="85"/>
    <n v="57.07"/>
    <n v="390.08552733538335"/>
    <n v="75.298177405483102"/>
    <n v="14102.304120331124"/>
    <n v="316247.48371729598"/>
    <n v="247.04126445269657"/>
  </r>
  <r>
    <n v="87"/>
    <x v="86"/>
    <n v="56.3"/>
    <n v="384.36788339518608"/>
    <n v="75.207460031338726"/>
    <n v="13912.032976601407"/>
    <n v="311612.11433758505"/>
    <n v="246.74363527243406"/>
  </r>
  <r>
    <n v="88"/>
    <x v="87"/>
    <n v="52.41"/>
    <n v="356.36445886844842"/>
    <n v="74.726291025492685"/>
    <n v="12950.793042694135"/>
    <n v="288909.36860245839"/>
    <n v="245.16499680181687"/>
  </r>
  <r>
    <n v="89"/>
    <x v="88"/>
    <n v="57.3"/>
    <n v="391.79339500583183"/>
    <n v="75.325274802954794"/>
    <n v="14159.138358068572"/>
    <n v="317632.07457097585"/>
    <n v="247.13016667537238"/>
  </r>
  <r>
    <n v="90"/>
    <x v="89"/>
    <n v="57.83"/>
    <n v="395.72891615947407"/>
    <n v="75.387716631911303"/>
    <n v="14290.104210246171"/>
    <n v="320822.65349467297"/>
    <n v="247.33502831892966"/>
  </r>
  <r>
    <n v="91"/>
    <x v="90"/>
    <n v="57.51"/>
    <n v="393.35275244406745"/>
    <n v="75.350015904994166"/>
    <n v="14211.030488176677"/>
    <n v="318896.26621998794"/>
    <n v="247.2113382699894"/>
  </r>
  <r>
    <n v="92"/>
    <x v="91"/>
    <n v="59.64"/>
    <n v="409.1690921747429"/>
    <n v="75.600961368536389"/>
    <n v="14737.36495070174"/>
    <n v="331718.7815171103"/>
    <n v="248.03465015824798"/>
  </r>
  <r>
    <n v="93"/>
    <x v="92"/>
    <n v="57.79"/>
    <n v="395.43189569504824"/>
    <n v="75.383004041046661"/>
    <n v="14280.219994987485"/>
    <n v="320581.8550853373"/>
    <n v="247.31956706281213"/>
  </r>
  <r>
    <n v="94"/>
    <x v="93"/>
    <n v="57.98"/>
    <n v="396.84274290107095"/>
    <n v="75.405388847653725"/>
    <n v="14327.170017466246"/>
    <n v="321725.64752968156"/>
    <n v="247.39300802937043"/>
  </r>
  <r>
    <n v="95"/>
    <x v="94"/>
    <n v="59.4"/>
    <n v="407.38696938818788"/>
    <n v="75.572685823348536"/>
    <n v="14678.059659149621"/>
    <n v="330273.99106109649"/>
    <n v="247.94188262154282"/>
  </r>
  <r>
    <n v="96"/>
    <x v="95"/>
    <n v="59.51"/>
    <n v="408.20377566535893"/>
    <n v="75.585645448226302"/>
    <n v="14705.241251111007"/>
    <n v="330936.18668676948"/>
    <n v="247.98440107586603"/>
  </r>
  <r>
    <n v="97"/>
    <x v="96"/>
    <n v="58.28"/>
    <n v="399.07039638426465"/>
    <n v="75.440733279138541"/>
    <n v="14401.301631906395"/>
    <n v="323531.63559969881"/>
    <n v="247.5089674502519"/>
  </r>
  <r>
    <n v="98"/>
    <x v="97"/>
    <n v="57.65"/>
    <n v="394.39232406955784"/>
    <n v="75.366509973020413"/>
    <n v="14245.62524158208"/>
    <n v="319739.06065266259"/>
    <n v="247.26545266640076"/>
  </r>
  <r>
    <n v="99"/>
    <x v="98"/>
    <n v="57.71"/>
    <n v="394.83785476619659"/>
    <n v="75.373578859317377"/>
    <n v="14260.451564470111"/>
    <n v="320100.25826666609"/>
    <n v="247.28864455057706"/>
  </r>
  <r>
    <n v="100"/>
    <x v="99"/>
    <n v="57.35"/>
    <n v="392.16467058636414"/>
    <n v="75.331165541535597"/>
    <n v="14171.493627141932"/>
    <n v="317933.0725826454"/>
    <n v="247.14949324551927"/>
  </r>
  <r>
    <n v="101"/>
    <x v="100"/>
    <n v="56.75"/>
    <n v="387.70936361997667"/>
    <n v="75.260476678565965"/>
    <n v="14023.230398261632"/>
    <n v="314321.0964426109"/>
    <n v="246.91757440375633"/>
  </r>
  <r>
    <n v="102"/>
    <x v="101"/>
    <n v="58.44"/>
    <n v="400.25847824196796"/>
    <n v="75.45958364259711"/>
    <n v="14440.838492941142"/>
    <n v="324494.82923704135"/>
    <n v="247.57081247472203"/>
  </r>
  <r>
    <n v="103"/>
    <x v="102"/>
    <n v="58.27"/>
    <n v="398.99614126815823"/>
    <n v="75.439555131422381"/>
    <n v="14398.830578091725"/>
    <n v="323471.43599736493"/>
    <n v="247.50510213622252"/>
  </r>
  <r>
    <n v="104"/>
    <x v="103"/>
    <n v="56.47"/>
    <n v="385.63022036899588"/>
    <n v="75.227488542513456"/>
    <n v="13954.040891450826"/>
    <n v="312635.50757726148"/>
    <n v="246.80934561093355"/>
  </r>
  <r>
    <n v="105"/>
    <x v="104"/>
    <n v="58.18"/>
    <n v="398.32784522320009"/>
    <n v="75.428951801976936"/>
    <n v="14376.591093759678"/>
    <n v="322929.63957635971"/>
    <n v="247.4703143099581"/>
  </r>
  <r>
    <n v="106"/>
    <x v="105"/>
    <n v="56.08"/>
    <n v="382.73427084084403"/>
    <n v="75.181540781583195"/>
    <n v="13857.669792678631"/>
    <n v="310287.72308623907"/>
    <n v="246.65859836378763"/>
  </r>
  <r>
    <n v="107"/>
    <x v="106"/>
    <n v="54.16"/>
    <n v="368.63430151567741"/>
    <n v="74.951264350084202"/>
    <n v="13383.227460261674"/>
    <n v="298856.69192229328"/>
    <n v="245.90309826044751"/>
  </r>
  <r>
    <n v="108"/>
    <x v="107"/>
    <n v="54.2"/>
    <n v="368.91475506189983"/>
    <n v="74.956406597503445"/>
    <n v="13393.11167552036"/>
    <n v="299084.05931246094"/>
    <n v="245.91996915093051"/>
  </r>
  <r>
    <n v="109"/>
    <x v="108"/>
    <n v="50.32"/>
    <n v="341.71076107832931"/>
    <n v="74.457608597837691"/>
    <n v="12434.342795427759"/>
    <n v="277029.42246619862"/>
    <n v="244.28349277408091"/>
  </r>
  <r>
    <n v="110"/>
    <x v="109"/>
    <n v="48.95"/>
    <n v="332.10522712021293"/>
    <n v="74.281486623728895"/>
    <n v="12095.808422817743"/>
    <n v="269242.08935295645"/>
    <n v="243.70566477503863"/>
  </r>
  <r>
    <n v="111"/>
    <x v="110"/>
    <n v="46.41"/>
    <n v="314.29832103559869"/>
    <n v="73.947500898957216"/>
    <n v="11468.160753891141"/>
    <n v="254805.79564958162"/>
    <n v="242.6099110848472"/>
  </r>
  <r>
    <n v="112"/>
    <x v="111"/>
    <n v="46.54"/>
    <n v="315.20909234088458"/>
    <n v="73.966978305166009"/>
    <n v="11500.284453481874"/>
    <n v="255544.16996330215"/>
    <n v="242.67381333618815"/>
  </r>
  <r>
    <n v="113"/>
    <x v="112"/>
    <n v="43.54"/>
    <n v="294.1912929881338"/>
    <n v="73.517499700347599"/>
    <n v="10758.968309080379"/>
    <n v="238504.76272359773"/>
    <n v="241.19914599755097"/>
  </r>
  <r>
    <n v="114"/>
    <x v="113"/>
    <n v="43.79"/>
    <n v="295.94277626752967"/>
    <n v="73.554956250749129"/>
    <n v="10820.74465444717"/>
    <n v="239924.71332690641"/>
    <n v="241.32203494243737"/>
  </r>
  <r>
    <n v="115"/>
    <x v="114"/>
    <n v="41.09"/>
    <n v="277.02675685005397"/>
    <n v="73.15042550641256"/>
    <n v="10153.560124485824"/>
    <n v="224589.24681117243"/>
    <n v="239.99483433766392"/>
  </r>
  <r>
    <n v="116"/>
    <x v="115"/>
    <n v="40.64"/>
    <n v="273.87408694714134"/>
    <n v="73.083003715689799"/>
    <n v="10042.3627028256"/>
    <n v="222033.33572521678"/>
    <n v="239.77363423686833"/>
  </r>
  <r>
    <n v="117"/>
    <x v="116"/>
    <n v="40.47"/>
    <n v="272.68307831715208"/>
    <n v="73.057533261416751"/>
    <n v="10000.354787976181"/>
    <n v="221067.7693149668"/>
    <n v="239.69006975434556"/>
  </r>
  <r>
    <n v="118"/>
    <x v="117"/>
    <n v="39.65"/>
    <n v="266.84285028386051"/>
    <n v="72.921420203658641"/>
    <n v="9797.7283751731047"/>
    <n v="216333.01939363556"/>
    <n v="239.2435046042223"/>
  </r>
  <r>
    <n v="119"/>
    <x v="118"/>
    <n v="39.880000000000003"/>
    <n v="268.50452100567725"/>
    <n v="72.96287284851762"/>
    <n v="9854.5626129105549"/>
    <n v="217680.1577715468"/>
    <n v="239.37950409522892"/>
  </r>
  <r>
    <n v="120"/>
    <x v="119"/>
    <n v="37.159999999999997"/>
    <n v="248.85345855636655"/>
    <n v="72.472650265837615"/>
    <n v="9182.4359753198623"/>
    <n v="201748.78217190085"/>
    <n v="237.77116228854243"/>
  </r>
  <r>
    <n v="121"/>
    <x v="120"/>
    <n v="37.25"/>
    <n v="249.50367753446878"/>
    <n v="72.488870865999814"/>
    <n v="9204.6754596519095"/>
    <n v="202275.92327630092"/>
    <n v="237.82437948067539"/>
  </r>
  <r>
    <n v="122"/>
    <x v="121"/>
    <n v="36.39"/>
    <n v="243.29047396593674"/>
    <n v="72.33387402000541"/>
    <n v="8992.1648315901457"/>
    <n v="197238.79716758936"/>
    <n v="237.3158596447378"/>
  </r>
  <r>
    <n v="123"/>
    <x v="122"/>
    <n v="35.75"/>
    <n v="238.66669456609895"/>
    <n v="72.218527529963055"/>
    <n v="8834.0173874511602"/>
    <n v="193490.23820296678"/>
    <n v="236.93742627845862"/>
  </r>
  <r>
    <n v="124"/>
    <x v="123"/>
    <n v="36.19"/>
    <n v="241.8455429034874"/>
    <n v="72.297828241867165"/>
    <n v="8942.7437552967131"/>
    <n v="196067.37249114478"/>
    <n v="237.19759921777552"/>
  </r>
  <r>
    <n v="125"/>
    <x v="124"/>
    <n v="35.549999999999997"/>
    <n v="237.22176350364961"/>
    <n v="72.182481751824824"/>
    <n v="8784.5963111577275"/>
    <n v="192318.81352652222"/>
    <n v="236.81916585149639"/>
  </r>
  <r>
    <n v="126"/>
    <x v="125"/>
    <n v="33.68"/>
    <n v="223.64722942743009"/>
    <n v="71.818760171623026"/>
    <n v="8322.5092478141287"/>
    <n v="181313.7596513801"/>
    <n v="235.62585358049787"/>
  </r>
  <r>
    <n v="127"/>
    <x v="126"/>
    <n v="40.6"/>
    <n v="273.59384962243797"/>
    <n v="73.077010667625558"/>
    <n v="10032.478487566914"/>
    <n v="221806.14362868736"/>
    <n v="239.75397200568653"/>
  </r>
  <r>
    <n v="128"/>
    <x v="127"/>
    <n v="40.69"/>
    <n v="274.2243836030205"/>
    <n v="73.09049502577011"/>
    <n v="10054.717971898957"/>
    <n v="222317.32584587848"/>
    <n v="239.79821202584566"/>
  </r>
  <r>
    <n v="129"/>
    <x v="128"/>
    <n v="40.53"/>
    <n v="273.10343430420716"/>
    <n v="73.066522833513119"/>
    <n v="10015.181110864212"/>
    <n v="221408.55745976095"/>
    <n v="239.7195631011183"/>
  </r>
  <r>
    <n v="130"/>
    <x v="129"/>
    <n v="46.45"/>
    <n v="314.57855836030205"/>
    <n v="73.953493947021457"/>
    <n v="11478.044969149829"/>
    <n v="255032.987746111"/>
    <n v="242.62957331602902"/>
  </r>
  <r>
    <n v="131"/>
    <x v="130"/>
    <n v="46.07"/>
    <n v="311.91630377562029"/>
    <n v="73.89655999041112"/>
    <n v="11384.144924192307"/>
    <n v="252874.66282908179"/>
    <n v="242.44278211980162"/>
  </r>
  <r>
    <n v="132"/>
    <x v="131"/>
    <n v="46.6"/>
    <n v="315.6294483279396"/>
    <n v="73.975967877262377"/>
    <n v="11515.110776369904"/>
    <n v="255884.95810809624"/>
    <n v="242.70330668296089"/>
  </r>
  <r>
    <n v="133"/>
    <x v="132"/>
    <n v="45.95"/>
    <n v="311.07559180151026"/>
    <n v="73.878580846218384"/>
    <n v="11354.492278416248"/>
    <n v="252193.08653949364"/>
    <n v="242.38379542625614"/>
  </r>
  <r>
    <n v="134"/>
    <x v="133"/>
    <n v="46.09"/>
    <n v="312.056422437972"/>
    <n v="73.899556514443248"/>
    <n v="11389.087031821651"/>
    <n v="252988.25887734655"/>
    <n v="242.45261323539256"/>
  </r>
  <r>
    <n v="135"/>
    <x v="134"/>
    <n v="43.18"/>
    <n v="291.66915706580369"/>
    <n v="73.46356226776939"/>
    <n v="10670.0103717522"/>
    <n v="236460.03385483319"/>
    <n v="241.02218591691451"/>
  </r>
  <r>
    <n v="136"/>
    <x v="135"/>
    <n v="40.770000000000003"/>
    <n v="274.78485825242723"/>
    <n v="73.102481121898592"/>
    <n v="10074.486402416333"/>
    <n v="222771.71003893731"/>
    <n v="239.83753648820928"/>
  </r>
  <r>
    <n v="137"/>
    <x v="136"/>
    <n v="39.67"/>
    <n v="266.98734339010542"/>
    <n v="72.925024781472473"/>
    <n v="9802.6704828024485"/>
    <n v="216450.16186127998"/>
    <n v="239.25533064691857"/>
  </r>
  <r>
    <n v="138"/>
    <x v="137"/>
    <n v="38.159999999999997"/>
    <n v="256.07811386861312"/>
    <n v="72.652879156528797"/>
    <n v="9429.5413567870291"/>
    <n v="207605.9055541236"/>
    <n v="238.36246442335363"/>
  </r>
  <r>
    <n v="139"/>
    <x v="138"/>
    <n v="36.520000000000003"/>
    <n v="244.22967915652882"/>
    <n v="72.357303775795259"/>
    <n v="9024.2885311808786"/>
    <n v="198000.22320727832"/>
    <n v="237.39272892226325"/>
  </r>
  <r>
    <n v="140"/>
    <x v="139"/>
    <n v="36.380000000000003"/>
    <n v="243.21822741281429"/>
    <n v="72.332071731098495"/>
    <n v="8989.6937777754756"/>
    <n v="197180.22593376713"/>
    <n v="237.30994662338966"/>
  </r>
  <r>
    <n v="141"/>
    <x v="140"/>
    <n v="35.229999999999997"/>
    <n v="234.9098738037307"/>
    <n v="72.124808506803646"/>
    <n v="8705.5225890882339"/>
    <n v="190444.53404421094"/>
    <n v="236.6299491683568"/>
  </r>
  <r>
    <n v="142"/>
    <x v="141"/>
    <n v="33.090000000000003"/>
    <n v="219.34035288187181"/>
    <n v="71.694058715363639"/>
    <n v="8176.7170727485018"/>
    <n v="177822.11801187164"/>
    <n v="235.21672806783749"/>
  </r>
  <r>
    <n v="143"/>
    <x v="142"/>
    <n v="30.67"/>
    <n v="201.67485925432757"/>
    <n v="71.182571386299742"/>
    <n v="7578.7220495979618"/>
    <n v="163500.46925320965"/>
    <n v="233.53862003285766"/>
  </r>
  <r>
    <n v="144"/>
    <x v="143"/>
    <n v="29.53"/>
    <n v="193.44681332492644"/>
    <n v="70.935500443697165"/>
    <n v="7297.0219147253929"/>
    <n v="156829.88385913469"/>
    <n v="232.72801982747188"/>
  </r>
  <r>
    <n v="145"/>
    <x v="144"/>
    <n v="30"/>
    <n v="196.78399944835459"/>
    <n v="71.040961258005197"/>
    <n v="7413.1614440149597"/>
    <n v="159535.38467953054"/>
    <n v="233.07401987441284"/>
  </r>
  <r>
    <n v="146"/>
    <x v="145"/>
    <n v="28.94"/>
    <n v="189.34012564102565"/>
    <n v="70.7977207977208"/>
    <n v="7151.2297396597651"/>
    <n v="153500.53797102169"/>
    <n v="232.27598686823364"/>
  </r>
  <r>
    <n v="147"/>
    <x v="146"/>
    <n v="27.82"/>
    <n v="181.54437952921396"/>
    <n v="70.536172995189389"/>
    <n v="6874.47171241654"/>
    <n v="147180.42374273945"/>
    <n v="231.417890403239"/>
  </r>
  <r>
    <n v="148"/>
    <x v="147"/>
    <n v="26.54"/>
    <n v="172.63495540142915"/>
    <n v="70.237261220867779"/>
    <n v="6558.176824138568"/>
    <n v="139957.43605327402"/>
    <n v="230.43720872895943"/>
  </r>
  <r>
    <n v="149"/>
    <x v="148"/>
    <n v="25.94"/>
    <n v="168.45866284153004"/>
    <n v="70.097146326654524"/>
    <n v="6409.9135952582683"/>
    <n v="136571.66057383711"/>
    <n v="229.97751419414087"/>
  </r>
  <r>
    <n v="150"/>
    <x v="149"/>
    <n v="25.19"/>
    <n v="163.18731871081013"/>
    <n v="69.906919711283891"/>
    <n v="6224.5845591578955"/>
    <n v="132298.11233805539"/>
    <n v="229.35341112534209"/>
  </r>
  <r>
    <n v="151"/>
    <x v="150"/>
    <n v="25.99"/>
    <n v="168.80668722152163"/>
    <n v="70.108822567838956"/>
    <n v="6422.268864331626"/>
    <n v="136853.80853045685"/>
    <n v="230.0158220720424"/>
  </r>
  <r>
    <n v="152"/>
    <x v="151"/>
    <n v="25.18"/>
    <n v="163.11618753448707"/>
    <n v="69.904132876292394"/>
    <n v="6222.1135053432226"/>
    <n v="132240.44535492049"/>
    <n v="229.3442679659212"/>
  </r>
  <r>
    <n v="153"/>
    <x v="152"/>
    <n v="23.9"/>
    <n v="154.01139696513667"/>
    <n v="69.547417997380379"/>
    <n v="5905.8186170652516"/>
    <n v="124859.07151365402"/>
    <n v="228.17394356004655"/>
  </r>
  <r>
    <n v="154"/>
    <x v="153"/>
    <n v="23.83"/>
    <n v="153.51347873087531"/>
    <n v="69.527910152439873"/>
    <n v="5888.5212403625492"/>
    <n v="124455.40263170975"/>
    <n v="228.10994144410029"/>
  </r>
  <r>
    <n v="155"/>
    <x v="154"/>
    <n v="23.67"/>
    <n v="152.37537990970654"/>
    <n v="69.483320792575867"/>
    <n v="5848.9843793278042"/>
    <n v="123532.73090155146"/>
    <n v="227.96365089336592"/>
  </r>
  <r>
    <n v="156"/>
    <x v="155"/>
    <n v="23.62"/>
    <n v="152.01972402809128"/>
    <n v="69.469386617618369"/>
    <n v="5836.6291102544455"/>
    <n v="123244.39598587698"/>
    <n v="227.91793509626146"/>
  </r>
  <r>
    <n v="157"/>
    <x v="156"/>
    <n v="22.17"/>
    <n v="141.70570346124904"/>
    <n v="69.065295543850851"/>
    <n v="5478.3263071270558"/>
    <n v="114882.68343131735"/>
    <n v="226.59217698023161"/>
  </r>
  <r>
    <n v="158"/>
    <x v="157"/>
    <n v="22.06"/>
    <n v="140.92326052169548"/>
    <n v="69.034640358944344"/>
    <n v="5451.1447151656666"/>
    <n v="114248.3466168335"/>
    <n v="226.49160222660174"/>
  </r>
  <r>
    <n v="159"/>
    <x v="158"/>
    <n v="21.88"/>
    <n v="139.62895616314196"/>
    <n v="68.981302450486737"/>
    <n v="5406.6657465015769"/>
    <n v="113199.03699657436"/>
    <n v="226.31660908861815"/>
  </r>
  <r>
    <n v="160"/>
    <x v="159"/>
    <n v="20.57"/>
    <n v="129.98284438066463"/>
    <n v="68.541557569654245"/>
    <n v="5082.9576967795902"/>
    <n v="105378.80690574752"/>
    <n v="224.87387653996089"/>
  </r>
  <r>
    <n v="161"/>
    <x v="160"/>
    <n v="20.99"/>
    <n v="133.07549090634438"/>
    <n v="68.682544478012758"/>
    <n v="5186.7419569958001"/>
    <n v="107886.05624784467"/>
    <n v="225.33643201357623"/>
  </r>
  <r>
    <n v="162"/>
    <x v="161"/>
    <n v="31.81"/>
    <n v="209.99662071523682"/>
    <n v="71.423519962800924"/>
    <n v="7860.4221844705298"/>
    <n v="170247.03106514132"/>
    <n v="234.32913373528621"/>
  </r>
  <r>
    <n v="163"/>
    <x v="162"/>
    <n v="43.09"/>
    <n v="291.03862308522116"/>
    <n v="73.450077909624838"/>
    <n v="10647.770887420156"/>
    <n v="235948.85163764207"/>
    <n v="240.97794589675539"/>
  </r>
  <r>
    <n v="164"/>
    <x v="163"/>
    <n v="42.1"/>
    <n v="284.10274929881336"/>
    <n v="73.301749970034763"/>
    <n v="10403.136559767661"/>
    <n v="230325.84724853959"/>
    <n v="240.49130567500512"/>
  </r>
  <r>
    <n v="165"/>
    <x v="164"/>
    <n v="40.33"/>
    <n v="271.70224768069039"/>
    <n v="73.036557593191901"/>
    <n v="9965.7600345707779"/>
    <n v="220272.59697711395"/>
    <n v="239.6212519452092"/>
  </r>
  <r>
    <n v="166"/>
    <x v="164"/>
    <n v="40.74"/>
    <n v="274.57468025889966"/>
    <n v="73.097986335850408"/>
    <n v="10067.073240972317"/>
    <n v="222601.31596654019"/>
    <n v="239.8227898148229"/>
  </r>
  <r>
    <n v="167"/>
    <x v="165"/>
    <n v="40.28"/>
    <n v="271.35195102481123"/>
    <n v="73.02906628311159"/>
    <n v="9953.4047654974202"/>
    <n v="219988.60685645221"/>
    <n v="239.59667415623187"/>
  </r>
  <r>
    <n v="168"/>
    <x v="166"/>
    <n v="38.76"/>
    <n v="260.41290705596106"/>
    <n v="72.761016490943504"/>
    <n v="9577.804585667327"/>
    <n v="211120.17958345727"/>
    <n v="238.71724570424036"/>
  </r>
  <r>
    <n v="169"/>
    <x v="167"/>
    <n v="37.799999999999997"/>
    <n v="253.47723795620436"/>
    <n v="72.587996755879971"/>
    <n v="9340.5834194588497"/>
    <n v="205497.34113652344"/>
    <n v="238.14959565482161"/>
  </r>
  <r>
    <n v="170"/>
    <x v="168"/>
    <n v="36.340000000000003"/>
    <n v="242.92924120032444"/>
    <n v="72.324862575470846"/>
    <n v="8979.809562516788"/>
    <n v="196945.94099847824"/>
    <n v="237.28629453799721"/>
  </r>
  <r>
    <n v="171"/>
    <x v="169"/>
    <n v="35.67"/>
    <n v="238.08872214111923"/>
    <n v="72.204109218707757"/>
    <n v="8814.2489569337868"/>
    <n v="193021.66833238897"/>
    <n v="236.8901221076737"/>
  </r>
  <r>
    <n v="172"/>
    <x v="169"/>
    <n v="36.18"/>
    <n v="241.77329635036494"/>
    <n v="72.296025952960264"/>
    <n v="8940.2727014820412"/>
    <n v="196008.80125732257"/>
    <n v="237.19168619642744"/>
  </r>
  <r>
    <n v="173"/>
    <x v="170"/>
    <n v="35.99"/>
    <n v="240.40061184103814"/>
    <n v="72.261782463728935"/>
    <n v="8893.3226790032804"/>
    <n v="194895.94781470025"/>
    <n v="237.0793387908133"/>
  </r>
  <r>
    <n v="174"/>
    <x v="171"/>
    <n v="33.950000000000003"/>
    <n v="225.61817293132967"/>
    <n v="71.875826939741714"/>
    <n v="8389.2277008102628"/>
    <n v="182911.62955420604"/>
    <n v="235.8130805100204"/>
  </r>
  <r>
    <n v="175"/>
    <x v="172"/>
    <n v="33.29"/>
    <n v="220.8003110329085"/>
    <n v="71.73633039545156"/>
    <n v="8226.1381490419335"/>
    <n v="179005.72534729823"/>
    <n v="235.35541468229863"/>
  </r>
  <r>
    <n v="176"/>
    <x v="173"/>
    <n v="32.83"/>
    <n v="217.44240728552404"/>
    <n v="71.639105531249342"/>
    <n v="8112.4696735670377"/>
    <n v="176283.42847581703"/>
    <n v="235.03643546903803"/>
  </r>
  <r>
    <n v="177"/>
    <x v="174"/>
    <n v="32.58"/>
    <n v="215.61745959672817"/>
    <n v="71.586265931139437"/>
    <n v="8050.6933282002456"/>
    <n v="174803.91930653376"/>
    <n v="234.86307720096161"/>
  </r>
  <r>
    <n v="178"/>
    <x v="175"/>
    <n v="35.729999999999997"/>
    <n v="238.52220145985399"/>
    <n v="72.214922952149223"/>
    <n v="8829.0752798218164"/>
    <n v="193373.09573532233"/>
    <n v="236.92560023576235"/>
  </r>
  <r>
    <n v="179"/>
    <x v="176"/>
    <n v="35.64"/>
    <n v="237.87198248175181"/>
    <n v="72.198702351987023"/>
    <n v="8806.8357954897729"/>
    <n v="192845.95463092226"/>
    <n v="236.87238304362938"/>
  </r>
  <r>
    <n v="180"/>
    <x v="177"/>
    <n v="32.78"/>
    <n v="217.07741774776488"/>
    <n v="71.628537611227358"/>
    <n v="8100.11440449368"/>
    <n v="175987.52664196037"/>
    <n v="235.00176381542272"/>
  </r>
  <r>
    <n v="181"/>
    <x v="178"/>
    <n v="30.91"/>
    <n v="203.42680903557164"/>
    <n v="71.233297402405256"/>
    <n v="7638.0273411500812"/>
    <n v="164920.79805572159"/>
    <n v="233.70504397021105"/>
  </r>
  <r>
    <n v="182"/>
    <x v="179"/>
    <n v="30.82"/>
    <n v="202.7698278676051"/>
    <n v="71.214275146365694"/>
    <n v="7615.7878568180358"/>
    <n v="164388.17475477961"/>
    <n v="233.64263499370355"/>
  </r>
  <r>
    <n v="183"/>
    <x v="180"/>
    <n v="30.13"/>
    <n v="197.73297224652845"/>
    <n v="71.068437850062352"/>
    <n v="7445.2851436056908"/>
    <n v="160304.72944755782"/>
    <n v="233.16416617381262"/>
  </r>
  <r>
    <n v="184"/>
    <x v="181"/>
    <n v="29.9"/>
    <n v="196.05402037283622"/>
    <n v="71.019825417961243"/>
    <n v="7388.4509058682424"/>
    <n v="158943.58101181721"/>
    <n v="233.00467656718232"/>
  </r>
  <r>
    <n v="185"/>
    <x v="182"/>
    <n v="29.67"/>
    <n v="194.42128158890293"/>
    <n v="70.968193919013586"/>
    <n v="7331.6166681307959"/>
    <n v="157619.89813766998"/>
    <n v="232.83528188559617"/>
  </r>
  <r>
    <n v="186"/>
    <x v="183"/>
    <n v="28.05"/>
    <n v="183.14529167717529"/>
    <n v="70.589883704637799"/>
    <n v="6931.3059501539883"/>
    <n v="148478.30434319028"/>
    <n v="231.59410664158611"/>
  </r>
  <r>
    <n v="187"/>
    <x v="184"/>
    <n v="27.02"/>
    <n v="175.97598944934845"/>
    <n v="70.349353136238378"/>
    <n v="6676.7874072428076"/>
    <n v="142666.05643682356"/>
    <n v="230.80496435681425"/>
  </r>
  <r>
    <n v="188"/>
    <x v="185"/>
    <n v="26.68"/>
    <n v="173.60942366540561"/>
    <n v="70.2699546961842"/>
    <n v="6592.771577543971"/>
    <n v="140747.45033180929"/>
    <n v="230.54447078708375"/>
  </r>
  <r>
    <n v="189"/>
    <x v="186"/>
    <n v="26.09"/>
    <n v="169.50273598150483"/>
    <n v="70.132175050207834"/>
    <n v="6446.9794024783432"/>
    <n v="137418.10444369636"/>
    <n v="230.09243782784552"/>
  </r>
  <r>
    <n v="190"/>
    <x v="187"/>
    <n v="25.93"/>
    <n v="168.38905796553172"/>
    <n v="70.094811078417635"/>
    <n v="6407.4425414435964"/>
    <n v="136515.23098251314"/>
    <n v="229.96985261856057"/>
  </r>
  <r>
    <n v="191"/>
    <x v="187"/>
    <n v="25.94"/>
    <n v="168.45866284153004"/>
    <n v="70.097146326654524"/>
    <n v="6409.9135952582683"/>
    <n v="136571.66057383711"/>
    <n v="229.97751419414087"/>
  </r>
  <r>
    <n v="192"/>
    <x v="188"/>
    <n v="26.45"/>
    <n v="172.00851151744428"/>
    <n v="70.21624398673579"/>
    <n v="6535.9373398065227"/>
    <n v="139449.56973135847"/>
    <n v="230.36825454873664"/>
  </r>
  <r>
    <n v="193"/>
    <x v="189"/>
    <n v="24.73"/>
    <n v="159.91528459994981"/>
    <n v="69.778725301674882"/>
    <n v="6110.9160836829988"/>
    <n v="129645.43111385024"/>
    <n v="228.93282579198089"/>
  </r>
  <r>
    <n v="194"/>
    <x v="190"/>
    <n v="24.14"/>
    <n v="155.71854519688989"/>
    <n v="69.614302037176373"/>
    <n v="5965.1239086173719"/>
    <n v="126243.07910889151"/>
    <n v="228.39337938614804"/>
  </r>
  <r>
    <n v="195"/>
    <x v="191"/>
    <n v="24.48"/>
    <n v="158.13700519187358"/>
    <n v="69.709054426887377"/>
    <n v="6049.1397383162066"/>
    <n v="128203.75653547789"/>
    <n v="228.70424680645849"/>
  </r>
  <r>
    <n v="196"/>
    <x v="192"/>
    <n v="23.98"/>
    <n v="154.5804463757211"/>
    <n v="69.569712677312381"/>
    <n v="5925.587047582625"/>
    <n v="125320.4073787332"/>
    <n v="228.24708883541373"/>
  </r>
  <r>
    <n v="197"/>
    <x v="193"/>
    <n v="23.96"/>
    <n v="154.438184023075"/>
    <n v="69.564139007329373"/>
    <n v="5920.6449399532821"/>
    <n v="125205.0734124634"/>
    <n v="228.22880251657193"/>
  </r>
  <r>
    <n v="198"/>
    <x v="194"/>
    <n v="24.44"/>
    <n v="157.85248048658138"/>
    <n v="69.69790708692139"/>
    <n v="6039.2555230575208"/>
    <n v="127973.08860293833"/>
    <n v="228.66767416877494"/>
  </r>
  <r>
    <n v="199"/>
    <x v="194"/>
    <n v="23.9"/>
    <n v="154.01139696513667"/>
    <n v="69.547417997380379"/>
    <n v="5905.8186170652516"/>
    <n v="124859.07151365402"/>
    <n v="228.17394356004655"/>
  </r>
  <r>
    <n v="200"/>
    <x v="195"/>
    <n v="23.83"/>
    <n v="153.51347873087531"/>
    <n v="69.527910152439873"/>
    <n v="5888.5212403625492"/>
    <n v="124455.40263170975"/>
    <n v="228.10994144410029"/>
  </r>
  <r>
    <n v="201"/>
    <x v="196"/>
    <n v="24.39"/>
    <n v="157.49682460496612"/>
    <n v="69.683972911963878"/>
    <n v="6026.9002539841631"/>
    <n v="127684.75368726384"/>
    <n v="228.62195837167042"/>
  </r>
  <r>
    <n v="202"/>
    <x v="197"/>
    <n v="23.63"/>
    <n v="152.09085520441434"/>
    <n v="69.472173452609866"/>
    <n v="5839.1001640691165"/>
    <n v="123302.06296901191"/>
    <n v="227.92707825568235"/>
  </r>
  <r>
    <n v="203"/>
    <x v="198"/>
    <n v="23.69"/>
    <n v="152.51764226235264"/>
    <n v="69.488894462558875"/>
    <n v="5853.9264869571471"/>
    <n v="123648.06486782126"/>
    <n v="227.98193721220775"/>
  </r>
  <r>
    <n v="204"/>
    <x v="199"/>
    <n v="24.61"/>
    <n v="159.06171048407322"/>
    <n v="69.745283281776892"/>
    <n v="6081.2634379069386"/>
    <n v="128953.42731623152"/>
    <n v="228.82310787893016"/>
  </r>
  <r>
    <n v="205"/>
    <x v="200"/>
    <n v="23.48"/>
    <n v="151.02388755956858"/>
    <n v="69.430370927737371"/>
    <n v="5802.0343568490416"/>
    <n v="122437.05822198847"/>
    <n v="227.78993086436896"/>
  </r>
  <r>
    <n v="206"/>
    <x v="201"/>
    <n v="23.67"/>
    <n v="152.37537990970654"/>
    <n v="69.483320792575867"/>
    <n v="5848.9843793278042"/>
    <n v="123532.73090155146"/>
    <n v="227.96365089336592"/>
  </r>
  <r>
    <n v="207"/>
    <x v="201"/>
    <n v="22.45"/>
    <n v="143.69737639829444"/>
    <n v="69.143326923612847"/>
    <n v="5547.5158139378618"/>
    <n v="116497.35895909439"/>
    <n v="226.84818544401665"/>
  </r>
  <r>
    <n v="208"/>
    <x v="202"/>
    <n v="23.88"/>
    <n v="153.86913461249057"/>
    <n v="69.541844327397371"/>
    <n v="5900.8765094359078"/>
    <n v="124743.73754738423"/>
    <n v="228.15565724120475"/>
  </r>
  <r>
    <n v="209"/>
    <x v="203"/>
    <n v="23.79"/>
    <n v="153.22895402558314"/>
    <n v="69.516762812473871"/>
    <n v="5878.6370251038634"/>
    <n v="124224.73469917019"/>
    <n v="228.07336880641668"/>
  </r>
  <r>
    <n v="210"/>
    <x v="204"/>
    <n v="23.54"/>
    <n v="151.45067461750688"/>
    <n v="69.447091937686366"/>
    <n v="5816.8606797370712"/>
    <n v="122783.06012079785"/>
    <n v="227.84478982089431"/>
  </r>
  <r>
    <n v="211"/>
    <x v="205"/>
    <n v="22.06"/>
    <n v="140.92326052169548"/>
    <n v="69.034640358944344"/>
    <n v="5451.1447151656666"/>
    <n v="114248.3466168335"/>
    <n v="226.49160222660174"/>
  </r>
  <r>
    <n v="212"/>
    <x v="206"/>
    <n v="22.03"/>
    <n v="140.70986699272635"/>
    <n v="69.026279853969854"/>
    <n v="5443.7315537216518"/>
    <n v="114075.34566742883"/>
    <n v="226.46417274833908"/>
  </r>
  <r>
    <n v="213"/>
    <x v="207"/>
    <n v="22.06"/>
    <n v="140.92326052169548"/>
    <n v="69.034640358944344"/>
    <n v="5451.1447151656666"/>
    <n v="114248.3466168335"/>
    <n v="226.49160222660174"/>
  </r>
  <r>
    <n v="214"/>
    <x v="208"/>
    <n v="23.89"/>
    <n v="153.94026578881363"/>
    <n v="69.544631162388882"/>
    <n v="5903.3475632505797"/>
    <n v="124801.40453051915"/>
    <n v="228.16480040062567"/>
  </r>
  <r>
    <n v="215"/>
    <x v="209"/>
    <n v="23.77"/>
    <n v="153.08669167293704"/>
    <n v="69.511189142490878"/>
    <n v="5873.6949174745196"/>
    <n v="124109.40073290041"/>
    <n v="228.05508248757494"/>
  </r>
  <r>
    <n v="216"/>
    <x v="210"/>
    <n v="23.44"/>
    <n v="150.73936285427638"/>
    <n v="69.41922358777137"/>
    <n v="5792.1501415903558"/>
    <n v="122206.3902894489"/>
    <n v="227.75335822668535"/>
  </r>
  <r>
    <n v="217"/>
    <x v="211"/>
    <n v="22.2"/>
    <n v="141.91909699021818"/>
    <n v="69.073656048825342"/>
    <n v="5485.7394685710697"/>
    <n v="115055.68438072201"/>
    <n v="226.61960645849427"/>
  </r>
  <r>
    <n v="218"/>
    <x v="212"/>
    <n v="21.93"/>
    <n v="139.99712836858004"/>
    <n v="68.998086606243703"/>
    <n v="5419.0210155749355"/>
    <n v="113497.51906110974"/>
    <n v="226.37167521642951"/>
  </r>
  <r>
    <n v="219"/>
    <x v="213"/>
    <n v="22.06"/>
    <n v="140.92326052169548"/>
    <n v="69.034640358944344"/>
    <n v="5451.1447151656666"/>
    <n v="114248.3466168335"/>
    <n v="226.49160222660174"/>
  </r>
  <r>
    <n v="220"/>
    <x v="214"/>
    <n v="21.94"/>
    <n v="140.06968640581891"/>
    <n v="69.00119833904634"/>
    <n v="5421.4920693896074"/>
    <n v="113556.3428192148"/>
    <n v="226.38188431355098"/>
  </r>
  <r>
    <n v="221"/>
    <x v="215"/>
    <n v="21.09"/>
    <n v="133.81183531722053"/>
    <n v="68.71611278952669"/>
    <n v="5211.4524951425165"/>
    <n v="108483.02037691543"/>
    <n v="225.44656426919892"/>
  </r>
  <r>
    <n v="222"/>
    <x v="216"/>
    <n v="20.71"/>
    <n v="131.01372655589122"/>
    <n v="68.588553205773749"/>
    <n v="5117.5524501849941"/>
    <n v="106214.55668644658"/>
    <n v="225.02806169783267"/>
  </r>
  <r>
    <n v="223"/>
    <x v="217"/>
    <n v="20.51"/>
    <n v="129.54103773413897"/>
    <n v="68.521416582745886"/>
    <n v="5068.1313738915605"/>
    <n v="105020.62842830509"/>
    <n v="224.80779718658729"/>
  </r>
  <r>
    <n v="224"/>
    <x v="218"/>
    <n v="23.69"/>
    <n v="152.51764226235264"/>
    <n v="69.488894462558875"/>
    <n v="5853.9264869571471"/>
    <n v="123648.06486782126"/>
    <n v="227.98193721220775"/>
  </r>
  <r>
    <n v="225"/>
    <x v="219"/>
    <n v="23.51"/>
    <n v="151.23728108853774"/>
    <n v="69.438731432711876"/>
    <n v="5809.4475182930573"/>
    <n v="122610.05917139316"/>
    <n v="227.81736034263164"/>
  </r>
  <r>
    <n v="226"/>
    <x v="220"/>
    <n v="22.62"/>
    <n v="144.9066063957863"/>
    <n v="69.190703118468349"/>
    <n v="5589.5237287872806"/>
    <n v="117477.69767238759"/>
    <n v="227.00361915417187"/>
  </r>
  <r>
    <n v="227"/>
    <x v="221"/>
    <n v="22.09"/>
    <n v="141.13665405066465"/>
    <n v="69.043000863918849"/>
    <n v="5458.5578766096824"/>
    <n v="114421.34756623818"/>
    <n v="226.51903170486443"/>
  </r>
  <r>
    <n v="228"/>
    <x v="222"/>
    <n v="22.03"/>
    <n v="140.70986699272635"/>
    <n v="69.026279853969854"/>
    <n v="5443.7315537216518"/>
    <n v="114075.34566742883"/>
    <n v="226.46417274833908"/>
  </r>
  <r>
    <n v="229"/>
    <x v="223"/>
    <n v="22.08"/>
    <n v="141.06552287434158"/>
    <n v="69.040214028927352"/>
    <n v="5456.0868227950095"/>
    <n v="114363.68058310328"/>
    <n v="226.50988854544354"/>
  </r>
  <r>
    <n v="230"/>
    <x v="224"/>
    <n v="21.8"/>
    <n v="139.03988063444109"/>
    <n v="68.954447801275592"/>
    <n v="5386.8973159842044"/>
    <n v="112721.46569331779"/>
    <n v="226.22850328411999"/>
  </r>
  <r>
    <n v="231"/>
    <x v="225"/>
    <n v="21.05"/>
    <n v="133.51729755287008"/>
    <n v="68.702685464921117"/>
    <n v="5201.5682798838307"/>
    <n v="108244.23472528713"/>
    <n v="225.40251136694982"/>
  </r>
  <r>
    <n v="232"/>
    <x v="226"/>
    <n v="20.309999999999999"/>
    <n v="128.06834891238668"/>
    <n v="68.454279959718022"/>
    <n v="5018.7102975981279"/>
    <n v="103826.70017016357"/>
    <n v="224.58753267534189"/>
  </r>
  <r>
    <n v="233"/>
    <x v="227"/>
    <n v="20.56"/>
    <n v="129.90920993957701"/>
    <n v="68.538200738502852"/>
    <n v="5080.4866429649182"/>
    <n v="105319.11049284044"/>
    <n v="224.86286331439862"/>
  </r>
  <r>
    <n v="234"/>
    <x v="228"/>
    <n v="18.98"/>
    <n v="118.27496824773412"/>
    <n v="68.007821416582743"/>
    <n v="4690.0601402467983"/>
    <n v="95887.077253522584"/>
    <n v="223.1227736755601"/>
  </r>
  <r>
    <n v="235"/>
    <x v="229"/>
    <n v="18.54"/>
    <n v="114.79757999999998"/>
    <n v="67.82561205273069"/>
    <n v="4581.3337724012454"/>
    <n v="93067.912721154484"/>
    <n v="222.52497392539169"/>
  </r>
  <r>
    <n v="236"/>
    <x v="230"/>
    <n v="18.5"/>
    <n v="114.48024666666666"/>
    <n v="67.808872148985145"/>
    <n v="4571.4495571425587"/>
    <n v="92810.646400991813"/>
    <n v="222.47005298134485"/>
  </r>
  <r>
    <n v="237"/>
    <x v="231"/>
    <n v="18.21"/>
    <n v="112.17957999999999"/>
    <n v="67.687507846829874"/>
    <n v="4499.7889965170807"/>
    <n v="90945.465579812459"/>
    <n v="222.07187613700501"/>
  </r>
  <r>
    <n v="238"/>
    <x v="232"/>
    <n v="18.059999999999999"/>
    <n v="110.98957999999998"/>
    <n v="67.624733207784061"/>
    <n v="4462.7231892970049"/>
    <n v="89980.716879202446"/>
    <n v="221.86592259682928"/>
  </r>
  <r>
    <n v="239"/>
    <x v="233"/>
    <n v="18.03"/>
    <n v="110.75157999999999"/>
    <n v="67.612178279974884"/>
    <n v="4455.310027852991"/>
    <n v="89787.767139080461"/>
    <n v="221.8247318887941"/>
  </r>
  <r>
    <n v="240"/>
    <x v="234"/>
    <n v="17.98"/>
    <n v="110.35491333333333"/>
    <n v="67.591253400292942"/>
    <n v="4442.9547587796324"/>
    <n v="89466.184238877118"/>
    <n v="221.75608070873551"/>
  </r>
  <r>
    <n v="241"/>
    <x v="235"/>
    <n v="17.73"/>
    <n v="108.37157999999999"/>
    <n v="67.486629001883244"/>
    <n v="4381.178413412842"/>
    <n v="87858.269737860435"/>
    <n v="221.41282480844259"/>
  </r>
  <r>
    <n v="242"/>
    <x v="236"/>
    <n v="17.04"/>
    <n v="102.89757999999999"/>
    <n v="67.197865662272449"/>
    <n v="4210.675700200497"/>
    <n v="83420.425715054385"/>
    <n v="220.46543852363405"/>
  </r>
  <r>
    <n v="243"/>
    <x v="237"/>
    <n v="16.89"/>
    <n v="101.70758000000001"/>
    <n v="67.135091023226622"/>
    <n v="4173.609892980422"/>
    <n v="82455.677014444387"/>
    <n v="220.25948498345829"/>
  </r>
  <r>
    <n v="244"/>
    <x v="238"/>
    <n v="16.89"/>
    <n v="101.70758000000001"/>
    <n v="67.135091023226622"/>
    <n v="4173.609892980422"/>
    <n v="82455.677014444387"/>
    <n v="220.25948498345829"/>
  </r>
  <r>
    <n v="245"/>
    <x v="239"/>
    <n v="16.82"/>
    <n v="101.15224666666667"/>
    <n v="67.105796191671899"/>
    <n v="4156.3125162777205"/>
    <n v="82005.460954159716"/>
    <n v="220.16337333137625"/>
  </r>
  <r>
    <n v="246"/>
    <x v="240"/>
    <n v="16.86"/>
    <n v="101.46957999999999"/>
    <n v="67.122536095417445"/>
    <n v="4166.1967315364072"/>
    <n v="82262.727274322358"/>
    <n v="220.21829427542309"/>
  </r>
  <r>
    <n v="247"/>
    <x v="241"/>
    <n v="16.79"/>
    <n v="100.91424666666666"/>
    <n v="67.093241263862737"/>
    <n v="4148.8993548337057"/>
    <n v="81812.511214037688"/>
    <n v="220.1221826233411"/>
  </r>
  <r>
    <n v="248"/>
    <x v="242"/>
    <n v="16.77"/>
    <n v="100.75557999999999"/>
    <n v="67.084871311989957"/>
    <n v="4143.9572472043619"/>
    <n v="81683.87805395636"/>
    <n v="220.09472215131765"/>
  </r>
  <r>
    <n v="249"/>
    <x v="243"/>
    <n v="16.72"/>
    <n v="100.35891333333332"/>
    <n v="67.063946432308015"/>
    <n v="4131.6019781310042"/>
    <n v="81362.295153753017"/>
    <n v="220.02607097125906"/>
  </r>
  <r>
    <n v="250"/>
    <x v="244"/>
    <n v="15.88"/>
    <n v="93.593593064091309"/>
    <n v="66.664813188957169"/>
    <n v="3924.0334576985861"/>
    <n v="75877.5607512641"/>
    <n v="218.71657870305287"/>
  </r>
  <r>
    <n v="251"/>
    <x v="245"/>
    <n v="15.9"/>
    <n v="93.75520851624232"/>
    <n v="66.674568334796604"/>
    <n v="3928.975565327929"/>
    <n v="76008.58453064326"/>
    <n v="218.74858377470443"/>
  </r>
  <r>
    <n v="252"/>
    <x v="246"/>
    <n v="15.89"/>
    <n v="93.674400790166814"/>
    <n v="66.669690761876893"/>
    <n v="3926.5045115132571"/>
    <n v="75943.072640953673"/>
    <n v="218.73258123887868"/>
  </r>
  <r>
    <n v="253"/>
    <x v="247"/>
    <n v="15.83"/>
    <n v="93.189554433713781"/>
    <n v="66.640425324358603"/>
    <n v="3911.6781886252274"/>
    <n v="75550.001302816236"/>
    <n v="218.63656602392402"/>
  </r>
  <r>
    <n v="254"/>
    <x v="248"/>
    <n v="15.77"/>
    <n v="92.704708077260747"/>
    <n v="66.611159886840312"/>
    <n v="3896.8518657371969"/>
    <n v="75156.929964678784"/>
    <n v="218.54055080896939"/>
  </r>
  <r>
    <n v="255"/>
    <x v="249"/>
    <n v="15.75"/>
    <n v="92.54309262510975"/>
    <n v="66.601404741000877"/>
    <n v="3891.909758107854"/>
    <n v="75025.906185299653"/>
    <n v="218.50854573731783"/>
  </r>
  <r>
    <n v="256"/>
    <x v="250"/>
    <n v="15.72"/>
    <n v="92.300669446883234"/>
    <n v="66.586772022241732"/>
    <n v="3884.4965966638392"/>
    <n v="74829.37051623092"/>
    <n v="218.4605381298405"/>
  </r>
  <r>
    <n v="257"/>
    <x v="251"/>
    <n v="15.65"/>
    <n v="91.735015364354695"/>
    <n v="66.552629011803731"/>
    <n v="3867.1992199611373"/>
    <n v="74370.78728840391"/>
    <n v="218.34852037906012"/>
  </r>
  <r>
    <n v="258"/>
    <x v="252"/>
    <n v="15.67"/>
    <n v="91.896630816505706"/>
    <n v="66.562384157643152"/>
    <n v="3872.1413275904806"/>
    <n v="74501.811067783041"/>
    <n v="218.38052545071164"/>
  </r>
  <r>
    <n v="259"/>
    <x v="253"/>
    <n v="16.53"/>
    <n v="98.846095258999128"/>
    <n v="66.981855428738655"/>
    <n v="4084.651955652243"/>
    <n v="80135.833581086423"/>
    <n v="219.75674353172812"/>
  </r>
  <r>
    <n v="260"/>
    <x v="254"/>
    <n v="15.63"/>
    <n v="91.573399912203698"/>
    <n v="66.542873865964296"/>
    <n v="3862.2571123317944"/>
    <n v="74239.763509024764"/>
    <n v="218.31651530740857"/>
  </r>
  <r>
    <n v="261"/>
    <x v="255"/>
    <n v="15.62"/>
    <n v="91.492592186128178"/>
    <n v="66.537996293044586"/>
    <n v="3859.786058517122"/>
    <n v="74174.251619335177"/>
    <n v="218.30051277158279"/>
  </r>
  <r>
    <n v="262"/>
    <x v="256"/>
    <n v="15.5"/>
    <n v="90.522899473222125"/>
    <n v="66.479465418008004"/>
    <n v="3830.1334127410628"/>
    <n v="73388.108943060288"/>
    <n v="218.10848234167352"/>
  </r>
  <r>
    <n v="263"/>
    <x v="257"/>
    <n v="16.16"/>
    <n v="95.85620939420545"/>
    <n v="66.801385230709201"/>
    <n v="3993.2229645093921"/>
    <n v="77711.893662572184"/>
    <n v="219.16464970617454"/>
  </r>
  <r>
    <n v="264"/>
    <x v="258"/>
    <n v="15.14"/>
    <n v="87.613821334503953"/>
    <n v="66.303872792898261"/>
    <n v="3741.1754754128833"/>
    <n v="71029.680914235636"/>
    <n v="217.53239105194569"/>
  </r>
  <r>
    <n v="265"/>
    <x v="259"/>
    <n v="15.49"/>
    <n v="90.44209174714662"/>
    <n v="66.47458784508828"/>
    <n v="3827.6623589263913"/>
    <n v="73322.597053370715"/>
    <n v="218.09247980584772"/>
  </r>
  <r>
    <n v="266"/>
    <x v="260"/>
    <n v="16.27"/>
    <n v="96.745094381035997"/>
    <n v="66.855038532826072"/>
    <n v="4020.4045564707799"/>
    <n v="78432.524449157499"/>
    <n v="219.34067760025806"/>
  </r>
  <r>
    <n v="267"/>
    <x v="261"/>
    <n v="15.11"/>
    <n v="87.371398156277436"/>
    <n v="66.289240074139101"/>
    <n v="3733.7623139688681"/>
    <n v="70833.145245166917"/>
    <n v="217.48438344446834"/>
  </r>
  <r>
    <n v="268"/>
    <x v="262"/>
    <n v="15.9"/>
    <n v="93.75520851624232"/>
    <n v="66.674568334796604"/>
    <n v="3928.975565327929"/>
    <n v="76008.58453064326"/>
    <n v="218.74858377470443"/>
  </r>
  <r>
    <n v="269"/>
    <x v="263"/>
    <n v="15.03"/>
    <n v="86.724936347673392"/>
    <n v="66.25021949078139"/>
    <n v="3713.9938834514946"/>
    <n v="70309.05012765032"/>
    <n v="217.35636315786218"/>
  </r>
  <r>
    <n v="270"/>
    <x v="264"/>
    <n v="15.93"/>
    <n v="93.997631694468822"/>
    <n v="66.689201053555749"/>
    <n v="3936.3887267719438"/>
    <n v="76205.120199711964"/>
    <n v="218.79659138218173"/>
  </r>
  <r>
    <n v="271"/>
    <x v="265"/>
    <n v="14.93"/>
    <n v="85.91685908691835"/>
    <n v="66.20144376158423"/>
    <n v="3689.2833453047783"/>
    <n v="69653.931230754592"/>
    <n v="217.19633779960441"/>
  </r>
  <r>
    <n v="272"/>
    <x v="266"/>
    <n v="15.81"/>
    <n v="93.027938981562784"/>
    <n v="66.630670178519168"/>
    <n v="3906.7360809958836"/>
    <n v="75418.977523437105"/>
    <n v="218.60456095227246"/>
  </r>
  <r>
    <n v="273"/>
    <x v="267"/>
    <n v="14.95"/>
    <n v="86.078474539069347"/>
    <n v="66.211198907423665"/>
    <n v="3694.2254529341212"/>
    <n v="69784.955010133708"/>
    <n v="217.22834287125599"/>
  </r>
  <r>
    <n v="274"/>
    <x v="268"/>
    <n v="14.62"/>
    <n v="83.411819578577692"/>
    <n v="66.050239001073066"/>
    <n v="3612.680677049957"/>
    <n v="67623.062650377775"/>
    <n v="216.70025918900546"/>
  </r>
  <r>
    <n v="275"/>
    <x v="269"/>
    <n v="14.95"/>
    <n v="86.078474539069347"/>
    <n v="66.211198907423665"/>
    <n v="3694.2254529341212"/>
    <n v="69784.955010133708"/>
    <n v="217.22834287125599"/>
  </r>
  <r>
    <n v="276"/>
    <x v="270"/>
    <n v="14.83"/>
    <n v="85.108781826163295"/>
    <n v="66.152668032387083"/>
    <n v="3664.572807158062"/>
    <n v="68998.812333858834"/>
    <n v="217.03631244134669"/>
  </r>
  <r>
    <n v="277"/>
    <x v="271"/>
    <n v="14.46"/>
    <n v="82.12991075794622"/>
    <n v="65.969030154849222"/>
    <n v="3573.1438160152111"/>
    <n v="66583.802256256167"/>
    <n v="216.43382596648738"/>
  </r>
  <r>
    <n v="278"/>
    <x v="272"/>
    <n v="14.47"/>
    <n v="82.20878606356969"/>
    <n v="65.974463461016029"/>
    <n v="3575.6148698298825"/>
    <n v="66647.747507189328"/>
    <n v="216.45165177412119"/>
  </r>
  <r>
    <n v="279"/>
    <x v="273"/>
    <n v="14.47"/>
    <n v="82.20878606356969"/>
    <n v="65.974463461016029"/>
    <n v="3575.6148698298825"/>
    <n v="66647.747507189328"/>
    <n v="216.45165177412119"/>
  </r>
  <r>
    <n v="280"/>
    <x v="273"/>
    <n v="14.49"/>
    <n v="82.366536674816629"/>
    <n v="65.98533007334963"/>
    <n v="3580.5569774592259"/>
    <n v="66775.638009055649"/>
    <n v="216.48730338938876"/>
  </r>
  <r>
    <n v="281"/>
    <x v="274"/>
    <n v="15.59"/>
    <n v="91.250169007901661"/>
    <n v="66.52336357428544"/>
    <n v="3852.3728970731072"/>
    <n v="73977.715950266444"/>
    <n v="218.25250516410549"/>
  </r>
  <r>
    <n v="282"/>
    <x v="275"/>
    <n v="14.44"/>
    <n v="81.972160146699267"/>
    <n v="65.958163542515621"/>
    <n v="3568.2017083858673"/>
    <n v="66455.911754389832"/>
    <n v="216.39817435121978"/>
  </r>
  <r>
    <n v="283"/>
    <x v="276"/>
    <n v="15.03"/>
    <n v="86.724936347673392"/>
    <n v="66.25021949078139"/>
    <n v="3713.9938834514946"/>
    <n v="70309.05012765032"/>
    <n v="217.35636315786218"/>
  </r>
  <r>
    <n v="284"/>
    <x v="277"/>
    <n v="15.81"/>
    <n v="93.027938981562784"/>
    <n v="66.630670178519168"/>
    <n v="3906.7360809958836"/>
    <n v="75418.977523437105"/>
    <n v="218.60456095227246"/>
  </r>
  <r>
    <n v="285"/>
    <x v="278"/>
    <n v="14.68"/>
    <n v="83.896665935030725"/>
    <n v="66.079504438591357"/>
    <n v="3627.5069999379871"/>
    <n v="68016.133988515227"/>
    <n v="216.79627440396013"/>
  </r>
  <r>
    <n v="286"/>
    <x v="279"/>
    <n v="14.93"/>
    <n v="85.91685908691835"/>
    <n v="66.20144376158423"/>
    <n v="3689.2833453047783"/>
    <n v="69653.931230754592"/>
    <n v="217.19633779960441"/>
  </r>
  <r>
    <n v="287"/>
    <x v="280"/>
    <n v="14.63"/>
    <n v="83.492627304653212"/>
    <n v="66.055116573992777"/>
    <n v="3615.1517308646289"/>
    <n v="67688.574540067362"/>
    <n v="216.71626172483124"/>
  </r>
  <r>
    <n v="288"/>
    <x v="281"/>
    <n v="14.56"/>
    <n v="82.926973222124673"/>
    <n v="66.020973563554776"/>
    <n v="3597.8543541619274"/>
    <n v="67229.991312240352"/>
    <n v="216.60424397405083"/>
  </r>
  <r>
    <n v="289"/>
    <x v="282"/>
    <n v="14.53"/>
    <n v="82.684550043898156"/>
    <n v="66.006340844795631"/>
    <n v="3590.4411927179121"/>
    <n v="67033.455643171619"/>
    <n v="216.55623636657353"/>
  </r>
  <r>
    <n v="290"/>
    <x v="283"/>
    <n v="14.24"/>
    <n v="80.394654034229831"/>
    <n v="65.849497419179571"/>
    <n v="3518.7806320924342"/>
    <n v="65177.006735726602"/>
    <n v="216.04165819854387"/>
  </r>
  <r>
    <n v="291"/>
    <x v="284"/>
    <n v="14.47"/>
    <n v="82.20878606356969"/>
    <n v="65.974463461016029"/>
    <n v="3575.6148698298825"/>
    <n v="66647.747507189328"/>
    <n v="216.45165177412119"/>
  </r>
  <r>
    <n v="292"/>
    <x v="284"/>
    <n v="14.44"/>
    <n v="81.972160146699267"/>
    <n v="65.958163542515621"/>
    <n v="3568.2017083858673"/>
    <n v="66455.911754389832"/>
    <n v="216.39817435121978"/>
  </r>
  <r>
    <n v="293"/>
    <x v="285"/>
    <n v="14.32"/>
    <n v="81.025656479217602"/>
    <n v="65.892963868513988"/>
    <n v="3538.5490626098076"/>
    <n v="65688.568743191892"/>
    <n v="216.18426465961423"/>
  </r>
  <r>
    <n v="294"/>
    <x v="286"/>
    <n v="14.35"/>
    <n v="81.262282396088011"/>
    <n v="65.909263787014396"/>
    <n v="3545.9622240538224"/>
    <n v="65880.404495991374"/>
    <n v="216.23774208251564"/>
  </r>
  <r>
    <n v="295"/>
    <x v="287"/>
    <n v="14.01"/>
    <n v="78.580522004889971"/>
    <n v="65.724531377343112"/>
    <n v="3461.9463943549863"/>
    <n v="63706.26596426389"/>
    <n v="215.63166462296658"/>
  </r>
  <r>
    <n v="296"/>
    <x v="288"/>
    <n v="14"/>
    <n v="78.501646699266502"/>
    <n v="65.719098071176305"/>
    <n v="3459.4753405403148"/>
    <n v="63642.32071333073"/>
    <n v="215.61383881533277"/>
  </r>
  <r>
    <n v="297"/>
    <x v="289"/>
    <n v="15.87"/>
    <n v="93.512785338015789"/>
    <n v="66.659935616037458"/>
    <n v="3921.5624038839132"/>
    <n v="75812.048861574513"/>
    <n v="218.7005761672271"/>
  </r>
  <r>
    <n v="298"/>
    <x v="290"/>
    <n v="15.07"/>
    <n v="87.048167251975414"/>
    <n v="66.269729782460246"/>
    <n v="3723.8780987101813"/>
    <n v="70571.097686408611"/>
    <n v="217.42037330116526"/>
  </r>
  <r>
    <n v="299"/>
    <x v="291"/>
    <n v="14.68"/>
    <n v="83.896665935030725"/>
    <n v="66.079504438591357"/>
    <n v="3627.5069999379871"/>
    <n v="68016.133988515227"/>
    <n v="216.79627440396013"/>
  </r>
  <r>
    <n v="300"/>
    <x v="292"/>
    <n v="14.75"/>
    <n v="84.462320017559264"/>
    <n v="66.113647449029358"/>
    <n v="3644.8043766406886"/>
    <n v="68474.717216342236"/>
    <n v="216.90829215474051"/>
  </r>
  <r>
    <n v="301"/>
    <x v="293"/>
    <n v="14.6"/>
    <n v="83.250204126426681"/>
    <n v="66.040483855233632"/>
    <n v="3607.7385694206137"/>
    <n v="67492.038870998629"/>
    <n v="216.66825411735391"/>
  </r>
  <r>
    <n v="302"/>
    <x v="294"/>
    <n v="14.41"/>
    <n v="81.735534229828858"/>
    <n v="65.941863624015213"/>
    <n v="3560.7885469418525"/>
    <n v="66264.076001590351"/>
    <n v="216.3446969283184"/>
  </r>
  <r>
    <n v="303"/>
    <x v="295"/>
    <n v="14.38"/>
    <n v="81.498908312958434"/>
    <n v="65.925563705514804"/>
    <n v="3553.3753854978377"/>
    <n v="66072.240248790855"/>
    <n v="216.29121950541702"/>
  </r>
  <r>
    <n v="304"/>
    <x v="296"/>
    <n v="13.28"/>
    <n v="72.822624694376515"/>
    <n v="65.327900027166535"/>
    <n v="3281.5594658839555"/>
    <n v="59038.262646143099"/>
    <n v="214.33038066569955"/>
  </r>
  <r>
    <n v="305"/>
    <x v="297"/>
    <n v="13.3"/>
    <n v="72.980375305623468"/>
    <n v="65.338766639500136"/>
    <n v="3286.5015735132993"/>
    <n v="59166.153148009427"/>
    <n v="214.36603228096715"/>
  </r>
  <r>
    <n v="306"/>
    <x v="298"/>
    <n v="12.97"/>
    <n v="70.377490220048898"/>
    <n v="65.15946753599566"/>
    <n v="3204.9567976291341"/>
    <n v="57055.959867215104"/>
    <n v="213.77778062905193"/>
  </r>
  <r>
    <n v="307"/>
    <x v="299"/>
    <n v="13.18"/>
    <n v="72.033871638141804"/>
    <n v="65.273566965498503"/>
    <n v="3256.8489277372391"/>
    <n v="58398.810136811488"/>
    <n v="214.1521225893616"/>
  </r>
  <r>
    <n v="308"/>
    <x v="300"/>
    <n v="14.36"/>
    <n v="81.341157701711481"/>
    <n v="65.914697093181204"/>
    <n v="3548.4332778684939"/>
    <n v="65944.349746924534"/>
    <n v="216.25556789014945"/>
  </r>
  <r>
    <n v="309"/>
    <x v="300"/>
    <n v="14.18"/>
    <n v="79.921402200488998"/>
    <n v="65.816897582178754"/>
    <n v="3503.9543092044046"/>
    <n v="64793.335230127632"/>
    <n v="215.93470335274111"/>
  </r>
  <r>
    <n v="310"/>
    <x v="301"/>
    <n v="14.68"/>
    <n v="83.896665935030725"/>
    <n v="66.079504438591357"/>
    <n v="3627.5069999379871"/>
    <n v="68016.133988515227"/>
    <n v="216.79627440396013"/>
  </r>
  <r>
    <n v="311"/>
    <x v="302"/>
    <n v="14.65"/>
    <n v="83.654242756804223"/>
    <n v="66.064871719832212"/>
    <n v="3620.0938384939723"/>
    <n v="67819.598319446508"/>
    <n v="216.7482667964828"/>
  </r>
  <r>
    <n v="312"/>
    <x v="303"/>
    <n v="14.04"/>
    <n v="78.81714792176038"/>
    <n v="65.74083129584352"/>
    <n v="3469.3595557990011"/>
    <n v="63898.101717063364"/>
    <n v="215.68514204586799"/>
  </r>
  <r>
    <n v="313"/>
    <x v="304"/>
    <n v="13.94"/>
    <n v="78.028394865525669"/>
    <n v="65.686498234175502"/>
    <n v="3444.6490176522848"/>
    <n v="63258.64920773176"/>
    <n v="215.50688396953007"/>
  </r>
  <r>
    <n v="314"/>
    <x v="304"/>
    <n v="13.96"/>
    <n v="78.186145476772623"/>
    <n v="65.697364846509103"/>
    <n v="3449.5911252816281"/>
    <n v="63386.539709598095"/>
    <n v="215.54253558479763"/>
  </r>
  <r>
    <n v="315"/>
    <x v="305"/>
    <n v="13.95"/>
    <n v="78.107270171149139"/>
    <n v="65.691931540342296"/>
    <n v="3447.1200714669562"/>
    <n v="63322.59445866492"/>
    <n v="215.52470977716382"/>
  </r>
  <r>
    <n v="316"/>
    <x v="306"/>
    <n v="13.5"/>
    <n v="74.557881418092904"/>
    <n v="65.447432762836186"/>
    <n v="3335.9226498067324"/>
    <n v="60445.058166672658"/>
    <n v="214.72254843364306"/>
  </r>
  <r>
    <n v="317"/>
    <x v="307"/>
    <n v="13.46"/>
    <n v="74.242380195599026"/>
    <n v="65.425699538168971"/>
    <n v="3326.0384345480456"/>
    <n v="60189.277162940016"/>
    <n v="214.65124520310783"/>
  </r>
  <r>
    <n v="318"/>
    <x v="308"/>
    <n v="13.36"/>
    <n v="73.453627139364301"/>
    <n v="65.371366476500953"/>
    <n v="3301.3278964013289"/>
    <n v="59549.824653608397"/>
    <n v="214.47298712676991"/>
  </r>
  <r>
    <n v="319"/>
    <x v="309"/>
    <n v="13.44"/>
    <n v="74.084629584352072"/>
    <n v="65.41483292583537"/>
    <n v="3321.0963269187023"/>
    <n v="60061.38666107368"/>
    <n v="214.61559358784027"/>
  </r>
  <r>
    <n v="320"/>
    <x v="310"/>
    <n v="14.43"/>
    <n v="81.893284841075797"/>
    <n v="65.952730236348813"/>
    <n v="3565.7306545711958"/>
    <n v="66391.966503456671"/>
    <n v="216.38034854358597"/>
  </r>
  <r>
    <n v="321"/>
    <x v="311"/>
    <n v="14.34"/>
    <n v="81.183407090464542"/>
    <n v="65.903830480847603"/>
    <n v="3543.4911702391505"/>
    <n v="65816.459245058199"/>
    <n v="216.21991627488185"/>
  </r>
  <r>
    <n v="322"/>
    <x v="312"/>
    <n v="14.03"/>
    <n v="78.738272616136911"/>
    <n v="65.735397989676713"/>
    <n v="3466.8885019843297"/>
    <n v="63834.156466130204"/>
    <n v="215.66731623823418"/>
  </r>
  <r>
    <n v="323"/>
    <x v="313"/>
    <n v="14.42"/>
    <n v="81.814409535452327"/>
    <n v="65.94729693018202"/>
    <n v="3563.2596007565239"/>
    <n v="66328.021252523511"/>
    <n v="216.36252273595221"/>
  </r>
  <r>
    <n v="324"/>
    <x v="314"/>
    <n v="14.16"/>
    <n v="79.763651589242059"/>
    <n v="65.806030969845153"/>
    <n v="3499.0122015750612"/>
    <n v="64665.444728261318"/>
    <n v="215.89905173747354"/>
  </r>
  <r>
    <n v="325"/>
    <x v="315"/>
    <n v="14.85"/>
    <n v="85.270397278314306"/>
    <n v="66.162423178226518"/>
    <n v="3669.5149147874054"/>
    <n v="69129.83611323798"/>
    <n v="217.06831751299828"/>
  </r>
  <r>
    <n v="326"/>
    <x v="315"/>
    <n v="14.34"/>
    <n v="81.183407090464542"/>
    <n v="65.903830480847603"/>
    <n v="3543.4911702391505"/>
    <n v="65816.459245058199"/>
    <n v="216.21991627488185"/>
  </r>
  <r>
    <n v="327"/>
    <x v="316"/>
    <n v="13.94"/>
    <n v="78.028394865525669"/>
    <n v="65.686498234175502"/>
    <n v="3444.6490176522848"/>
    <n v="63258.64920773176"/>
    <n v="215.50688396953007"/>
  </r>
  <r>
    <n v="328"/>
    <x v="317"/>
    <n v="14.23"/>
    <n v="80.315778728606361"/>
    <n v="65.844064113012763"/>
    <n v="3516.3095782777627"/>
    <n v="65113.061484793441"/>
    <n v="216.02383239091009"/>
  </r>
  <r>
    <n v="329"/>
    <x v="318"/>
    <n v="14.17"/>
    <n v="79.842526894865529"/>
    <n v="65.811464276011947"/>
    <n v="3501.4832553897331"/>
    <n v="64729.389979194471"/>
    <n v="215.9168775451073"/>
  </r>
  <r>
    <n v="330"/>
    <x v="319"/>
    <n v="13.95"/>
    <n v="78.107270171149139"/>
    <n v="65.691931540342296"/>
    <n v="3447.1200714669562"/>
    <n v="63322.59445866492"/>
    <n v="215.52470977716382"/>
  </r>
  <r>
    <n v="331"/>
    <x v="320"/>
    <n v="14.09"/>
    <n v="79.211524449877743"/>
    <n v="65.767997826677529"/>
    <n v="3481.7148248723597"/>
    <n v="64217.827971729173"/>
    <n v="215.77427108403694"/>
  </r>
  <r>
    <n v="332"/>
    <x v="321"/>
    <n v="13.42"/>
    <n v="73.926878973105133"/>
    <n v="65.403966313501769"/>
    <n v="3316.1542192893589"/>
    <n v="59933.496159207367"/>
    <n v="214.5799419725727"/>
  </r>
  <r>
    <n v="333"/>
    <x v="322"/>
    <n v="13.64"/>
    <n v="75.662135696821522"/>
    <n v="65.52349904917142"/>
    <n v="3370.5174032121349"/>
    <n v="61340.291679736925"/>
    <n v="214.97210974051617"/>
  </r>
  <r>
    <n v="334"/>
    <x v="323"/>
    <n v="13.85"/>
    <n v="77.318517114914414"/>
    <n v="65.637598478674278"/>
    <n v="3422.4095333202399"/>
    <n v="62683.141949333301"/>
    <n v="215.3464517008259"/>
  </r>
  <r>
    <n v="335"/>
    <x v="324"/>
    <n v="13.35"/>
    <n v="73.374751833740831"/>
    <n v="65.365933170334145"/>
    <n v="3298.8568425866574"/>
    <n v="59485.879402675237"/>
    <n v="214.4551613191361"/>
  </r>
  <r>
    <n v="336"/>
    <x v="325"/>
    <n v="13.75"/>
    <n v="76.529764058679703"/>
    <n v="65.583265417006245"/>
    <n v="3397.6989951735231"/>
    <n v="62043.689440001697"/>
    <n v="215.16819362448791"/>
  </r>
  <r>
    <n v="337"/>
    <x v="326"/>
    <n v="14.49"/>
    <n v="82.366536674816629"/>
    <n v="65.98533007334963"/>
    <n v="3580.5569774592259"/>
    <n v="66775.638009055649"/>
    <n v="216.48730338938876"/>
  </r>
  <r>
    <n v="338"/>
    <x v="326"/>
    <n v="14.09"/>
    <n v="79.211524449877743"/>
    <n v="65.767997826677529"/>
    <n v="3481.7148248723597"/>
    <n v="64217.827971729173"/>
    <n v="215.77427108403694"/>
  </r>
  <r>
    <n v="339"/>
    <x v="327"/>
    <n v="13.92"/>
    <n v="77.87064425427873"/>
    <n v="65.675631621841887"/>
    <n v="3439.7069100229414"/>
    <n v="63130.758705865446"/>
    <n v="215.47123235426244"/>
  </r>
  <r>
    <n v="340"/>
    <x v="328"/>
    <n v="14.37"/>
    <n v="81.420033007334951"/>
    <n v="65.920130399347997"/>
    <n v="3550.9043316831653"/>
    <n v="66008.294997857694"/>
    <n v="216.27339369778321"/>
  </r>
  <r>
    <n v="341"/>
    <x v="329"/>
    <n v="13.76"/>
    <n v="76.608639364303173"/>
    <n v="65.588698723173053"/>
    <n v="3400.170048988195"/>
    <n v="62107.63469093485"/>
    <n v="215.18601943212173"/>
  </r>
  <r>
    <n v="342"/>
    <x v="330"/>
    <n v="13.85"/>
    <n v="77.318517114914414"/>
    <n v="65.637598478674278"/>
    <n v="3422.4095333202399"/>
    <n v="62683.141949333301"/>
    <n v="215.3464517008259"/>
  </r>
  <r>
    <n v="343"/>
    <x v="331"/>
    <n v="13.89"/>
    <n v="77.634018337408321"/>
    <n v="65.659331703341479"/>
    <n v="3432.2937485789266"/>
    <n v="62938.92295306595"/>
    <n v="215.41775493136103"/>
  </r>
  <r>
    <n v="344"/>
    <x v="332"/>
    <n v="14.16"/>
    <n v="79.763651589242059"/>
    <n v="65.806030969845153"/>
    <n v="3499.0122015750612"/>
    <n v="64665.444728261318"/>
    <n v="215.89905173747354"/>
  </r>
  <r>
    <n v="345"/>
    <x v="333"/>
    <n v="13.72"/>
    <n v="76.293138141809294"/>
    <n v="65.566965498505837"/>
    <n v="3390.2858337295083"/>
    <n v="61851.853687202209"/>
    <n v="215.11471620158653"/>
  </r>
  <r>
    <n v="346"/>
    <x v="334"/>
    <n v="13.26"/>
    <n v="72.664874083129575"/>
    <n v="65.31703341483292"/>
    <n v="3276.6173582546121"/>
    <n v="58910.372144276778"/>
    <n v="214.29472905043195"/>
  </r>
  <r>
    <n v="347"/>
    <x v="335"/>
    <n v="14.17"/>
    <n v="79.842526894865529"/>
    <n v="65.811464276011947"/>
    <n v="3501.4832553897331"/>
    <n v="64729.389979194471"/>
    <n v="215.9168775451073"/>
  </r>
  <r>
    <n v="348"/>
    <x v="336"/>
    <n v="14.11"/>
    <n v="79.369275061124682"/>
    <n v="65.778864439011144"/>
    <n v="3486.6569325017031"/>
    <n v="64345.718473595494"/>
    <n v="215.80992269930456"/>
  </r>
  <r>
    <n v="349"/>
    <x v="337"/>
    <n v="13.8"/>
    <n v="76.924140586797066"/>
    <n v="65.610431947840254"/>
    <n v="3410.0542642468818"/>
    <n v="62363.415694667499"/>
    <n v="215.25732266265689"/>
  </r>
  <r>
    <n v="350"/>
    <x v="337"/>
    <n v="13.17"/>
    <n v="71.954996332518334"/>
    <n v="65.26813365933171"/>
    <n v="3254.3778739225672"/>
    <n v="58334.864885878327"/>
    <n v="214.13429678172781"/>
  </r>
  <r>
    <n v="351"/>
    <x v="338"/>
    <n v="13.82"/>
    <n v="77.081891198044005"/>
    <n v="65.621298560173869"/>
    <n v="3414.9963718762251"/>
    <n v="62491.30619653382"/>
    <n v="215.29297427792449"/>
  </r>
  <r>
    <n v="352"/>
    <x v="339"/>
    <n v="14.85"/>
    <n v="85.270397278314306"/>
    <n v="66.162423178226518"/>
    <n v="3669.5149147874054"/>
    <n v="69129.83611323798"/>
    <n v="217.06831751299828"/>
  </r>
  <r>
    <n v="353"/>
    <x v="340"/>
    <n v="12.92"/>
    <n v="69.983113691931536"/>
    <n v="65.132301005161636"/>
    <n v="3192.601528555776"/>
    <n v="56736.233612549295"/>
    <n v="213.6886515908829"/>
  </r>
  <r>
    <n v="354"/>
    <x v="341"/>
    <n v="13.3"/>
    <n v="72.980375305623468"/>
    <n v="65.338766639500136"/>
    <n v="3286.5015735132993"/>
    <n v="59166.153148009427"/>
    <n v="214.36603228096715"/>
  </r>
  <r>
    <n v="355"/>
    <x v="342"/>
    <n v="13.13"/>
    <n v="71.639495110024455"/>
    <n v="65.246400434664494"/>
    <n v="3244.493658663881"/>
    <n v="58079.083882145693"/>
    <n v="214.06299355119262"/>
  </r>
  <r>
    <n v="356"/>
    <x v="343"/>
    <n v="14.32"/>
    <n v="81.025656479217602"/>
    <n v="65.892963868513988"/>
    <n v="3538.5490626098076"/>
    <n v="65688.568743191892"/>
    <n v="216.18426465961423"/>
  </r>
  <r>
    <n v="357"/>
    <x v="344"/>
    <n v="27"/>
    <n v="175.83677969735183"/>
    <n v="70.344682639764613"/>
    <n v="6671.8452996134647"/>
    <n v="142553.19725417567"/>
    <n v="230.78964120565368"/>
  </r>
  <r>
    <n v="358"/>
    <x v="345"/>
    <n v="26.16"/>
    <n v="169.98997011349306"/>
    <n v="70.148521787866045"/>
    <n v="6464.2767791810447"/>
    <n v="137813.11158296396"/>
    <n v="230.14606885690765"/>
  </r>
  <r>
    <n v="359"/>
    <x v="346"/>
    <n v="26.69"/>
    <n v="173.67902854140397"/>
    <n v="70.27228994442109"/>
    <n v="6595.2426313586429"/>
    <n v="140803.8799231333"/>
    <n v="230.55213236266405"/>
  </r>
  <r>
    <n v="360"/>
    <x v="346"/>
    <n v="26.45"/>
    <n v="172.00851151744428"/>
    <n v="70.21624398673579"/>
    <n v="6535.9373398065227"/>
    <n v="139449.56973135847"/>
    <n v="230.36825454873664"/>
  </r>
  <r>
    <n v="361"/>
    <x v="347"/>
    <n v="46.64"/>
    <n v="315.90968565264296"/>
    <n v="73.981960925326618"/>
    <n v="11524.994991628591"/>
    <n v="256112.15020462562"/>
    <n v="242.72296891414268"/>
  </r>
  <r>
    <n v="362"/>
    <x v="348"/>
    <n v="49.97"/>
    <n v="339.25679254888348"/>
    <n v="74.412613932919385"/>
    <n v="12347.855911914252"/>
    <n v="275039.9578022316"/>
    <n v="244.13587248235478"/>
  </r>
  <r>
    <n v="363"/>
    <x v="349"/>
    <n v="63.01"/>
    <n v="434.193066302619"/>
    <n v="75.997997148882533"/>
    <n v="15570.110086246086"/>
    <n v="352006.04750363721"/>
    <n v="249.33726098615008"/>
  </r>
  <r>
    <n v="364"/>
    <x v="350"/>
    <n v="60.42"/>
    <n v="414.96099123104659"/>
    <n v="75.692856890396925"/>
    <n v="14930.10714824613"/>
    <n v="336414.35049915512"/>
    <n v="248.3361446525399"/>
  </r>
  <r>
    <n v="365"/>
    <x v="351"/>
    <n v="59.85"/>
    <n v="410.72844961297847"/>
    <n v="75.62570247057576"/>
    <n v="14789.257080809844"/>
    <n v="332982.97316612233"/>
    <n v="248.11582175286503"/>
  </r>
  <r>
    <n v="366"/>
    <x v="352"/>
    <n v="58.17"/>
    <n v="398.25359010709366"/>
    <n v="75.427773654260776"/>
    <n v="14374.120039945008"/>
    <n v="322869.43997402582"/>
    <n v="247.46644899592872"/>
  </r>
  <r>
    <n v="367"/>
    <x v="353"/>
    <n v="62.91"/>
    <n v="433.45051514155443"/>
    <n v="75.986215671720913"/>
    <n v="15545.399548099369"/>
    <n v="351404.05148029811"/>
    <n v="249.2986078458562"/>
  </r>
  <r>
    <n v="368"/>
    <x v="354"/>
    <n v="55.99"/>
    <n v="382.06597479588595"/>
    <n v="75.17093745213775"/>
    <n v="13835.430308346587"/>
    <n v="309745.92666523397"/>
    <n v="246.62381053752318"/>
  </r>
  <r>
    <n v="369"/>
    <x v="355"/>
    <n v="55.16"/>
    <n v="375.90280015904995"/>
    <n v="75.073151191696411"/>
    <n v="13630.332841728839"/>
    <n v="304749.35967151955"/>
    <n v="246.30298947308438"/>
  </r>
  <r>
    <n v="370"/>
    <x v="356"/>
    <n v="55.99"/>
    <n v="382.06597479588595"/>
    <n v="75.17093745213775"/>
    <n v="13835.430308346587"/>
    <n v="309745.92666523397"/>
    <n v="246.62381053752318"/>
  </r>
  <r>
    <n v="371"/>
    <x v="357"/>
    <n v="55"/>
    <n v="374.71471830134664"/>
    <n v="75.054300828237842"/>
    <n v="13590.795980694093"/>
    <n v="303786.16603417706"/>
    <n v="246.24114444861428"/>
  </r>
  <r>
    <n v="372"/>
    <x v="358"/>
    <n v="56.55"/>
    <n v="386.22426129784753"/>
    <n v="75.23691372424274"/>
    <n v="13973.8093219682"/>
    <n v="313117.10439593275"/>
    <n v="246.84026812316861"/>
  </r>
  <r>
    <n v="373"/>
    <x v="359"/>
    <n v="58.79"/>
    <n v="402.85740730569398"/>
    <n v="75.500818812662729"/>
    <n v="14527.32537645465"/>
    <n v="326601.8153187281"/>
    <n v="247.70609846575042"/>
  </r>
  <r>
    <n v="374"/>
    <x v="360"/>
    <n v="59.32"/>
    <n v="406.79292845933622"/>
    <n v="75.563260641619252"/>
    <n v="14658.291228632248"/>
    <n v="329792.39424242522"/>
    <n v="247.91096010930775"/>
  </r>
  <r>
    <n v="375"/>
    <x v="361"/>
    <n v="59.82"/>
    <n v="410.50568426465912"/>
    <n v="75.622168027427279"/>
    <n v="14781.843919365831"/>
    <n v="332802.37435912061"/>
    <n v="248.10422581077688"/>
  </r>
  <r>
    <n v="376"/>
    <x v="362"/>
    <n v="59.24"/>
    <n v="406.19888753048463"/>
    <n v="75.553835459889967"/>
    <n v="14638.522798114876"/>
    <n v="329310.797423754"/>
    <n v="247.88003759707269"/>
  </r>
  <r>
    <n v="377"/>
    <x v="363"/>
    <n v="58.54"/>
    <n v="401.00102940303253"/>
    <n v="75.471365119758715"/>
    <n v="14465.549031087859"/>
    <n v="325096.8252603804"/>
    <n v="247.60946561501586"/>
  </r>
  <r>
    <n v="378"/>
    <x v="364"/>
    <n v="57.14"/>
    <n v="390.60531314812852"/>
    <n v="75.306424439496226"/>
    <n v="14119.601497033827"/>
    <n v="316668.88093363331"/>
    <n v="247.06832165090225"/>
  </r>
  <r>
    <n v="379"/>
    <x v="364"/>
    <n v="57.71"/>
    <n v="394.83785476619659"/>
    <n v="75.373578859317377"/>
    <n v="14260.451564470111"/>
    <n v="320100.25826666609"/>
    <n v="247.28864455057706"/>
  </r>
  <r>
    <n v="380"/>
    <x v="365"/>
    <n v="57.7"/>
    <n v="394.76359965009016"/>
    <n v="75.372400711601216"/>
    <n v="14257.98051065544"/>
    <n v="320040.0586643322"/>
    <n v="247.28477923654768"/>
  </r>
  <r>
    <n v="381"/>
    <x v="366"/>
    <n v="57.78"/>
    <n v="395.35764057894181"/>
    <n v="75.3818258933305"/>
    <n v="14277.748941172813"/>
    <n v="320521.65548300341"/>
    <n v="247.31570174878274"/>
  </r>
  <r>
    <n v="382"/>
    <x v="367"/>
    <n v="57.66"/>
    <n v="394.46657918566427"/>
    <n v="75.367688120736574"/>
    <n v="14248.096295396752"/>
    <n v="319799.26025499648"/>
    <n v="247.26931798043015"/>
  </r>
  <r>
    <n v="383"/>
    <x v="368"/>
    <n v="61.28"/>
    <n v="421.34693121620188"/>
    <n v="75.794177593986731"/>
    <n v="15142.617776307892"/>
    <n v="341591.51629987115"/>
    <n v="248.6685616590668"/>
  </r>
  <r>
    <n v="384"/>
    <x v="369"/>
    <n v="59.69"/>
    <n v="409.54036775527516"/>
    <n v="75.606852107117192"/>
    <n v="14749.720219775098"/>
    <n v="332019.77952877979"/>
    <n v="248.0539767283949"/>
  </r>
  <r>
    <n v="385"/>
    <x v="370"/>
    <n v="58.91"/>
    <n v="403.74846869897146"/>
    <n v="75.514956585256655"/>
    <n v="14556.978022230709"/>
    <n v="327324.21054673498"/>
    <n v="247.75248223410301"/>
  </r>
  <r>
    <n v="386"/>
    <x v="371"/>
    <n v="58.69"/>
    <n v="402.11485614462941"/>
    <n v="75.489037335501123"/>
    <n v="14502.614838307933"/>
    <n v="325999.81929538905"/>
    <n v="247.66744532545661"/>
  </r>
  <r>
    <n v="387"/>
    <x v="372"/>
    <n v="58.1"/>
    <n v="397.73380429434843"/>
    <n v="75.419526620247652"/>
    <n v="14356.822663242307"/>
    <n v="322448.0427576885"/>
    <n v="247.43939179772303"/>
  </r>
  <r>
    <n v="388"/>
    <x v="373"/>
    <n v="57.37"/>
    <n v="392.31318081857705"/>
    <n v="75.333521836967918"/>
    <n v="14176.435734771274"/>
    <n v="318053.47178731323"/>
    <n v="247.15722387357803"/>
  </r>
  <r>
    <n v="389"/>
    <x v="374"/>
    <n v="57.5"/>
    <n v="393.27849732796102"/>
    <n v="75.348837757278005"/>
    <n v="14208.559434362007"/>
    <n v="318836.06661765405"/>
    <n v="247.20747295596001"/>
  </r>
  <r>
    <n v="390"/>
    <x v="375"/>
    <n v="56.87"/>
    <n v="388.60042501325415"/>
    <n v="75.274614451159891"/>
    <n v="14052.883044037691"/>
    <n v="315043.49167061778"/>
    <n v="246.9639581721089"/>
  </r>
  <r>
    <n v="391"/>
    <x v="375"/>
    <n v="56.82"/>
    <n v="388.2291494327219"/>
    <n v="75.268723712579089"/>
    <n v="14040.527774964334"/>
    <n v="314742.49365894828"/>
    <n v="246.94463160196199"/>
  </r>
  <r>
    <n v="392"/>
    <x v="376"/>
    <n v="56.42"/>
    <n v="385.25894478846362"/>
    <n v="75.221597803932653"/>
    <n v="13941.685622377468"/>
    <n v="312334.50956559199"/>
    <n v="246.79001904078666"/>
  </r>
  <r>
    <n v="393"/>
    <x v="377"/>
    <n v="55.96"/>
    <n v="381.84320944756655"/>
    <n v="75.167403008989268"/>
    <n v="13828.017146902572"/>
    <n v="309565.32785823219"/>
    <n v="246.61221459543503"/>
  </r>
  <r>
    <n v="394"/>
    <x v="378"/>
    <n v="55.45"/>
    <n v="378.05619852613728"/>
    <n v="75.107317475465081"/>
    <n v="13701.993402354319"/>
    <n v="306495.14813920297"/>
    <n v="246.41508357993652"/>
  </r>
  <r>
    <n v="395"/>
    <x v="379"/>
    <n v="55.68"/>
    <n v="379.76406619658576"/>
    <n v="75.134414872936773"/>
    <n v="13758.827640091766"/>
    <n v="307879.73899288278"/>
    <n v="246.50398580261233"/>
  </r>
  <r>
    <n v="396"/>
    <x v="380"/>
    <n v="55.61"/>
    <n v="379.24428038384053"/>
    <n v="75.126167838923649"/>
    <n v="13741.530263389064"/>
    <n v="307458.34177654545"/>
    <n v="246.47692860440665"/>
  </r>
  <r>
    <n v="397"/>
    <x v="381"/>
    <n v="54.29"/>
    <n v="369.54577554090019"/>
    <n v="74.967976654196718"/>
    <n v="13415.351159852406"/>
    <n v="299595.63594033819"/>
    <n v="245.95792865451722"/>
  </r>
  <r>
    <n v="398"/>
    <x v="382"/>
    <n v="53.92"/>
    <n v="366.95158023834318"/>
    <n v="74.920410865568797"/>
    <n v="13323.922168709556"/>
    <n v="297492.48758128739"/>
    <n v="245.80187291754962"/>
  </r>
  <r>
    <n v="399"/>
    <x v="383"/>
    <n v="52.7"/>
    <n v="358.39774707856071"/>
    <n v="74.763572319282147"/>
    <n v="13022.453603319615"/>
    <n v="290557.78218117397"/>
    <n v="245.28731075781855"/>
  </r>
  <r>
    <n v="400"/>
    <x v="384"/>
    <n v="53.14"/>
    <n v="361.48273608700686"/>
    <n v="74.820137040893727"/>
    <n v="13131.179971165166"/>
    <n v="293058.82347301813"/>
    <n v="245.47289055313141"/>
  </r>
  <r>
    <n v="401"/>
    <x v="385"/>
    <n v="56.86"/>
    <n v="388.52616989714772"/>
    <n v="75.273436303443731"/>
    <n v="14050.41199022302"/>
    <n v="314983.29206828389"/>
    <n v="246.96009285807952"/>
  </r>
  <r>
    <n v="402"/>
    <x v="386"/>
    <n v="57.19"/>
    <n v="390.97658872866077"/>
    <n v="75.312315178077029"/>
    <n v="14131.956766107183"/>
    <n v="316969.87894530286"/>
    <n v="247.08764822104916"/>
  </r>
  <r>
    <n v="403"/>
    <x v="387"/>
    <n v="54.11"/>
    <n v="368.28373458289946"/>
    <n v="74.944836540810158"/>
    <n v="13370.872191188317"/>
    <n v="298572.48268458375"/>
    <n v="245.88200964734378"/>
  </r>
  <r>
    <n v="404"/>
    <x v="388"/>
    <n v="54.3"/>
    <n v="369.61588892745573"/>
    <n v="74.969262216051519"/>
    <n v="13417.822213667076"/>
    <n v="299652.47778788005"/>
    <n v="245.96214637713794"/>
  </r>
  <r>
    <n v="405"/>
    <x v="389"/>
    <n v="53.55"/>
    <n v="364.35738493578617"/>
    <n v="74.872845076940877"/>
    <n v="13232.493177566703"/>
    <n v="295389.33922223659"/>
    <n v="245.64581718058199"/>
  </r>
  <r>
    <n v="406"/>
    <x v="390"/>
    <n v="52.6"/>
    <n v="357.69661321300475"/>
    <n v="74.75071670073406"/>
    <n v="12997.743065172897"/>
    <n v="289989.36370575486"/>
    <n v="245.24513353161109"/>
  </r>
  <r>
    <n v="407"/>
    <x v="391"/>
    <n v="53.15"/>
    <n v="361.55284947356245"/>
    <n v="74.821422602748527"/>
    <n v="13133.651024979838"/>
    <n v="293115.6653205601"/>
    <n v="245.47710827575213"/>
  </r>
  <r>
    <n v="408"/>
    <x v="392"/>
    <n v="52.29"/>
    <n v="355.52309822978134"/>
    <n v="74.710864283234983"/>
    <n v="12921.140396918076"/>
    <n v="288227.2664319555"/>
    <n v="245.11438413036794"/>
  </r>
  <r>
    <n v="409"/>
    <x v="393"/>
    <n v="51.61"/>
    <n v="350.75538794400097"/>
    <n v="74.623446077107999"/>
    <n v="12753.108737520402"/>
    <n v="284362.02079910546"/>
    <n v="244.82757899215719"/>
  </r>
  <r>
    <n v="410"/>
    <x v="394"/>
    <n v="50.33"/>
    <n v="341.7808744648849"/>
    <n v="74.458894159692491"/>
    <n v="12436.813849242431"/>
    <n v="277086.26431374048"/>
    <n v="244.28771049670164"/>
  </r>
  <r>
    <n v="411"/>
    <x v="395"/>
    <n v="50.73"/>
    <n v="344.58540992710863"/>
    <n v="74.510316633884841"/>
    <n v="12535.656001829297"/>
    <n v="279359.93821541697"/>
    <n v="244.45641940153152"/>
  </r>
  <r>
    <n v="412"/>
    <x v="396"/>
    <n v="49.94"/>
    <n v="339.04645238921671"/>
    <n v="74.408757247354956"/>
    <n v="12340.442750470236"/>
    <n v="274869.43225960585"/>
    <n v="244.12321931449253"/>
  </r>
  <r>
    <n v="413"/>
    <x v="397"/>
    <n v="47.88"/>
    <n v="324.60309475876437"/>
    <n v="74.143931505264376"/>
    <n v="11831.405664647877"/>
    <n v="263160.01166597178"/>
    <n v="243.25436845461877"/>
  </r>
  <r>
    <n v="414"/>
    <x v="398"/>
    <n v="48.46"/>
    <n v="328.66967117898878"/>
    <n v="74.218494092843272"/>
    <n v="11974.726785898833"/>
    <n v="266456.83882340271"/>
    <n v="243.49899636662207"/>
  </r>
  <r>
    <n v="415"/>
    <x v="399"/>
    <n v="47.83"/>
    <n v="324.25252782598636"/>
    <n v="74.137503695990333"/>
    <n v="11819.050395574517"/>
    <n v="262875.80242826213"/>
    <n v="243.23327984151504"/>
  </r>
  <r>
    <n v="416"/>
    <x v="400"/>
    <n v="47.56"/>
    <n v="322.35946638898531"/>
    <n v="74.102793525910499"/>
    <n v="11752.331942578383"/>
    <n v="261341.0725446305"/>
    <n v="243.1194013307549"/>
  </r>
  <r>
    <n v="417"/>
    <x v="401"/>
    <n v="49.23"/>
    <n v="334.06840194376952"/>
    <n v="74.317482355663543"/>
    <n v="12164.997929628547"/>
    <n v="270833.66108413006"/>
    <n v="243.82376100841955"/>
  </r>
  <r>
    <n v="418"/>
    <x v="402"/>
    <n v="49.44"/>
    <n v="335.54078306143703"/>
    <n v="74.344479154614518"/>
    <n v="12216.890059736654"/>
    <n v="272027.33988251019"/>
    <n v="243.91233318345519"/>
  </r>
  <r>
    <n v="419"/>
    <x v="403"/>
    <n v="51.9"/>
    <n v="352.78867615411315"/>
    <n v="74.660727370897447"/>
    <n v="12824.76929814588"/>
    <n v="286010.43437782087"/>
    <n v="244.94989294815883"/>
  </r>
  <r>
    <n v="420"/>
    <x v="404"/>
    <n v="54.47"/>
    <n v="370.80781649890088"/>
    <n v="74.991116767583279"/>
    <n v="13459.830128516494"/>
    <n v="300618.78919609264"/>
    <n v="246.03384766169069"/>
  </r>
  <r>
    <n v="421"/>
    <x v="404"/>
    <n v="54.7"/>
    <n v="372.48706481815293"/>
    <n v="75.018956396753026"/>
    <n v="13516.664366253945"/>
    <n v="301980.17796415981"/>
    <n v="246.12518502773278"/>
  </r>
  <r>
    <n v="422"/>
    <x v="405"/>
    <n v="53.95"/>
    <n v="367.16192039801001"/>
    <n v="74.924267551133227"/>
    <n v="13331.335330153572"/>
    <n v="297663.0131239132"/>
    <n v="245.81452608541184"/>
  </r>
  <r>
    <n v="423"/>
    <x v="406"/>
    <n v="53.97"/>
    <n v="367.30214717112119"/>
    <n v="74.926838674842841"/>
    <n v="13336.277437782914"/>
    <n v="297776.69681899698"/>
    <n v="245.82296153065334"/>
  </r>
  <r>
    <n v="424"/>
    <x v="407"/>
    <n v="53.2"/>
    <n v="361.90341640634045"/>
    <n v="74.82785041202257"/>
    <n v="13146.006294053197"/>
    <n v="293399.87455826969"/>
    <n v="245.49819688885586"/>
  </r>
  <r>
    <n v="425"/>
    <x v="408"/>
    <n v="53.13"/>
    <n v="361.41262270045127"/>
    <n v="74.818851479038912"/>
    <n v="13128.708917350496"/>
    <n v="293001.98162547627"/>
    <n v="245.46867283051063"/>
  </r>
  <r>
    <n v="426"/>
    <x v="409"/>
    <n v="53.41"/>
    <n v="363.37579752400785"/>
    <n v="74.85484721097356"/>
    <n v="13197.8984241613"/>
    <n v="294593.55335664976"/>
    <n v="245.58676906389155"/>
  </r>
  <r>
    <n v="427"/>
    <x v="410"/>
    <n v="52.15"/>
    <n v="354.54151081800302"/>
    <n v="74.692866417267666"/>
    <n v="12886.545643512671"/>
    <n v="287431.48056636873"/>
    <n v="245.05533601367748"/>
  </r>
  <r>
    <n v="428"/>
    <x v="411"/>
    <n v="52.59"/>
    <n v="357.62649982644922"/>
    <n v="74.749431138879245"/>
    <n v="12995.272011358225"/>
    <n v="289932.52185821295"/>
    <n v="245.24091580899034"/>
  </r>
  <r>
    <n v="429"/>
    <x v="412"/>
    <n v="51.66"/>
    <n v="351.10595487677892"/>
    <n v="74.629873886382043"/>
    <n v="12765.46400659376"/>
    <n v="284646.23003681499"/>
    <n v="244.84866760526091"/>
  </r>
  <r>
    <n v="430"/>
    <x v="413"/>
    <n v="50.34"/>
    <n v="341.85098785144049"/>
    <n v="74.460179721547306"/>
    <n v="12439.284903057103"/>
    <n v="277143.1061612824"/>
    <n v="244.29192821932241"/>
  </r>
  <r>
    <n v="431"/>
    <x v="414"/>
    <n v="50.96"/>
    <n v="346.19801781788732"/>
    <n v="74.539884556545445"/>
    <n v="12592.490239566747"/>
    <n v="280667.300708881"/>
    <n v="244.55342702180869"/>
  </r>
  <r>
    <n v="432"/>
    <x v="415"/>
    <n v="50.29"/>
    <n v="341.50042091866254"/>
    <n v="74.453751912273262"/>
    <n v="12426.929633983744"/>
    <n v="276858.89692357287"/>
    <n v="244.27083960621866"/>
  </r>
  <r>
    <n v="433"/>
    <x v="416"/>
    <n v="59.09"/>
    <n v="405.08506078888774"/>
    <n v="75.536163244147545"/>
    <n v="14601.456990894801"/>
    <n v="328407.80338874535"/>
    <n v="247.82205788663191"/>
  </r>
  <r>
    <n v="434"/>
    <x v="417"/>
    <n v="58.37"/>
    <n v="399.73869242922279"/>
    <n v="75.451336608583986"/>
    <n v="14423.541116238441"/>
    <n v="324073.43202070397"/>
    <n v="247.54375527651635"/>
  </r>
  <r>
    <n v="435"/>
    <x v="418"/>
    <n v="57.96"/>
    <n v="396.69423266885804"/>
    <n v="75.403032552221404"/>
    <n v="14322.227909836904"/>
    <n v="321605.24832501379"/>
    <n v="247.38527740131167"/>
  </r>
  <r>
    <n v="436"/>
    <x v="419"/>
    <n v="57.67"/>
    <n v="394.54083430177076"/>
    <n v="75.368866268452734"/>
    <n v="14250.567349211426"/>
    <n v="319859.45985733042"/>
    <n v="247.27318329445953"/>
  </r>
  <r>
    <n v="437"/>
    <x v="420"/>
    <n v="55.98"/>
    <n v="381.99171967977946"/>
    <n v="75.169759304421589"/>
    <n v="13832.959254531916"/>
    <n v="309685.72706290003"/>
    <n v="246.6199452234938"/>
  </r>
  <r>
    <n v="438"/>
    <x v="421"/>
    <n v="57.36"/>
    <n v="392.23892570247057"/>
    <n v="75.332343689251758"/>
    <n v="14173.964680956602"/>
    <n v="317993.27218497929"/>
    <n v="247.15335855954865"/>
  </r>
  <r>
    <n v="439"/>
    <x v="422"/>
    <n v="57.33"/>
    <n v="392.01616035415122"/>
    <n v="75.328809246103276"/>
    <n v="14166.551519512588"/>
    <n v="317812.67337797757"/>
    <n v="247.1417626174605"/>
  </r>
  <r>
    <n v="440"/>
    <x v="423"/>
    <n v="57.05"/>
    <n v="389.93701710317038"/>
    <n v="75.295821110050781"/>
    <n v="14097.36201270178"/>
    <n v="316127.08451262815"/>
    <n v="247.0335338246378"/>
  </r>
  <r>
    <n v="441"/>
    <x v="424"/>
    <n v="56.56"/>
    <n v="386.29851641395402"/>
    <n v="75.2380918719589"/>
    <n v="13976.280375782873"/>
    <n v="313177.3039982667"/>
    <n v="246.844133437198"/>
  </r>
  <r>
    <n v="442"/>
    <x v="424"/>
    <n v="56.83"/>
    <n v="388.30340454882833"/>
    <n v="75.269901860295249"/>
    <n v="14042.998828779006"/>
    <n v="314802.69326128217"/>
    <n v="246.94849691599137"/>
  </r>
  <r>
    <n v="443"/>
    <x v="425"/>
    <n v="61.08"/>
    <n v="419.86182889407274"/>
    <n v="75.770614639663521"/>
    <n v="15093.196700014458"/>
    <n v="340387.524253193"/>
    <n v="248.59125537847913"/>
  </r>
  <r>
    <n v="444"/>
    <x v="426"/>
    <n v="62.54"/>
    <n v="430.7030758456155"/>
    <n v="75.942624206222973"/>
    <n v="15453.970556956519"/>
    <n v="349176.66619394353"/>
    <n v="249.15559122676905"/>
  </r>
  <r>
    <n v="445"/>
    <x v="427"/>
    <n v="59.49"/>
    <n v="408.05526543314602"/>
    <n v="75.583289152793981"/>
    <n v="14700.299143481665"/>
    <n v="330815.78748210164"/>
    <n v="247.97667044780727"/>
  </r>
  <r>
    <n v="446"/>
    <x v="428"/>
    <n v="58.13"/>
    <n v="397.95656964266783"/>
    <n v="75.423061063396133"/>
    <n v="14364.235824686322"/>
    <n v="322628.64156469022"/>
    <n v="247.45098773981118"/>
  </r>
  <r>
    <n v="447"/>
    <x v="429"/>
    <n v="57.57"/>
    <n v="393.79828314070619"/>
    <n v="75.357084791291129"/>
    <n v="14225.856811064708"/>
    <n v="319257.46383399138"/>
    <n v="247.2345301541657"/>
  </r>
  <r>
    <n v="448"/>
    <x v="430"/>
    <n v="57.56"/>
    <n v="393.72402802459976"/>
    <n v="75.355906643574968"/>
    <n v="14223.385757250036"/>
    <n v="319197.26423165749"/>
    <n v="247.23066484013631"/>
  </r>
  <r>
    <n v="449"/>
    <x v="431"/>
    <n v="57.63"/>
    <n v="394.24381383734499"/>
    <n v="75.364153677588092"/>
    <n v="14240.683133952738"/>
    <n v="319618.66144799488"/>
    <n v="247.257722038342"/>
  </r>
  <r>
    <n v="450"/>
    <x v="432"/>
    <n v="57.38"/>
    <n v="392.38743593468354"/>
    <n v="75.334699984684079"/>
    <n v="14178.906788585948"/>
    <n v="318113.67138964712"/>
    <n v="247.16108918760742"/>
  </r>
  <r>
    <n v="451"/>
    <x v="432"/>
    <n v="57.29"/>
    <n v="391.7191398897254"/>
    <n v="75.324096655238634"/>
    <n v="14156.667304253901"/>
    <n v="317571.87496864196"/>
    <n v="247.126301361343"/>
  </r>
  <r>
    <n v="452"/>
    <x v="433"/>
    <n v="57.05"/>
    <n v="389.93701710317038"/>
    <n v="75.295821110050781"/>
    <n v="14097.36201270178"/>
    <n v="316127.08451262815"/>
    <n v="247.0335338246378"/>
  </r>
  <r>
    <n v="453"/>
    <x v="434"/>
    <n v="56.55"/>
    <n v="386.22426129784753"/>
    <n v="75.23691372424274"/>
    <n v="13973.8093219682"/>
    <n v="313117.10439593275"/>
    <n v="246.84026812316861"/>
  </r>
  <r>
    <n v="454"/>
    <x v="435"/>
    <n v="57.79"/>
    <n v="395.43189569504824"/>
    <n v="75.383004041046661"/>
    <n v="14280.219994987485"/>
    <n v="320581.8550853373"/>
    <n v="247.31956706281213"/>
  </r>
  <r>
    <n v="455"/>
    <x v="436"/>
    <n v="56.35"/>
    <n v="384.7391589757184"/>
    <n v="75.213350769919529"/>
    <n v="13924.388245674767"/>
    <n v="311913.1123492546"/>
    <n v="246.76296184258098"/>
  </r>
  <r>
    <n v="456"/>
    <x v="437"/>
    <n v="56.28"/>
    <n v="384.21937316297323"/>
    <n v="75.205103735906405"/>
    <n v="13907.090868972065"/>
    <n v="311491.71513291728"/>
    <n v="246.7359046443753"/>
  </r>
  <r>
    <n v="457"/>
    <x v="438"/>
    <n v="56.37"/>
    <n v="384.88766920793131"/>
    <n v="75.21570706535185"/>
    <n v="13929.330353304109"/>
    <n v="312033.51155392244"/>
    <n v="246.77069247063974"/>
  </r>
  <r>
    <n v="458"/>
    <x v="439"/>
    <n v="56.73"/>
    <n v="387.56085338776376"/>
    <n v="75.258120383133644"/>
    <n v="14018.28829063229"/>
    <n v="314200.69723794312"/>
    <n v="246.90984377569757"/>
  </r>
  <r>
    <n v="459"/>
    <x v="440"/>
    <n v="55.45"/>
    <n v="378.05619852613728"/>
    <n v="75.107317475465081"/>
    <n v="13701.993402354319"/>
    <n v="306495.14813920297"/>
    <n v="246.41508357993652"/>
  </r>
  <r>
    <n v="460"/>
    <x v="441"/>
    <n v="55.39"/>
    <n v="377.61066782949848"/>
    <n v="75.100248589168103"/>
    <n v="13687.167079466288"/>
    <n v="306133.95052519947"/>
    <n v="246.39189169576019"/>
  </r>
  <r>
    <n v="461"/>
    <x v="442"/>
    <n v="54.77"/>
    <n v="373.00685063089816"/>
    <n v="75.02720343076615"/>
    <n v="13533.961742956646"/>
    <n v="302401.5751804972"/>
    <n v="246.15224222593847"/>
  </r>
  <r>
    <n v="462"/>
    <x v="442"/>
    <n v="54.87"/>
    <n v="373.74940179196267"/>
    <n v="75.038984907927755"/>
    <n v="13558.672281103361"/>
    <n v="303003.57120383624"/>
    <n v="246.1908953662323"/>
  </r>
  <r>
    <n v="463"/>
    <x v="443"/>
    <n v="60.78"/>
    <n v="417.63417541087904"/>
    <n v="75.735270208178704"/>
    <n v="15019.06508557431"/>
    <n v="338581.53618317581"/>
    <n v="248.47529595759767"/>
  </r>
  <r>
    <n v="464"/>
    <x v="444"/>
    <n v="58.99"/>
    <n v="404.34250962782318"/>
    <n v="75.52438176698594"/>
    <n v="14576.746452748084"/>
    <n v="327805.8073654063"/>
    <n v="247.78340474633808"/>
  </r>
  <r>
    <n v="465"/>
    <x v="445"/>
    <n v="54.63"/>
    <n v="371.96727900540776"/>
    <n v="75.010709362739902"/>
    <n v="13499.366989551243"/>
    <n v="301558.78074782249"/>
    <n v="246.0981278295271"/>
  </r>
  <r>
    <n v="466"/>
    <x v="446"/>
    <n v="58.52"/>
    <n v="400.85251917081968"/>
    <n v="75.469008824326394"/>
    <n v="14460.606923458516"/>
    <n v="324976.42605571263"/>
    <n v="247.6017349869571"/>
  </r>
  <r>
    <n v="467"/>
    <x v="447"/>
    <n v="58.27"/>
    <n v="398.99614126815823"/>
    <n v="75.439555131422381"/>
    <n v="14398.830578091725"/>
    <n v="323471.43599736493"/>
    <n v="247.50510213622252"/>
  </r>
  <r>
    <n v="468"/>
    <x v="448"/>
    <n v="57.74"/>
    <n v="395.06062011451598"/>
    <n v="75.377113302465858"/>
    <n v="14267.864725914127"/>
    <n v="320280.85707366781"/>
    <n v="247.30024049266521"/>
  </r>
  <r>
    <n v="469"/>
    <x v="449"/>
    <n v="57.6"/>
    <n v="394.02104848902559"/>
    <n v="75.360619234439611"/>
    <n v="14233.269972508724"/>
    <n v="319438.0626409931"/>
    <n v="247.24612609625385"/>
  </r>
  <r>
    <n v="470"/>
    <x v="450"/>
    <n v="58.37"/>
    <n v="399.73869242922279"/>
    <n v="75.451336608583986"/>
    <n v="14423.541116238441"/>
    <n v="324073.43202070397"/>
    <n v="247.54375527651635"/>
  </r>
  <r>
    <n v="471"/>
    <x v="451"/>
    <n v="59.94"/>
    <n v="411.39674565793655"/>
    <n v="75.636305800021205"/>
    <n v="14811.49656514189"/>
    <n v="333524.76958712749"/>
    <n v="248.15060957912948"/>
  </r>
  <r>
    <n v="472"/>
    <x v="452"/>
    <n v="56.81"/>
    <n v="388.15489431661547"/>
    <n v="75.267545564862928"/>
    <n v="14038.056721149662"/>
    <n v="314682.2940566144"/>
    <n v="246.9407662879326"/>
  </r>
  <r>
    <n v="473"/>
    <x v="453"/>
    <n v="56.44"/>
    <n v="385.40745502067648"/>
    <n v="75.223954099364974"/>
    <n v="13946.627730006812"/>
    <n v="312454.90877025976"/>
    <n v="246.79774966884543"/>
  </r>
  <r>
    <n v="474"/>
    <x v="454"/>
    <n v="56.08"/>
    <n v="382.73427084084403"/>
    <n v="75.181540781583195"/>
    <n v="13857.669792678631"/>
    <n v="310287.72308623907"/>
    <n v="246.65859836378763"/>
  </r>
  <r>
    <n v="475"/>
    <x v="454"/>
    <n v="56.24"/>
    <n v="383.9223526985474"/>
    <n v="75.200391145041763"/>
    <n v="13897.20665371338"/>
    <n v="311250.91672358167"/>
    <n v="246.72044338825776"/>
  </r>
  <r>
    <n v="476"/>
    <x v="455"/>
    <n v="56.09"/>
    <n v="382.80852595695052"/>
    <n v="75.182718929299355"/>
    <n v="13860.140846493305"/>
    <n v="310347.92268857302"/>
    <n v="246.66246367781702"/>
  </r>
  <r>
    <n v="477"/>
    <x v="456"/>
    <n v="55.11"/>
    <n v="375.53152457851769"/>
    <n v="75.067260453115608"/>
    <n v="13617.977572655482"/>
    <n v="304448.36165985005"/>
    <n v="246.28366290293746"/>
  </r>
  <r>
    <n v="478"/>
    <x v="457"/>
    <n v="56.04"/>
    <n v="382.43725037641821"/>
    <n v="75.176828190718552"/>
    <n v="13847.785577419945"/>
    <n v="310046.92467690347"/>
    <n v="246.6431371076701"/>
  </r>
  <r>
    <n v="479"/>
    <x v="458"/>
    <n v="55.46"/>
    <n v="378.13045364224371"/>
    <n v="75.108495623181241"/>
    <n v="13704.464456168989"/>
    <n v="306555.34774153685"/>
    <n v="246.4189488939659"/>
  </r>
  <r>
    <n v="480"/>
    <x v="459"/>
    <n v="54.4"/>
    <n v="370.31702279301169"/>
    <n v="74.982117834599606"/>
    <n v="13442.532751813793"/>
    <n v="300220.89626329922"/>
    <n v="246.0043236033454"/>
  </r>
  <r>
    <n v="481"/>
    <x v="460"/>
    <n v="53.43"/>
    <n v="363.51602429711909"/>
    <n v="74.857418334683175"/>
    <n v="13202.840531790644"/>
    <n v="294707.23705173371"/>
    <n v="245.59520450913303"/>
  </r>
  <r>
    <n v="482"/>
    <x v="461"/>
    <n v="53.4"/>
    <n v="363.30568413745232"/>
    <n v="74.853561649118745"/>
    <n v="13195.42737034663"/>
    <n v="294536.7115091079"/>
    <n v="245.58255134127077"/>
  </r>
  <r>
    <n v="483"/>
    <x v="462"/>
    <n v="53.14"/>
    <n v="361.48273608700686"/>
    <n v="74.820137040893727"/>
    <n v="13131.179971165166"/>
    <n v="293058.82347301813"/>
    <n v="245.47289055313141"/>
  </r>
  <r>
    <n v="484"/>
    <x v="463"/>
    <n v="51.47"/>
    <n v="349.77380053222259"/>
    <n v="74.605448211140683"/>
    <n v="12718.513984114999"/>
    <n v="283566.23493351863"/>
    <n v="244.76853087546675"/>
  </r>
  <r>
    <n v="485"/>
    <x v="464"/>
    <n v="51.3"/>
    <n v="348.5818729607775"/>
    <n v="74.583593659608937"/>
    <n v="12676.506069265582"/>
    <n v="282599.92352530611"/>
    <n v="244.69682959091406"/>
  </r>
  <r>
    <n v="486"/>
    <x v="465"/>
    <n v="49.06"/>
    <n v="332.87647437232448"/>
    <n v="74.295627804131797"/>
    <n v="12122.99001477913"/>
    <n v="269867.34967591753"/>
    <n v="243.75205972386686"/>
  </r>
  <r>
    <n v="487"/>
    <x v="466"/>
    <n v="49.64"/>
    <n v="336.94305079254889"/>
    <n v="74.370190391710693"/>
    <n v="12266.311136030086"/>
    <n v="273164.17683334847"/>
    <n v="243.99668763587013"/>
  </r>
  <r>
    <n v="488"/>
    <x v="467"/>
    <n v="48.26"/>
    <n v="327.26740344787692"/>
    <n v="74.192782855747097"/>
    <n v="11925.305709605398"/>
    <n v="265320.00187256443"/>
    <n v="243.41464191420712"/>
  </r>
  <r>
    <n v="489"/>
    <x v="468"/>
    <n v="46.91"/>
    <n v="317.80209626287166"/>
    <n v="74.019232005347931"/>
    <n v="11591.713444624724"/>
    <n v="257646.35245440609"/>
    <n v="242.84524936040637"/>
  </r>
  <r>
    <n v="490"/>
    <x v="469"/>
    <n v="47.24"/>
    <n v="320.11583801920631"/>
    <n v="74.061655546556622"/>
    <n v="11673.258220508891"/>
    <n v="259522.13342328928"/>
    <n v="242.984434206891"/>
  </r>
  <r>
    <n v="491"/>
    <x v="470"/>
    <n v="46.52"/>
    <n v="315.06897367853293"/>
    <n v="73.963981781133882"/>
    <n v="11495.342345852532"/>
    <n v="255430.57391503747"/>
    <n v="242.66398222059721"/>
  </r>
  <r>
    <n v="492"/>
    <x v="471"/>
    <n v="45.88"/>
    <n v="310.58517648327944"/>
    <n v="73.868093012105959"/>
    <n v="11337.194901713547"/>
    <n v="251795.5003705672"/>
    <n v="242.34938652168796"/>
  </r>
  <r>
    <n v="493"/>
    <x v="472"/>
    <n v="45.17"/>
    <n v="305.61096396979508"/>
    <n v="73.761716408965597"/>
    <n v="11161.75008087186"/>
    <n v="247762.84065717048"/>
    <n v="242.00038191821048"/>
  </r>
  <r>
    <n v="494"/>
    <x v="473"/>
    <n v="43.53"/>
    <n v="294.12123365695794"/>
    <n v="73.516001438331543"/>
    <n v="10756.497255265707"/>
    <n v="238447.96469946534"/>
    <n v="241.19423043975553"/>
  </r>
  <r>
    <n v="495"/>
    <x v="474"/>
    <n v="43.02"/>
    <n v="290.54820776699034"/>
    <n v="73.439590075512413"/>
    <n v="10630.473510717455"/>
    <n v="235551.26546871566"/>
    <n v="240.94353699218721"/>
  </r>
  <r>
    <n v="496"/>
    <x v="475"/>
    <n v="44.63"/>
    <n v="301.82776008629992"/>
    <n v="73.680810260098283"/>
    <n v="11028.313174879589"/>
    <n v="244695.74735402365"/>
    <n v="241.7349417972558"/>
  </r>
  <r>
    <n v="497"/>
    <x v="475"/>
    <n v="44.12"/>
    <n v="298.25473419633227"/>
    <n v="73.604398897279154"/>
    <n v="10902.289430331333"/>
    <n v="241799.04812327391"/>
    <n v="241.48424834968748"/>
  </r>
  <r>
    <n v="498"/>
    <x v="476"/>
    <n v="52.66"/>
    <n v="358.11729353233829"/>
    <n v="74.758430071862904"/>
    <n v="13012.569388060925"/>
    <n v="290330.4147910063"/>
    <n v="245.27043986733554"/>
  </r>
  <r>
    <n v="499"/>
    <x v="477"/>
    <n v="54.55"/>
    <n v="371.37323807655605"/>
    <n v="75.001284181010618"/>
    <n v="13479.598559033868"/>
    <n v="301077.18392915122"/>
    <n v="246.06720531729206"/>
  </r>
  <r>
    <n v="500"/>
    <x v="478"/>
    <n v="54.91"/>
    <n v="374.0464222563885"/>
    <n v="75.043697498792397"/>
    <n v="13568.556496362047"/>
    <n v="303244.36961317185"/>
    <n v="246.20635662234983"/>
  </r>
  <r>
    <n v="501"/>
    <x v="479"/>
    <n v="53.73"/>
    <n v="365.61942589378691"/>
    <n v="74.895985190327437"/>
    <n v="13276.972146230793"/>
    <n v="296412.49247799104"/>
    <n v="245.72173618775543"/>
  </r>
  <r>
    <n v="502"/>
    <x v="480"/>
    <n v="56.58"/>
    <n v="386.44702664616688"/>
    <n v="75.240448167391222"/>
    <n v="13981.222483412215"/>
    <n v="313297.70320293447"/>
    <n v="246.85186406525676"/>
  </r>
  <r>
    <n v="503"/>
    <x v="481"/>
    <n v="56.28"/>
    <n v="384.21937316297323"/>
    <n v="75.205103735906405"/>
    <n v="13907.090868972065"/>
    <n v="311491.71513291728"/>
    <n v="246.7359046443753"/>
  </r>
  <r>
    <n v="504"/>
    <x v="482"/>
    <n v="57.29"/>
    <n v="391.7191398897254"/>
    <n v="75.324096655238634"/>
    <n v="14156.667304253901"/>
    <n v="317571.87496864196"/>
    <n v="247.126301361343"/>
  </r>
  <r>
    <n v="505"/>
    <x v="483"/>
    <n v="56.77"/>
    <n v="387.85787385218964"/>
    <n v="75.262832973998286"/>
    <n v="14028.172505890976"/>
    <n v="314441.49564727879"/>
    <n v="246.9253050318151"/>
  </r>
  <r>
    <n v="506"/>
    <x v="484"/>
    <n v="56.56"/>
    <n v="386.29851641395402"/>
    <n v="75.2380918719589"/>
    <n v="13976.280375782873"/>
    <n v="313177.3039982667"/>
    <n v="246.844133437198"/>
  </r>
  <r>
    <n v="507"/>
    <x v="485"/>
    <n v="55.82"/>
    <n v="380.80363782207615"/>
    <n v="75.150908940963021"/>
    <n v="13793.422393497169"/>
    <n v="308722.53342555749"/>
    <n v="246.5581001990237"/>
  </r>
  <r>
    <n v="508"/>
    <x v="486"/>
    <n v="55.7"/>
    <n v="379.91257642879867"/>
    <n v="75.136771168369094"/>
    <n v="13763.76974772111"/>
    <n v="308000.13819755061"/>
    <n v="246.5117164306711"/>
  </r>
  <r>
    <n v="509"/>
    <x v="487"/>
    <n v="55.86"/>
    <n v="381.10065828650198"/>
    <n v="75.155621531827663"/>
    <n v="13803.306608755856"/>
    <n v="308963.33183489315"/>
    <n v="246.57356145514123"/>
  </r>
  <r>
    <n v="510"/>
    <x v="488"/>
    <n v="55.53"/>
    <n v="378.65023945498888"/>
    <n v="75.116742657194365"/>
    <n v="13721.761832871691"/>
    <n v="306976.74495787418"/>
    <n v="246.44600609217159"/>
  </r>
  <r>
    <n v="511"/>
    <x v="489"/>
    <n v="55.02"/>
    <n v="374.86322853355961"/>
    <n v="75.056657123670163"/>
    <n v="13595.738088323436"/>
    <n v="303906.56523884489"/>
    <n v="246.24887507667304"/>
  </r>
  <r>
    <n v="512"/>
    <x v="490"/>
    <n v="54.87"/>
    <n v="373.74940179196267"/>
    <n v="75.038984907927755"/>
    <n v="13558.672281103361"/>
    <n v="303003.57120383624"/>
    <n v="246.1908953662323"/>
  </r>
  <r>
    <n v="513"/>
    <x v="491"/>
    <n v="54.67"/>
    <n v="372.26429946983359"/>
    <n v="75.015421953604545"/>
    <n v="13509.251204809929"/>
    <n v="301799.57915715815"/>
    <n v="246.11358908564463"/>
  </r>
  <r>
    <n v="514"/>
    <x v="492"/>
    <n v="54.39"/>
    <n v="370.2469094064561"/>
    <n v="74.980832272744806"/>
    <n v="13440.061697999123"/>
    <n v="300164.0544157573"/>
    <n v="246.0001058807247"/>
  </r>
  <r>
    <n v="515"/>
    <x v="493"/>
    <n v="53.33"/>
    <n v="362.81489043156313"/>
    <n v="74.844562716135087"/>
    <n v="13178.129993643926"/>
    <n v="294138.81857631454"/>
    <n v="245.55302728292557"/>
  </r>
  <r>
    <n v="516"/>
    <x v="494"/>
    <n v="53.17"/>
    <n v="361.69307624667363"/>
    <n v="74.823993726458156"/>
    <n v="13138.593132609181"/>
    <n v="293229.34901564388"/>
    <n v="245.48554372099366"/>
  </r>
  <r>
    <n v="517"/>
    <x v="495"/>
    <n v="52.99"/>
    <n v="360.43103528867294"/>
    <n v="74.800853613071595"/>
    <n v="13094.114163945093"/>
    <n v="292206.1957598895"/>
    <n v="245.40962471382019"/>
  </r>
  <r>
    <n v="518"/>
    <x v="496"/>
    <n v="52.13"/>
    <n v="354.4012840448919"/>
    <n v="74.690295293558052"/>
    <n v="12881.603535883329"/>
    <n v="287317.79687128495"/>
    <n v="245.046900568436"/>
  </r>
  <r>
    <n v="519"/>
    <x v="497"/>
    <n v="50.89"/>
    <n v="345.70722411199819"/>
    <n v="74.530885623561772"/>
    <n v="12575.192862864045"/>
    <n v="280269.40777608764"/>
    <n v="244.52390296346343"/>
  </r>
  <r>
    <n v="520"/>
    <x v="498"/>
    <n v="51.25"/>
    <n v="348.23130602799955"/>
    <n v="74.577165850334893"/>
    <n v="12664.150800192225"/>
    <n v="282315.71428759658"/>
    <n v="244.67574097781034"/>
  </r>
  <r>
    <n v="521"/>
    <x v="499"/>
    <n v="50.18"/>
    <n v="340.72917366655099"/>
    <n v="74.43961073187036"/>
    <n v="12399.748042022356"/>
    <n v="276233.63660061179"/>
    <n v="244.22444465739045"/>
  </r>
  <r>
    <n v="522"/>
    <x v="500"/>
    <n v="50.04"/>
    <n v="339.74758625477267"/>
    <n v="74.421612865903043"/>
    <n v="12365.153288616953"/>
    <n v="275437.85073502501"/>
    <n v="244.16539654070002"/>
  </r>
  <r>
    <n v="523"/>
    <x v="501"/>
    <n v="49.16"/>
    <n v="333.57760823788038"/>
    <n v="74.308483422679885"/>
    <n v="12147.700552925846"/>
    <n v="270435.76815133664"/>
    <n v="243.79423695007432"/>
  </r>
  <r>
    <n v="524"/>
    <x v="502"/>
    <n v="48.94"/>
    <n v="332.03511373365728"/>
    <n v="74.280201061874095"/>
    <n v="12093.337369003069"/>
    <n v="269185.24750541453"/>
    <n v="243.7014470524179"/>
  </r>
  <r>
    <n v="525"/>
    <x v="503"/>
    <n v="48.17"/>
    <n v="326.6363829688766"/>
    <n v="74.181212799053824"/>
    <n v="11903.066225273355"/>
    <n v="264808.42524468724"/>
    <n v="243.37668241062042"/>
  </r>
  <r>
    <n v="526"/>
    <x v="504"/>
    <n v="48.16"/>
    <n v="326.56626958232096"/>
    <n v="74.179927237199024"/>
    <n v="11900.595171458683"/>
    <n v="264751.58339714527"/>
    <n v="243.3724646879997"/>
  </r>
  <r>
    <n v="527"/>
    <x v="504"/>
    <n v="47.88"/>
    <n v="324.60309475876437"/>
    <n v="74.143931505264376"/>
    <n v="11831.405664647877"/>
    <n v="263160.01166597178"/>
    <n v="243.25436845461877"/>
  </r>
  <r>
    <n v="528"/>
    <x v="505"/>
    <n v="46.66"/>
    <n v="316.04980431499462"/>
    <n v="73.984957449358745"/>
    <n v="11529.937099257933"/>
    <n v="256225.74625289036"/>
    <n v="242.73280002973362"/>
  </r>
  <r>
    <n v="529"/>
    <x v="506"/>
    <n v="46.79"/>
    <n v="316.96073562420457"/>
    <n v="74.003805263090229"/>
    <n v="11562.060798848664"/>
    <n v="256964.25028390318"/>
    <n v="242.79463668895741"/>
  </r>
  <r>
    <n v="530"/>
    <x v="507"/>
    <n v="47.04"/>
    <n v="318.71357028809445"/>
    <n v="74.035944309460447"/>
    <n v="11623.837144215457"/>
    <n v="258385.29647245101"/>
    <n v="242.90007975447608"/>
  </r>
  <r>
    <n v="531"/>
    <x v="508"/>
    <n v="46.4"/>
    <n v="314.22826170442289"/>
    <n v="73.946002636941145"/>
    <n v="11465.689700076471"/>
    <n v="254748.99762544929"/>
    <n v="242.60499552705173"/>
  </r>
  <r>
    <n v="532"/>
    <x v="509"/>
    <n v="47.07"/>
    <n v="318.92391044776122"/>
    <n v="74.039800995024876"/>
    <n v="11631.250305659472"/>
    <n v="258555.82201507676"/>
    <n v="242.91273292233834"/>
  </r>
  <r>
    <n v="533"/>
    <x v="510"/>
    <n v="46.39"/>
    <n v="314.15820237324704"/>
    <n v="73.944504374925089"/>
    <n v="11463.218646261799"/>
    <n v="254692.19960131694"/>
    <n v="242.60007996925629"/>
  </r>
  <r>
    <n v="534"/>
    <x v="511"/>
    <n v="46.23"/>
    <n v="313.03725307443364"/>
    <n v="73.920532182668111"/>
    <n v="11423.681785227052"/>
    <n v="253783.43121519935"/>
    <n v="242.52143104452898"/>
  </r>
  <r>
    <n v="535"/>
    <x v="512"/>
    <n v="42.2"/>
    <n v="284.80334261057175"/>
    <n v="73.316732590195372"/>
    <n v="10427.847097914379"/>
    <n v="230893.82748986306"/>
    <n v="240.54046125295969"/>
  </r>
  <r>
    <n v="536"/>
    <x v="513"/>
    <n v="44.26"/>
    <n v="299.23556483279395"/>
    <n v="73.625374565504018"/>
    <n v="10936.884183736736"/>
    <n v="242594.22046112677"/>
    <n v="241.5530661588239"/>
  </r>
  <r>
    <n v="537"/>
    <x v="514"/>
    <n v="45"/>
    <n v="304.41995533980582"/>
    <n v="73.736245954692563"/>
    <n v="11119.742166022441"/>
    <n v="246797.27424692051"/>
    <n v="241.91681743568773"/>
  </r>
  <r>
    <n v="538"/>
    <x v="515"/>
    <n v="43.47"/>
    <n v="293.70087766990292"/>
    <n v="73.50701186623516"/>
    <n v="10741.670932377678"/>
    <n v="238107.17655467128"/>
    <n v="241.16473709298273"/>
  </r>
  <r>
    <n v="539"/>
    <x v="516"/>
    <n v="43.73"/>
    <n v="295.52242028047465"/>
    <n v="73.545966678652761"/>
    <n v="10805.918331559138"/>
    <n v="239583.92518211232"/>
    <n v="241.29254159566463"/>
  </r>
  <r>
    <n v="540"/>
    <x v="517"/>
    <n v="43.62"/>
    <n v="294.75176763754041"/>
    <n v="73.529485796476081"/>
    <n v="10778.736739597751"/>
    <n v="238959.14691665646"/>
    <n v="241.23847045991459"/>
  </r>
  <r>
    <n v="541"/>
    <x v="518"/>
    <n v="42.34"/>
    <n v="285.78417324703349"/>
    <n v="73.337708258420236"/>
    <n v="10462.441851319782"/>
    <n v="231688.99982771598"/>
    <n v="240.60927906209608"/>
  </r>
  <r>
    <n v="542"/>
    <x v="519"/>
    <n v="40.93"/>
    <n v="275.90580755124057"/>
    <n v="73.126453314155583"/>
    <n v="10114.023263451078"/>
    <n v="223680.47842505484"/>
    <n v="239.91618541293661"/>
  </r>
  <r>
    <n v="543"/>
    <x v="520"/>
    <n v="41.93"/>
    <n v="282.91174066882417"/>
    <n v="73.276279515761715"/>
    <n v="10361.128644918243"/>
    <n v="229360.28083828965"/>
    <n v="240.40774119248232"/>
  </r>
  <r>
    <n v="544"/>
    <x v="521"/>
    <n v="40.76"/>
    <n v="274.71479892125132"/>
    <n v="73.100982859882535"/>
    <n v="10072.015348601659"/>
    <n v="222714.9120148049"/>
    <n v="239.83262093041384"/>
  </r>
  <r>
    <n v="545"/>
    <x v="522"/>
    <n v="41.26"/>
    <n v="278.21776548004311"/>
    <n v="73.175895960685608"/>
    <n v="10195.568039335241"/>
    <n v="225554.81322142229"/>
    <n v="240.07839882018672"/>
  </r>
  <r>
    <n v="546"/>
    <x v="523"/>
    <n v="40.92"/>
    <n v="275.83574822006472"/>
    <n v="73.124955052139512"/>
    <n v="10111.552209636406"/>
    <n v="223623.68040092249"/>
    <n v="239.91126985514114"/>
  </r>
  <r>
    <n v="547"/>
    <x v="524"/>
    <n v="39.89"/>
    <n v="268.5767675587997"/>
    <n v="72.964675137424535"/>
    <n v="9857.033666725225"/>
    <n v="217738.72900536904"/>
    <n v="239.38541711657703"/>
  </r>
  <r>
    <n v="548"/>
    <x v="525"/>
    <n v="39.770000000000003"/>
    <n v="267.70980892133014"/>
    <n v="72.943047670541588"/>
    <n v="9827.3810209491658"/>
    <n v="217035.87419950229"/>
    <n v="239.31446086039966"/>
  </r>
  <r>
    <n v="549"/>
    <x v="526"/>
    <n v="39.42"/>
    <n v="265.18117956204378"/>
    <n v="72.879967558799677"/>
    <n v="9740.8941374356582"/>
    <n v="214985.8810157243"/>
    <n v="239.10750511321575"/>
  </r>
  <r>
    <n v="550"/>
    <x v="527"/>
    <n v="39.49"/>
    <n v="265.68690543390107"/>
    <n v="72.89258358114806"/>
    <n v="9758.1915141383597"/>
    <n v="215395.87965247993"/>
    <n v="239.14889626265253"/>
  </r>
  <r>
    <n v="551"/>
    <x v="527"/>
    <n v="39.42"/>
    <n v="265.18117956204378"/>
    <n v="72.879967558799677"/>
    <n v="9740.8941374356582"/>
    <n v="214985.8810157243"/>
    <n v="239.10750511321575"/>
  </r>
  <r>
    <n v="552"/>
    <x v="528"/>
    <n v="38.270000000000003"/>
    <n v="256.87282595296028"/>
    <n v="72.672704334504829"/>
    <n v="9456.7229487484183"/>
    <n v="208250.18912616817"/>
    <n v="238.42750765818289"/>
  </r>
  <r>
    <n v="553"/>
    <x v="529"/>
    <n v="38.630000000000003"/>
    <n v="259.47370186536904"/>
    <n v="72.737586735153641"/>
    <n v="9545.6808860765959"/>
    <n v="210358.75354376834"/>
    <n v="238.64037642671488"/>
  </r>
  <r>
    <n v="554"/>
    <x v="530"/>
    <n v="37.11"/>
    <n v="248.49222579075425"/>
    <n v="72.46363882130305"/>
    <n v="9170.0807062465046"/>
    <n v="201455.92600278973"/>
    <n v="237.74159718180184"/>
  </r>
  <r>
    <n v="555"/>
    <x v="531"/>
    <n v="38.22"/>
    <n v="256.5115931873479"/>
    <n v="72.663692889970264"/>
    <n v="9444.3676796750588"/>
    <n v="207957.33295705696"/>
    <n v="238.3979425514423"/>
  </r>
  <r>
    <n v="556"/>
    <x v="532"/>
    <n v="37.159999999999997"/>
    <n v="248.85345855636655"/>
    <n v="72.472650265837615"/>
    <n v="9182.4359753198623"/>
    <n v="201748.78217190085"/>
    <n v="237.77116228854243"/>
  </r>
  <r>
    <n v="557"/>
    <x v="533"/>
    <n v="37.17"/>
    <n v="248.92570510948906"/>
    <n v="72.474452554744531"/>
    <n v="9184.9070291345361"/>
    <n v="201807.35340572312"/>
    <n v="237.77707530989053"/>
  </r>
  <r>
    <n v="558"/>
    <x v="534"/>
    <n v="36.53"/>
    <n v="244.30192570965127"/>
    <n v="72.359106064702175"/>
    <n v="9026.7595849955487"/>
    <n v="198058.79444110056"/>
    <n v="237.39864194361135"/>
  </r>
  <r>
    <n v="559"/>
    <x v="535"/>
    <n v="35.880000000000003"/>
    <n v="239.605899756691"/>
    <n v="72.241957285752903"/>
    <n v="8866.1410870418913"/>
    <n v="194251.66424265574"/>
    <n v="237.01429555598406"/>
  </r>
  <r>
    <n v="560"/>
    <x v="536"/>
    <n v="36.72"/>
    <n v="245.6746102189781"/>
    <n v="72.39334955393349"/>
    <n v="9073.7096074743113"/>
    <n v="199171.64788372285"/>
    <n v="237.51098934922547"/>
  </r>
  <r>
    <n v="561"/>
    <x v="537"/>
    <n v="35.42"/>
    <n v="236.28255831305759"/>
    <n v="72.159051996034961"/>
    <n v="8752.4726115669964"/>
    <n v="191557.38748683329"/>
    <n v="236.74229657397089"/>
  </r>
  <r>
    <n v="562"/>
    <x v="538"/>
    <n v="36.18"/>
    <n v="241.77329635036494"/>
    <n v="72.296025952960264"/>
    <n v="8940.2727014820412"/>
    <n v="196008.80125732257"/>
    <n v="237.19168619642744"/>
  </r>
  <r>
    <n v="563"/>
    <x v="538"/>
    <n v="37.06"/>
    <n v="248.13099302514195"/>
    <n v="72.454627376768499"/>
    <n v="9157.7254371731487"/>
    <n v="201163.06983367863"/>
    <n v="237.7120320750613"/>
  </r>
  <r>
    <n v="564"/>
    <x v="539"/>
    <n v="33.82"/>
    <n v="224.66920013315578"/>
    <n v="71.848350347684573"/>
    <n v="8357.1040012195317"/>
    <n v="182142.28478617873"/>
    <n v="235.72293421062068"/>
  </r>
  <r>
    <n v="565"/>
    <x v="540"/>
    <n v="35.57"/>
    <n v="237.36625660989455"/>
    <n v="72.186086329638641"/>
    <n v="8789.5384187870714"/>
    <n v="192435.9559941667"/>
    <n v="236.83099189419258"/>
  </r>
  <r>
    <n v="566"/>
    <x v="541"/>
    <n v="34.880000000000003"/>
    <n v="232.38124444444446"/>
    <n v="72.061728395061735"/>
    <n v="8619.0357055747281"/>
    <n v="188394.54086043302"/>
    <n v="236.42299342117286"/>
  </r>
  <r>
    <n v="567"/>
    <x v="542"/>
    <n v="34.520000000000003"/>
    <n v="229.7790536617843"/>
    <n v="71.996301227992305"/>
    <n v="8530.0777682465487"/>
    <n v="186284.91046017187"/>
    <n v="236.20833736123467"/>
  </r>
  <r>
    <n v="568"/>
    <x v="543"/>
    <n v="34.049999999999997"/>
    <n v="226.34815200684798"/>
    <n v="71.896962779785682"/>
    <n v="8413.9382389569782"/>
    <n v="183503.43322191932"/>
    <n v="235.88242381725098"/>
  </r>
  <r>
    <n v="569"/>
    <x v="544"/>
    <n v="32.31"/>
    <n v="213.64651609282862"/>
    <n v="71.529199163020735"/>
    <n v="7983.9748752041123"/>
    <n v="173206.04940370785"/>
    <n v="234.67585027143906"/>
  </r>
  <r>
    <n v="570"/>
    <x v="545"/>
    <n v="32.83"/>
    <n v="217.44240728552404"/>
    <n v="71.639105531249342"/>
    <n v="8112.4696735670377"/>
    <n v="176283.42847581703"/>
    <n v="235.03643546903803"/>
  </r>
  <r>
    <n v="571"/>
    <x v="546"/>
    <n v="31.81"/>
    <n v="209.99662071523682"/>
    <n v="71.423519962800924"/>
    <n v="7860.4221844705298"/>
    <n v="170247.03106514132"/>
    <n v="234.32913373528621"/>
  </r>
  <r>
    <n v="572"/>
    <x v="547"/>
    <n v="31.85"/>
    <n v="210.28861234544419"/>
    <n v="71.431974298818503"/>
    <n v="7870.3063997292156"/>
    <n v="170483.75253222667"/>
    <n v="234.3568710581784"/>
  </r>
  <r>
    <n v="573"/>
    <x v="548"/>
    <n v="33.28"/>
    <n v="220.72731312535666"/>
    <n v="71.734216811447169"/>
    <n v="8223.6670952272616"/>
    <n v="178946.5449805269"/>
    <n v="235.34848035157557"/>
  </r>
  <r>
    <n v="574"/>
    <x v="549"/>
    <n v="32.85"/>
    <n v="217.58840310062774"/>
    <n v="71.643332699258139"/>
    <n v="8117.4117811963815"/>
    <n v="176401.7892093597"/>
    <n v="235.05030413048414"/>
  </r>
  <r>
    <n v="575"/>
    <x v="549"/>
    <n v="31.86"/>
    <n v="210.361610252996"/>
    <n v="71.434087882822908"/>
    <n v="7872.7774535438875"/>
    <n v="170542.93289899797"/>
    <n v="234.36380538890148"/>
  </r>
  <r>
    <n v="576"/>
    <x v="550"/>
    <n v="30.14"/>
    <n v="197.80597015408028"/>
    <n v="71.070551434066743"/>
    <n v="7447.7561974203627"/>
    <n v="160363.90981432915"/>
    <n v="233.17110050453564"/>
  </r>
  <r>
    <n v="577"/>
    <x v="551"/>
    <n v="30.76"/>
    <n v="202.33184042229411"/>
    <n v="71.201593642339319"/>
    <n v="7600.9615339300062"/>
    <n v="164033.09255415166"/>
    <n v="233.60102900936522"/>
  </r>
  <r>
    <n v="578"/>
    <x v="552"/>
    <n v="33"/>
    <n v="218.68337171390527"/>
    <n v="71.675036459324076"/>
    <n v="8154.4775884164565"/>
    <n v="177289.49471092963"/>
    <n v="235.15431909133"/>
  </r>
  <r>
    <n v="579"/>
    <x v="553"/>
    <n v="33.200000000000003"/>
    <n v="220.14332986494199"/>
    <n v="71.717308139411998"/>
    <n v="8203.8986647098882"/>
    <n v="178473.10204635625"/>
    <n v="235.2930057057911"/>
  </r>
  <r>
    <n v="580"/>
    <x v="554"/>
    <n v="31.96"/>
    <n v="211.09158932851437"/>
    <n v="71.455223722866862"/>
    <n v="7897.4879916906048"/>
    <n v="171134.7365667113"/>
    <n v="234.43314869613204"/>
  </r>
  <r>
    <n v="581"/>
    <x v="555"/>
    <n v="31.51"/>
    <n v="207.80668348868176"/>
    <n v="71.360112442669035"/>
    <n v="7786.29057003038"/>
    <n v="168471.62006200143"/>
    <n v="234.12110381359449"/>
  </r>
  <r>
    <n v="582"/>
    <x v="556"/>
    <n v="31.32"/>
    <n v="206.41972324519688"/>
    <n v="71.319954346585504"/>
    <n v="7739.3405475516183"/>
    <n v="167347.19309334614"/>
    <n v="233.98935152985638"/>
  </r>
  <r>
    <n v="583"/>
    <x v="557"/>
    <n v="30.12"/>
    <n v="197.65997433897661"/>
    <n v="71.066324266057961"/>
    <n v="7442.8140897910198"/>
    <n v="160245.5490807865"/>
    <n v="233.15723184308956"/>
  </r>
  <r>
    <n v="584"/>
    <x v="558"/>
    <n v="31.32"/>
    <n v="206.41972324519688"/>
    <n v="71.319954346585504"/>
    <n v="7739.3405475516183"/>
    <n v="167347.19309334614"/>
    <n v="233.98935152985638"/>
  </r>
  <r>
    <n v="585"/>
    <x v="559"/>
    <n v="29.11"/>
    <n v="190.52340853299705"/>
    <n v="70.837420017747888"/>
    <n v="7193.2376545091829"/>
    <n v="154459.84102352883"/>
    <n v="232.40623365309889"/>
  </r>
  <r>
    <n v="586"/>
    <x v="560"/>
    <n v="28.9"/>
    <n v="189.06170613703236"/>
    <n v="70.788379804773243"/>
    <n v="7141.3455244010775"/>
    <n v="153274.8196057259"/>
    <n v="232.24534056591239"/>
  </r>
  <r>
    <n v="587"/>
    <x v="560"/>
    <n v="28.91"/>
    <n v="189.13131101303068"/>
    <n v="70.790715053010132"/>
    <n v="7143.8165782157494"/>
    <n v="153331.24919704985"/>
    <n v="232.25300214149269"/>
  </r>
  <r>
    <n v="588"/>
    <x v="561"/>
    <n v="26.83"/>
    <n v="174.6534968053804"/>
    <n v="70.304983419737511"/>
    <n v="6629.837384764046"/>
    <n v="141593.89420166853"/>
    <n v="230.65939442078837"/>
  </r>
  <r>
    <n v="589"/>
    <x v="562"/>
    <n v="27.02"/>
    <n v="175.97598944934845"/>
    <n v="70.349353136238378"/>
    <n v="6676.7874072428076"/>
    <n v="142666.05643682356"/>
    <n v="230.80496435681425"/>
  </r>
  <r>
    <n v="590"/>
    <x v="563"/>
    <n v="26.56"/>
    <n v="172.7741651534258"/>
    <n v="70.241931717341558"/>
    <n v="6563.1189317679109"/>
    <n v="140070.29523592192"/>
    <n v="230.45253188012006"/>
  </r>
  <r>
    <n v="591"/>
    <x v="564"/>
    <n v="26.14"/>
    <n v="169.85076036149641"/>
    <n v="70.143851291392281"/>
    <n v="6459.3346715517018"/>
    <n v="137700.25240031609"/>
    <n v="230.13074570574707"/>
  </r>
  <r>
    <n v="592"/>
    <x v="565"/>
    <n v="25.56"/>
    <n v="165.81367755359392"/>
    <n v="70.00840689365279"/>
    <n v="6316.0135503007459"/>
    <n v="134427.33610352705"/>
    <n v="229.68637432208911"/>
  </r>
  <r>
    <n v="593"/>
    <x v="566"/>
    <n v="24.91"/>
    <n v="161.19564577376471"/>
    <n v="69.828888331521895"/>
    <n v="6155.3950523470885"/>
    <n v="130683.43681027833"/>
    <n v="229.09740266155703"/>
  </r>
  <r>
    <n v="594"/>
    <x v="567"/>
    <n v="25.5"/>
    <n v="165.39238517682466"/>
    <n v="69.993311596020405"/>
    <n v="6301.1872274127163"/>
    <n v="134085.78881523709"/>
    <n v="229.63684906738987"/>
  </r>
  <r>
    <n v="595"/>
    <x v="568"/>
    <n v="56.77"/>
    <n v="387.85787385218964"/>
    <n v="75.262832973998286"/>
    <n v="14028.172505890976"/>
    <n v="314441.49564727879"/>
    <n v="246.9253050318151"/>
  </r>
  <r>
    <n v="596"/>
    <x v="569"/>
    <n v="55.92"/>
    <n v="381.54618898314072"/>
    <n v="75.162690418124626"/>
    <n v="13818.132931643886"/>
    <n v="309324.52944889659"/>
    <n v="246.59675333931753"/>
  </r>
  <r>
    <n v="597"/>
    <x v="570"/>
    <n v="56.31"/>
    <n v="384.44213851129257"/>
    <n v="75.208638179054887"/>
    <n v="13914.504030416081"/>
    <n v="311672.313939919"/>
    <n v="246.74750058646345"/>
  </r>
  <r>
    <n v="598"/>
    <x v="571"/>
    <n v="55.52"/>
    <n v="378.57598433888245"/>
    <n v="75.115564509478205"/>
    <n v="13719.290779057021"/>
    <n v="306916.54535554029"/>
    <n v="246.4421407781422"/>
  </r>
  <r>
    <n v="599"/>
    <x v="572"/>
    <n v="55"/>
    <n v="374.71471830134664"/>
    <n v="75.054300828237842"/>
    <n v="13590.795980694093"/>
    <n v="303786.16603417706"/>
    <n v="246.24114444861428"/>
  </r>
  <r>
    <n v="600"/>
    <x v="573"/>
    <n v="54.3"/>
    <n v="369.61588892745573"/>
    <n v="74.969262216051519"/>
    <n v="13417.822213667076"/>
    <n v="299652.47778788005"/>
    <n v="245.96214637713794"/>
  </r>
  <r>
    <n v="601"/>
    <x v="574"/>
    <n v="52.26"/>
    <n v="355.31275807011457"/>
    <n v="74.707007597670568"/>
    <n v="12913.72723547406"/>
    <n v="288056.74088932981"/>
    <n v="245.10173096250571"/>
  </r>
  <r>
    <n v="602"/>
    <x v="575"/>
    <n v="51.72"/>
    <n v="351.52663519611247"/>
    <n v="74.637587257510901"/>
    <n v="12780.29032948179"/>
    <n v="284987.28112206643"/>
    <n v="244.87397394098542"/>
  </r>
  <r>
    <n v="603"/>
    <x v="576"/>
    <n v="52.63"/>
    <n v="357.90695337267158"/>
    <n v="74.754573386298489"/>
    <n v="13005.156226616911"/>
    <n v="290159.88924838061"/>
    <n v="245.25778669947334"/>
  </r>
  <r>
    <n v="604"/>
    <x v="576"/>
    <n v="52.89"/>
    <n v="359.72990142311698"/>
    <n v="74.787997994523508"/>
    <n v="13069.403625798375"/>
    <n v="291637.77728447033"/>
    <n v="245.36744748761274"/>
  </r>
  <r>
    <n v="605"/>
    <x v="577"/>
    <n v="51.65"/>
    <n v="351.03584149022333"/>
    <n v="74.628588324527229"/>
    <n v="12762.992952779088"/>
    <n v="284589.38818927307"/>
    <n v="244.84444988264016"/>
  </r>
  <r>
    <n v="606"/>
    <x v="578"/>
    <n v="51.99"/>
    <n v="353.41969663311352"/>
    <n v="74.672297427590735"/>
    <n v="12847.008782477926"/>
    <n v="286522.01100569812"/>
    <n v="244.98785245174557"/>
  </r>
  <r>
    <n v="607"/>
    <x v="579"/>
    <n v="51.51"/>
    <n v="350.05425407844501"/>
    <n v="74.610590458559912"/>
    <n v="12728.398199373685"/>
    <n v="283793.6023236863"/>
    <n v="244.78540176594973"/>
  </r>
  <r>
    <n v="608"/>
    <x v="580"/>
    <n v="51.03"/>
    <n v="346.68881152377651"/>
    <n v="74.548883489529103"/>
    <n v="12609.787616269448"/>
    <n v="281065.19364167447"/>
    <n v="244.58295108015392"/>
  </r>
  <r>
    <n v="609"/>
    <x v="581"/>
    <n v="50.83"/>
    <n v="345.28654379266459"/>
    <n v="74.523172252432929"/>
    <n v="12560.366539976014"/>
    <n v="279928.35669083614"/>
    <n v="244.49859662773898"/>
  </r>
  <r>
    <n v="610"/>
    <x v="582"/>
    <n v="49.93"/>
    <n v="338.97633900266112"/>
    <n v="74.407471685500141"/>
    <n v="12337.971696655564"/>
    <n v="274812.59041206399"/>
    <n v="244.11900159187178"/>
  </r>
  <r>
    <n v="611"/>
    <x v="583"/>
    <n v="48.07"/>
    <n v="325.93524910332064"/>
    <n v="74.168357180505737"/>
    <n v="11878.355687126637"/>
    <n v="264240.00676926813"/>
    <n v="243.33450518441296"/>
  </r>
  <r>
    <n v="612"/>
    <x v="584"/>
    <n v="47.86"/>
    <n v="324.46286798565313"/>
    <n v="74.141360381554762"/>
    <n v="11826.463557018533"/>
    <n v="263046.32797088788"/>
    <n v="243.2459330093773"/>
  </r>
  <r>
    <n v="613"/>
    <x v="585"/>
    <n v="47.21"/>
    <n v="319.90549785953954"/>
    <n v="74.057798860992193"/>
    <n v="11665.845059064875"/>
    <n v="259351.60788066353"/>
    <n v="242.97178103902877"/>
  </r>
  <r>
    <n v="614"/>
    <x v="586"/>
    <n v="46.04"/>
    <n v="311.70612578209278"/>
    <n v="73.892065204362936"/>
    <n v="11376.731762748292"/>
    <n v="252704.26875668473"/>
    <n v="242.42803544641527"/>
  </r>
  <r>
    <n v="615"/>
    <x v="587"/>
    <n v="49.37"/>
    <n v="335.04998935554784"/>
    <n v="74.33548022163086"/>
    <n v="12199.59268303395"/>
    <n v="271629.44694971677"/>
    <n v="243.88280912510999"/>
  </r>
  <r>
    <n v="616"/>
    <x v="588"/>
    <n v="47.92"/>
    <n v="324.88354830498673"/>
    <n v="74.149073752683606"/>
    <n v="11841.289879906564"/>
    <n v="263387.37905613938"/>
    <n v="243.27123934510175"/>
  </r>
  <r>
    <n v="617"/>
    <x v="589"/>
    <n v="47.91"/>
    <n v="324.81343491843108"/>
    <n v="74.147788190828805"/>
    <n v="11838.818826091891"/>
    <n v="263330.53720859747"/>
    <n v="243.26702162248102"/>
  </r>
  <r>
    <n v="618"/>
    <x v="590"/>
    <n v="46.28"/>
    <n v="313.38754973031286"/>
    <n v="73.928023492748409"/>
    <n v="11436.037054300412"/>
    <n v="254067.42133586115"/>
    <n v="242.54600883350625"/>
  </r>
  <r>
    <n v="619"/>
    <x v="591"/>
    <n v="46.06"/>
    <n v="311.84624444444449"/>
    <n v="73.895061728395063"/>
    <n v="11381.673870377637"/>
    <n v="252817.8648049495"/>
    <n v="242.43786656200618"/>
  </r>
  <r>
    <n v="620"/>
    <x v="592"/>
    <n v="45.95"/>
    <n v="311.07559180151026"/>
    <n v="73.878580846218384"/>
    <n v="11354.492278416248"/>
    <n v="252193.08653949364"/>
    <n v="242.38379542625614"/>
  </r>
  <r>
    <n v="621"/>
    <x v="593"/>
    <n v="46.08"/>
    <n v="311.98636310679615"/>
    <n v="73.898058252427191"/>
    <n v="11386.615978006979"/>
    <n v="252931.46085321417"/>
    <n v="242.44769767759712"/>
  </r>
  <r>
    <n v="622"/>
    <x v="594"/>
    <n v="44.08"/>
    <n v="297.9744968716289"/>
    <n v="73.598405849214913"/>
    <n v="10892.405215072647"/>
    <n v="241571.8560267445"/>
    <n v="241.46458611850565"/>
  </r>
  <r>
    <n v="623"/>
    <x v="595"/>
    <n v="44.65"/>
    <n v="301.96787874865157"/>
    <n v="73.683806784130411"/>
    <n v="11033.255282508931"/>
    <n v="244809.34340228836"/>
    <n v="241.74477291284671"/>
  </r>
  <r>
    <n v="624"/>
    <x v="596"/>
    <n v="44.06"/>
    <n v="297.83437820927725"/>
    <n v="73.595409325182786"/>
    <n v="10887.463107443304"/>
    <n v="241458.25997847979"/>
    <n v="241.45475500291474"/>
  </r>
  <r>
    <n v="625"/>
    <x v="597"/>
    <n v="43.55"/>
    <n v="294.26135231930959"/>
    <n v="73.518997962363656"/>
    <n v="10761.439362895051"/>
    <n v="238561.56074773005"/>
    <n v="241.20406155534641"/>
  </r>
  <r>
    <n v="626"/>
    <x v="598"/>
    <n v="42.63"/>
    <n v="287.81589385113273"/>
    <n v="73.38115785688602"/>
    <n v="10534.10241194526"/>
    <n v="233336.14252755404"/>
    <n v="240.75183023816436"/>
  </r>
  <r>
    <n v="627"/>
    <x v="599"/>
    <n v="42.77"/>
    <n v="288.79672448759442"/>
    <n v="73.40213352511087"/>
    <n v="10568.697165350663"/>
    <n v="234131.31486540692"/>
    <n v="240.82064804730075"/>
  </r>
  <r>
    <n v="628"/>
    <x v="600"/>
    <n v="41.41"/>
    <n v="279.26865544768066"/>
    <n v="73.198369890926529"/>
    <n v="10232.633846555314"/>
    <n v="226406.78358340752"/>
    <n v="240.15213218711855"/>
  </r>
  <r>
    <n v="629"/>
    <x v="601"/>
    <n v="41.27"/>
    <n v="278.28782481121902"/>
    <n v="73.177394222701665"/>
    <n v="10198.039093149913"/>
    <n v="225611.6112455547"/>
    <n v="240.08331437798216"/>
  </r>
  <r>
    <n v="630"/>
    <x v="602"/>
    <n v="41.02"/>
    <n v="276.5363415318231"/>
    <n v="73.139937672300135"/>
    <n v="10136.262747783121"/>
    <n v="224191.66064224599"/>
    <n v="239.96042543309574"/>
  </r>
  <r>
    <n v="631"/>
    <x v="603"/>
    <n v="40.9"/>
    <n v="275.69562955771306"/>
    <n v="73.121958528107399"/>
    <n v="10106.610102007062"/>
    <n v="223510.08435265781"/>
    <n v="239.90143873955026"/>
  </r>
  <r>
    <n v="632"/>
    <x v="604"/>
    <n v="42.4"/>
    <n v="286.20452923408845"/>
    <n v="73.346697830516604"/>
    <n v="10477.268174207809"/>
    <n v="232029.78797251001"/>
    <n v="240.63877240886885"/>
  </r>
  <r>
    <n v="633"/>
    <x v="605"/>
    <n v="40.33"/>
    <n v="271.70224768069039"/>
    <n v="73.036557593191901"/>
    <n v="9965.7600345707779"/>
    <n v="220272.59697711395"/>
    <n v="239.6212519452092"/>
  </r>
  <r>
    <n v="634"/>
    <x v="606"/>
    <n v="40.270000000000003"/>
    <n v="271.28189169363543"/>
    <n v="73.027568021095533"/>
    <n v="9950.9337116827501"/>
    <n v="219931.80883231992"/>
    <n v="239.59175859843643"/>
  </r>
  <r>
    <n v="635"/>
    <x v="607"/>
    <n v="39.81"/>
    <n v="267.99879513381995"/>
    <n v="72.950256826169237"/>
    <n v="9837.2652362078534"/>
    <n v="217270.15913479117"/>
    <n v="239.33811294579212"/>
  </r>
  <r>
    <n v="636"/>
    <x v="608"/>
    <n v="38.58"/>
    <n v="259.11246909975665"/>
    <n v="72.728575290619091"/>
    <n v="9533.3256170032382"/>
    <n v="210065.89737465716"/>
    <n v="238.61081131997435"/>
  </r>
  <r>
    <n v="637"/>
    <x v="609"/>
    <n v="43.09"/>
    <n v="291.03862308522116"/>
    <n v="73.450077909624838"/>
    <n v="10647.770887420156"/>
    <n v="235948.85163764207"/>
    <n v="240.97794589675539"/>
  </r>
  <r>
    <n v="638"/>
    <x v="610"/>
    <n v="39.47"/>
    <n v="265.54241232765611"/>
    <n v="72.888979003334228"/>
    <n v="9753.2494065090159"/>
    <n v="215278.73718483542"/>
    <n v="239.13707021995629"/>
  </r>
  <r>
    <n v="639"/>
    <x v="611"/>
    <n v="54.35"/>
    <n v="369.96645586023374"/>
    <n v="74.975690025325562"/>
    <n v="13430.177482740435"/>
    <n v="299936.68702558969"/>
    <n v="245.98323499024167"/>
  </r>
  <r>
    <n v="640"/>
    <x v="612"/>
    <n v="54.07"/>
    <n v="368.00328103667709"/>
    <n v="74.939694293390929"/>
    <n v="13360.987975929631"/>
    <n v="298345.11529441609"/>
    <n v="245.8651387568608"/>
  </r>
  <r>
    <n v="641"/>
    <x v="613"/>
    <n v="52.93"/>
    <n v="360.01035496933935"/>
    <n v="74.793140241942737"/>
    <n v="13079.287841057061"/>
    <n v="291865.144674638"/>
    <n v="245.38431837809568"/>
  </r>
  <r>
    <n v="642"/>
    <x v="614"/>
    <n v="52.3"/>
    <n v="355.59321161633693"/>
    <n v="74.712149845089797"/>
    <n v="12923.611450732746"/>
    <n v="288284.10827949742"/>
    <n v="245.11860185298869"/>
  </r>
  <r>
    <n v="643"/>
    <x v="615"/>
    <n v="51.6"/>
    <n v="350.68527455744538"/>
    <n v="74.622160515253185"/>
    <n v="12750.637683705731"/>
    <n v="284305.17895156355"/>
    <n v="244.82336126953641"/>
  </r>
  <r>
    <n v="644"/>
    <x v="616"/>
    <n v="50.32"/>
    <n v="341.71076107832931"/>
    <n v="74.457608597837691"/>
    <n v="12434.342795427759"/>
    <n v="277029.42246619862"/>
    <n v="244.28349277408091"/>
  </r>
  <r>
    <n v="645"/>
    <x v="617"/>
    <n v="45.77"/>
    <n v="309.81452384034526"/>
    <n v="73.851612129929279"/>
    <n v="11310.013309752159"/>
    <n v="251170.72210511137"/>
    <n v="242.29531538593793"/>
  </r>
  <r>
    <n v="646"/>
    <x v="618"/>
    <n v="44.95"/>
    <n v="304.06965868392666"/>
    <n v="73.728754644612252"/>
    <n v="11107.386896949083"/>
    <n v="246513.2841262588"/>
    <n v="241.89223964671044"/>
  </r>
  <r>
    <n v="647"/>
    <x v="619"/>
    <n v="43.79"/>
    <n v="295.94277626752967"/>
    <n v="73.554956250749129"/>
    <n v="10820.74465444717"/>
    <n v="239924.71332690641"/>
    <n v="241.32203494243737"/>
  </r>
  <r>
    <n v="648"/>
    <x v="620"/>
    <n v="43.5"/>
    <n v="293.91105566343043"/>
    <n v="73.511506652283359"/>
    <n v="10749.084093821693"/>
    <n v="238277.57062706834"/>
    <n v="241.17948376636915"/>
  </r>
  <r>
    <n v="649"/>
    <x v="621"/>
    <n v="42.54"/>
    <n v="287.18535987055014"/>
    <n v="73.367673498741453"/>
    <n v="10511.862927613212"/>
    <n v="232824.96031036286"/>
    <n v="240.70759021800521"/>
  </r>
  <r>
    <n v="650"/>
    <x v="622"/>
    <n v="40.950000000000003"/>
    <n v="276.04592621359222"/>
    <n v="73.129449838187696"/>
    <n v="10118.96537108042"/>
    <n v="223794.07447331955"/>
    <n v="239.9260165285275"/>
  </r>
  <r>
    <n v="651"/>
    <x v="623"/>
    <n v="41.68"/>
    <n v="281.16025738942824"/>
    <n v="73.238822965360185"/>
    <n v="10299.35229955145"/>
    <n v="227940.33023498091"/>
    <n v="240.28485224759592"/>
  </r>
  <r>
    <n v="652"/>
    <x v="624"/>
    <n v="40"/>
    <n v="269.37147964314681"/>
    <n v="72.984500315400552"/>
    <n v="9884.2152586866141"/>
    <n v="218383.01257741352"/>
    <n v="239.45046035140624"/>
  </r>
  <r>
    <n v="653"/>
    <x v="625"/>
    <n v="38.53"/>
    <n v="258.75123633414438"/>
    <n v="72.719563846084526"/>
    <n v="9520.9703479298805"/>
    <n v="209773.04120554606"/>
    <n v="238.58124621323375"/>
  </r>
  <r>
    <n v="654"/>
    <x v="626"/>
    <n v="38.47"/>
    <n v="258.31775701540954"/>
    <n v="72.70875011264306"/>
    <n v="9506.1440250418491"/>
    <n v="209421.61380261264"/>
    <n v="238.54576808514511"/>
  </r>
  <r>
    <n v="655"/>
    <x v="627"/>
    <n v="38.619999999999997"/>
    <n v="259.40145531224653"/>
    <n v="72.73578444624674"/>
    <n v="9543.209832261924"/>
    <n v="210300.18230994607"/>
    <n v="238.6344634053668"/>
  </r>
  <r>
    <n v="656"/>
    <x v="628"/>
    <n v="37.25"/>
    <n v="249.50367753446878"/>
    <n v="72.488870865999814"/>
    <n v="9204.6754596519095"/>
    <n v="202275.92327630092"/>
    <n v="237.82437948067539"/>
  </r>
  <r>
    <n v="657"/>
    <x v="629"/>
    <n v="35.659999999999997"/>
    <n v="238.01647558799672"/>
    <n v="72.202306929800841"/>
    <n v="8811.7779031191149"/>
    <n v="192963.09709856671"/>
    <n v="236.88420908632557"/>
  </r>
  <r>
    <n v="658"/>
    <x v="630"/>
    <n v="35.56"/>
    <n v="237.29401005677212"/>
    <n v="72.184284040731725"/>
    <n v="8787.0673649724013"/>
    <n v="192377.38476034449"/>
    <n v="236.82507887284447"/>
  </r>
  <r>
    <n v="659"/>
    <x v="631"/>
    <n v="35.82"/>
    <n v="239.17242043795619"/>
    <n v="72.231143552311437"/>
    <n v="8851.3147641538617"/>
    <n v="193900.23683972238"/>
    <n v="236.97881742789539"/>
  </r>
  <r>
    <n v="660"/>
    <x v="632"/>
    <n v="34.44"/>
    <n v="229.19507040136958"/>
    <n v="71.979392555957133"/>
    <n v="8510.3093377291734"/>
    <n v="185811.46752600119"/>
    <n v="236.1528627154502"/>
  </r>
  <r>
    <n v="661"/>
    <x v="633"/>
    <n v="33.22"/>
    <n v="220.28932568004564"/>
    <n v="71.721535307420794"/>
    <n v="8208.840772339232"/>
    <n v="178591.46277989889"/>
    <n v="235.30687436723724"/>
  </r>
  <r>
    <n v="662"/>
    <x v="634"/>
    <n v="32.659999999999997"/>
    <n v="216.20144285714284"/>
    <n v="71.603174603174608"/>
    <n v="8070.461758717619"/>
    <n v="175277.36224070439"/>
    <n v="234.91855184674606"/>
  </r>
  <r>
    <n v="663"/>
    <x v="635"/>
    <n v="32.54"/>
    <n v="215.32546796652082"/>
    <n v="71.577811595121844"/>
    <n v="8040.8091129415598"/>
    <n v="174567.19783944843"/>
    <n v="234.83533987806933"/>
  </r>
  <r>
    <n v="664"/>
    <x v="636"/>
    <n v="61.82"/>
    <n v="425.35670748595061"/>
    <n v="75.857797570659415"/>
    <n v="15276.054682300162"/>
    <n v="344842.29482590221"/>
    <n v="248.87728861665352"/>
  </r>
  <r>
    <n v="665"/>
    <x v="637"/>
    <n v="56.3"/>
    <n v="384.36788339518608"/>
    <n v="75.207460031338726"/>
    <n v="13912.032976601407"/>
    <n v="311612.11433758505"/>
    <n v="246.74363527243406"/>
  </r>
  <r>
    <n v="666"/>
    <x v="638"/>
    <n v="53.38"/>
    <n v="363.16545736434114"/>
    <n v="74.850990525409131"/>
    <n v="13190.485262717286"/>
    <n v="294423.02781402413"/>
    <n v="245.5741158960293"/>
  </r>
  <r>
    <n v="667"/>
    <x v="639"/>
    <n v="68.5"/>
    <n v="478.73501387929281"/>
    <n v="76.617873512610359"/>
    <n v="16926.718630500825"/>
    <n v="388116.79208114592"/>
    <n v="251.37097609023587"/>
  </r>
  <r>
    <n v="668"/>
    <x v="640"/>
    <n v="55.77"/>
    <n v="380.4323622415439"/>
    <n v="75.145018202382218"/>
    <n v="13781.067124423811"/>
    <n v="308421.53541388799"/>
    <n v="246.53877362887678"/>
  </r>
  <r>
    <n v="669"/>
    <x v="641"/>
    <n v="55.11"/>
    <n v="375.53152457851769"/>
    <n v="75.067260453115608"/>
    <n v="13617.977572655482"/>
    <n v="304448.36165985005"/>
    <n v="246.28366290293746"/>
  </r>
  <r>
    <n v="670"/>
    <x v="642"/>
    <n v="53.81"/>
    <n v="366.18033298623169"/>
    <n v="74.906269685165896"/>
    <n v="13296.740576748169"/>
    <n v="296867.22725832637"/>
    <n v="245.75547796872138"/>
  </r>
  <r>
    <n v="671"/>
    <x v="643"/>
    <n v="53.34"/>
    <n v="362.88500381811878"/>
    <n v="74.845848277989901"/>
    <n v="13180.6010474586"/>
    <n v="294195.66042385646"/>
    <n v="245.55724500554632"/>
  </r>
  <r>
    <n v="672"/>
    <x v="644"/>
    <n v="53.8"/>
    <n v="366.11021959967604"/>
    <n v="74.904984123311095"/>
    <n v="13294.269522933495"/>
    <n v="296810.38541078439"/>
    <n v="245.75126024610066"/>
  </r>
  <r>
    <n v="673"/>
    <x v="645"/>
    <n v="53.19"/>
    <n v="361.83330301978481"/>
    <n v="74.82656485016777"/>
    <n v="13143.535240238523"/>
    <n v="293343.03271072771"/>
    <n v="245.49397916623514"/>
  </r>
  <r>
    <n v="674"/>
    <x v="646"/>
    <n v="50.63"/>
    <n v="343.88427606155273"/>
    <n v="74.497461015336754"/>
    <n v="12510.945463682581"/>
    <n v="278791.51973999786"/>
    <n v="244.41424217532403"/>
  </r>
  <r>
    <n v="675"/>
    <x v="647"/>
    <n v="50.97"/>
    <n v="346.26813120444291"/>
    <n v="74.541170118400245"/>
    <n v="12594.961293381417"/>
    <n v="280724.14255642297"/>
    <n v="244.55764474442941"/>
  </r>
  <r>
    <n v="676"/>
    <x v="648"/>
    <n v="50.52"/>
    <n v="343.11302880944123"/>
    <n v="74.483319834933852"/>
    <n v="12483.763871721194"/>
    <n v="278166.2594170369"/>
    <n v="244.3678472264958"/>
  </r>
  <r>
    <n v="677"/>
    <x v="649"/>
    <n v="49.67"/>
    <n v="337.15339095221572"/>
    <n v="74.374047077275122"/>
    <n v="12273.724297474102"/>
    <n v="273334.70237597422"/>
    <n v="244.00934080373239"/>
  </r>
  <r>
    <n v="678"/>
    <x v="650"/>
    <n v="48.5"/>
    <n v="328.9501247252112"/>
    <n v="74.223636340262516"/>
    <n v="11984.61100115752"/>
    <n v="266684.20621357037"/>
    <n v="243.51586725710507"/>
  </r>
  <r>
    <n v="679"/>
    <x v="651"/>
    <n v="48.01"/>
    <n v="325.51456878398704"/>
    <n v="74.160643809376893"/>
    <n v="11863.529364238608"/>
    <n v="263898.95568401663"/>
    <n v="243.30919884868851"/>
  </r>
  <r>
    <n v="680"/>
    <x v="652"/>
    <n v="47.15"/>
    <n v="319.48481754020594"/>
    <n v="74.050085489863349"/>
    <n v="11651.018736176844"/>
    <n v="259010.55679541201"/>
    <n v="242.94647470330432"/>
  </r>
  <r>
    <n v="681"/>
    <x v="653"/>
    <n v="46.64"/>
    <n v="315.90968565264296"/>
    <n v="73.981960925326618"/>
    <n v="11524.994991628591"/>
    <n v="256112.15020462562"/>
    <n v="242.72296891414268"/>
  </r>
  <r>
    <n v="682"/>
    <x v="654"/>
    <n v="46.3"/>
    <n v="313.52766839266451"/>
    <n v="73.931020016780536"/>
    <n v="11440.979161929754"/>
    <n v="254181.01738412579"/>
    <n v="242.55583994909716"/>
  </r>
  <r>
    <n v="683"/>
    <x v="655"/>
    <n v="46.42"/>
    <n v="314.36838036677455"/>
    <n v="73.948999160973273"/>
    <n v="11470.631807705815"/>
    <n v="254862.593673714"/>
    <n v="242.61482664264264"/>
  </r>
  <r>
    <n v="684"/>
    <x v="656"/>
    <n v="45.47"/>
    <n v="307.71274390507011"/>
    <n v="73.806664269447438"/>
    <n v="11235.881695312008"/>
    <n v="249466.7813811409"/>
    <n v="242.1478486520742"/>
  </r>
  <r>
    <n v="685"/>
    <x v="657"/>
    <n v="45.57"/>
    <n v="308.4133372168285"/>
    <n v="73.821646889608061"/>
    <n v="11260.592233458725"/>
    <n v="250034.7616224644"/>
    <n v="242.1970042300288"/>
  </r>
  <r>
    <n v="686"/>
    <x v="658"/>
    <n v="44.96"/>
    <n v="304.13971801510252"/>
    <n v="73.730252906628309"/>
    <n v="11109.857950763753"/>
    <n v="246570.08215039116"/>
    <n v="241.89715520450588"/>
  </r>
  <r>
    <n v="687"/>
    <x v="659"/>
    <n v="43.4"/>
    <n v="293.21046235167205"/>
    <n v="73.496524032122736"/>
    <n v="10724.373555674976"/>
    <n v="237709.59038574481"/>
    <n v="241.13032818841455"/>
  </r>
  <r>
    <n v="688"/>
    <x v="660"/>
    <n v="42.62"/>
    <n v="287.74583451995682"/>
    <n v="73.379659594869949"/>
    <n v="10531.631358130586"/>
    <n v="233279.34450342163"/>
    <n v="240.74691468036889"/>
  </r>
  <r>
    <n v="689"/>
    <x v="661"/>
    <n v="42.46"/>
    <n v="286.62488522114347"/>
    <n v="73.355687402612972"/>
    <n v="10492.094497095841"/>
    <n v="232370.5761173041"/>
    <n v="240.66826575564158"/>
  </r>
  <r>
    <n v="690"/>
    <x v="662"/>
    <n v="42.14"/>
    <n v="284.38298662351673"/>
    <n v="73.307743018099004"/>
    <n v="10413.020775026347"/>
    <n v="230553.03934506897"/>
    <n v="240.51096790618692"/>
  </r>
  <r>
    <n v="691"/>
    <x v="663"/>
    <n v="40.83"/>
    <n v="275.20521423948219"/>
    <n v="73.11147069399496"/>
    <n v="10089.31272530436"/>
    <n v="223112.49818373137"/>
    <n v="239.86702983498202"/>
  </r>
  <r>
    <n v="692"/>
    <x v="664"/>
    <n v="40.17"/>
    <n v="270.58129838187705"/>
    <n v="73.01258540093491"/>
    <n v="9926.2231735360328"/>
    <n v="219363.82859099639"/>
    <n v="239.54260302048183"/>
  </r>
  <r>
    <n v="693"/>
    <x v="665"/>
    <n v="41.73"/>
    <n v="281.5105540453074"/>
    <n v="73.246314275440483"/>
    <n v="10311.707568624808"/>
    <n v="228224.32035564267"/>
    <n v="240.30943003657316"/>
  </r>
  <r>
    <n v="694"/>
    <x v="666"/>
    <n v="48.23"/>
    <n v="327.05706328821009"/>
    <n v="74.188926170182683"/>
    <n v="11917.892548161384"/>
    <n v="265149.47632993868"/>
    <n v="243.40198874634493"/>
  </r>
  <r>
    <n v="695"/>
    <x v="667"/>
    <n v="47.93"/>
    <n v="324.95366169154232"/>
    <n v="74.15035931453842"/>
    <n v="11843.760933721234"/>
    <n v="263444.2209036813"/>
    <n v="243.27545706772253"/>
  </r>
  <r>
    <n v="696"/>
    <x v="668"/>
    <n v="47.05"/>
    <n v="318.78368367464998"/>
    <n v="74.037229871315262"/>
    <n v="11626.308198030129"/>
    <n v="258442.1383199929"/>
    <n v="242.90429747709683"/>
  </r>
  <r>
    <n v="697"/>
    <x v="669"/>
    <n v="46.96"/>
    <n v="318.15266319564967"/>
    <n v="74.025659814621974"/>
    <n v="11604.068713698083"/>
    <n v="257930.56169211571"/>
    <n v="242.8663379735101"/>
  </r>
  <r>
    <n v="698"/>
    <x v="670"/>
    <n v="46.57"/>
    <n v="315.41927033441209"/>
    <n v="73.971473091214193"/>
    <n v="11507.69761492589"/>
    <n v="255714.56403569921"/>
    <n v="242.6885600095745"/>
  </r>
  <r>
    <n v="699"/>
    <x v="671"/>
    <n v="45.81"/>
    <n v="310.09476116504857"/>
    <n v="73.857605177993534"/>
    <n v="11319.897525010845"/>
    <n v="251397.91420164076"/>
    <n v="242.31497761711978"/>
  </r>
  <r>
    <n v="700"/>
    <x v="672"/>
    <n v="45.32"/>
    <n v="306.66185393743257"/>
    <n v="73.784190339206518"/>
    <n v="11198.815888091933"/>
    <n v="248614.81101915566"/>
    <n v="242.07411528514234"/>
  </r>
  <r>
    <n v="701"/>
    <x v="673"/>
    <n v="45.27"/>
    <n v="306.31155728155341"/>
    <n v="73.77669902912622"/>
    <n v="11186.460619018575"/>
    <n v="248330.82089849396"/>
    <n v="242.04953749616507"/>
  </r>
  <r>
    <n v="702"/>
    <x v="674"/>
    <n v="44.79"/>
    <n v="302.94870938511326"/>
    <n v="73.704782452355275"/>
    <n v="11067.850035914335"/>
    <n v="245604.51574014121"/>
    <n v="241.81359072198313"/>
  </r>
  <r>
    <n v="703"/>
    <x v="675"/>
    <n v="44.07"/>
    <n v="297.9044375404531"/>
    <n v="73.596907587198857"/>
    <n v="10889.934161257976"/>
    <n v="241515.0580026122"/>
    <n v="241.45967056071021"/>
  </r>
  <r>
    <n v="704"/>
    <x v="676"/>
    <n v="42.23"/>
    <n v="285.0135206040992"/>
    <n v="73.321227376243556"/>
    <n v="10435.260259358391"/>
    <n v="231064.22156226006"/>
    <n v="240.55520792634604"/>
  </r>
  <r>
    <n v="705"/>
    <x v="677"/>
    <n v="42.54"/>
    <n v="287.18535987055014"/>
    <n v="73.367673498741453"/>
    <n v="10511.862927613212"/>
    <n v="232824.96031036286"/>
    <n v="240.70759021800521"/>
  </r>
  <r>
    <n v="706"/>
    <x v="678"/>
    <n v="42.19"/>
    <n v="284.73328327939589"/>
    <n v="73.315234328179315"/>
    <n v="10425.376044099705"/>
    <n v="230837.02946573071"/>
    <n v="240.53554569516425"/>
  </r>
  <r>
    <n v="707"/>
    <x v="679"/>
    <n v="40.36"/>
    <n v="271.9124256742179"/>
    <n v="73.041052379240085"/>
    <n v="9973.1731960147936"/>
    <n v="220442.99104951098"/>
    <n v="239.63599861859555"/>
  </r>
  <r>
    <n v="708"/>
    <x v="679"/>
    <n v="40.6"/>
    <n v="273.59384962243797"/>
    <n v="73.077010667625558"/>
    <n v="10032.478487566914"/>
    <n v="221806.14362868736"/>
    <n v="239.75397200568653"/>
  </r>
  <r>
    <n v="709"/>
    <x v="680"/>
    <n v="39.979999999999997"/>
    <n v="269.22698653690185"/>
    <n v="72.980895737586735"/>
    <n v="9879.2731510572703"/>
    <n v="218265.87010976902"/>
    <n v="239.43863430871002"/>
  </r>
  <r>
    <n v="710"/>
    <x v="681"/>
    <n v="39.380000000000003"/>
    <n v="264.89219334955396"/>
    <n v="72.872758403172028"/>
    <n v="9731.0099221769706"/>
    <n v="214751.59608043541"/>
    <n v="239.0838530278233"/>
  </r>
  <r>
    <n v="711"/>
    <x v="682"/>
    <n v="39.32"/>
    <n v="264.45871403081912"/>
    <n v="72.861944669730562"/>
    <n v="9716.183599288941"/>
    <n v="214400.16867750199"/>
    <n v="239.04837489973463"/>
  </r>
  <r>
    <n v="712"/>
    <x v="682"/>
    <n v="39.42"/>
    <n v="265.18117956204378"/>
    <n v="72.879967558799677"/>
    <n v="9740.8941374356582"/>
    <n v="214985.8810157243"/>
    <n v="239.10750511321575"/>
  </r>
  <r>
    <n v="713"/>
    <x v="683"/>
    <n v="46.68"/>
    <n v="316.18992297734627"/>
    <n v="73.987953973390873"/>
    <n v="11534.879206887277"/>
    <n v="256339.342301155"/>
    <n v="242.74263114532457"/>
  </r>
  <r>
    <n v="714"/>
    <x v="684"/>
    <n v="46.83"/>
    <n v="317.24118917042694"/>
    <n v="74.008947510509472"/>
    <n v="11571.945014107352"/>
    <n v="257191.61767407085"/>
    <n v="242.81150757944042"/>
  </r>
  <r>
    <n v="715"/>
    <x v="685"/>
    <n v="47.61"/>
    <n v="322.71003332176326"/>
    <n v="74.109221335184543"/>
    <n v="11764.687211651741"/>
    <n v="261625.28178234005"/>
    <n v="243.14048994385863"/>
  </r>
  <r>
    <n v="716"/>
    <x v="686"/>
    <n v="47.98"/>
    <n v="325.30422862432027"/>
    <n v="74.156787123812464"/>
    <n v="11856.116202794592"/>
    <n v="263728.43014139088"/>
    <n v="243.29654568082626"/>
  </r>
  <r>
    <n v="717"/>
    <x v="687"/>
    <n v="46.95"/>
    <n v="318.08254980909408"/>
    <n v="74.024374252767174"/>
    <n v="11601.597659883413"/>
    <n v="257873.71984457379"/>
    <n v="242.86212025088938"/>
  </r>
  <r>
    <n v="718"/>
    <x v="688"/>
    <n v="45.89"/>
    <n v="310.65523581445524"/>
    <n v="73.869591274122016"/>
    <n v="11339.665955528219"/>
    <n v="251852.29839469952"/>
    <n v="242.3543020794834"/>
  </r>
  <r>
    <n v="719"/>
    <x v="689"/>
    <n v="61.74"/>
    <n v="424.76266655709895"/>
    <n v="75.84837238893013"/>
    <n v="15256.286251782789"/>
    <n v="344360.69800723094"/>
    <n v="248.84636610441845"/>
  </r>
  <r>
    <n v="720"/>
    <x v="690"/>
    <n v="55.83"/>
    <n v="380.87789293818258"/>
    <n v="75.152087088679181"/>
    <n v="13795.893447311841"/>
    <n v="308782.73302789137"/>
    <n v="246.56196551305308"/>
  </r>
  <r>
    <n v="721"/>
    <x v="691"/>
    <n v="53.67"/>
    <n v="365.19874557445337"/>
    <n v="74.888271819198579"/>
    <n v="13262.145823342764"/>
    <n v="296071.44139273959"/>
    <n v="245.69642985203095"/>
  </r>
  <r>
    <n v="722"/>
    <x v="692"/>
    <n v="53.66"/>
    <n v="365.12863218789772"/>
    <n v="74.886986257343779"/>
    <n v="13259.674769528092"/>
    <n v="296014.59954519768"/>
    <n v="245.69221212941022"/>
  </r>
  <r>
    <n v="723"/>
    <x v="693"/>
    <n v="54.02"/>
    <n v="367.65271410389914"/>
    <n v="74.933266484116885"/>
    <n v="13348.632706856273"/>
    <n v="298060.90605670656"/>
    <n v="245.84405014375707"/>
  </r>
  <r>
    <n v="724"/>
    <x v="694"/>
    <n v="52.17"/>
    <n v="354.68173759111426"/>
    <n v="74.695437540977281"/>
    <n v="12891.487751142015"/>
    <n v="287545.16426145262"/>
    <n v="245.06377145891898"/>
  </r>
  <r>
    <n v="725"/>
    <x v="695"/>
    <n v="53.37"/>
    <n v="363.09534397778549"/>
    <n v="74.849704963554316"/>
    <n v="13188.014208902614"/>
    <n v="294366.18596648215"/>
    <n v="245.56989817340855"/>
  </r>
  <r>
    <n v="726"/>
    <x v="696"/>
    <n v="54.12"/>
    <n v="368.35384796945505"/>
    <n v="74.946122102664972"/>
    <n v="13373.343245002989"/>
    <n v="298629.32453212567"/>
    <n v="245.88622736996453"/>
  </r>
  <r>
    <n v="727"/>
    <x v="697"/>
    <n v="53.71"/>
    <n v="365.47919912067573"/>
    <n v="74.893414066617822"/>
    <n v="13272.030038601451"/>
    <n v="296298.8087829072"/>
    <n v="245.71330074251395"/>
  </r>
  <r>
    <n v="728"/>
    <x v="698"/>
    <n v="53.51"/>
    <n v="364.07693138956381"/>
    <n v="74.867702829521647"/>
    <n v="13222.608962308017"/>
    <n v="295161.97183206893"/>
    <n v="245.62894629009901"/>
  </r>
  <r>
    <n v="729"/>
    <x v="699"/>
    <n v="53.26"/>
    <n v="362.32409672567394"/>
    <n v="74.835563783151429"/>
    <n v="13160.832616941225"/>
    <n v="293740.92564352113"/>
    <n v="245.52350322458034"/>
  </r>
  <r>
    <n v="730"/>
    <x v="700"/>
    <n v="52.23"/>
    <n v="355.10241791044774"/>
    <n v="74.703150912106139"/>
    <n v="12906.314074030044"/>
    <n v="287886.215346704"/>
    <n v="245.08907779464346"/>
  </r>
  <r>
    <n v="731"/>
    <x v="701"/>
    <n v="51.89"/>
    <n v="352.71856276755761"/>
    <n v="74.659441809042647"/>
    <n v="12822.298244331208"/>
    <n v="285953.59253027901"/>
    <n v="244.94567522553811"/>
  </r>
  <r>
    <n v="732"/>
    <x v="702"/>
    <n v="49.83"/>
    <n v="338.27520513710516"/>
    <n v="74.394616066952068"/>
    <n v="12313.261158508847"/>
    <n v="274244.17193664482"/>
    <n v="244.07682436566435"/>
  </r>
  <r>
    <n v="733"/>
    <x v="703"/>
    <n v="49.07"/>
    <n v="332.94658775888001"/>
    <n v="74.296913365986612"/>
    <n v="12125.461068593802"/>
    <n v="269924.19152345945"/>
    <n v="243.75627744648762"/>
  </r>
  <r>
    <n v="734"/>
    <x v="704"/>
    <n v="54.39"/>
    <n v="370.2469094064561"/>
    <n v="74.980832272744806"/>
    <n v="13440.061697999123"/>
    <n v="300164.0544157573"/>
    <n v="246.0001058807247"/>
  </r>
  <r>
    <n v="735"/>
    <x v="705"/>
    <n v="54.39"/>
    <n v="370.2469094064561"/>
    <n v="74.980832272744806"/>
    <n v="13440.061697999123"/>
    <n v="300164.0544157573"/>
    <n v="246.0001058807247"/>
  </r>
  <r>
    <n v="736"/>
    <x v="706"/>
    <n v="53.08"/>
    <n v="361.06205576767326"/>
    <n v="74.812423669764868"/>
    <n v="13116.353648277136"/>
    <n v="292717.77238776663"/>
    <n v="245.4475842174069"/>
  </r>
  <r>
    <n v="737"/>
    <x v="707"/>
    <n v="52.7"/>
    <n v="358.39774707856071"/>
    <n v="74.763572319282147"/>
    <n v="13022.453603319615"/>
    <n v="290557.78218117397"/>
    <n v="245.28731075781855"/>
  </r>
  <r>
    <n v="738"/>
    <x v="708"/>
    <n v="51.98"/>
    <n v="353.34958324655793"/>
    <n v="74.67101186573592"/>
    <n v="12844.537728663252"/>
    <n v="286465.1691581562"/>
    <n v="244.98363472912482"/>
  </r>
  <r>
    <n v="739"/>
    <x v="709"/>
    <n v="50.38"/>
    <n v="342.13144139766291"/>
    <n v="74.465321968966535"/>
    <n v="12449.169118315791"/>
    <n v="277370.47355145012"/>
    <n v="244.30879910980536"/>
  </r>
  <r>
    <n v="740"/>
    <x v="710"/>
    <n v="50.58"/>
    <n v="343.53370912877472"/>
    <n v="74.49103320606271"/>
    <n v="12498.590194609222"/>
    <n v="278507.31050228834"/>
    <n v="244.39315356222031"/>
  </r>
  <r>
    <n v="741"/>
    <x v="711"/>
    <n v="49.11"/>
    <n v="333.22704130510243"/>
    <n v="74.302055613405841"/>
    <n v="12135.345283852488"/>
    <n v="270151.55891362706"/>
    <n v="243.77314833697059"/>
  </r>
  <r>
    <n v="742"/>
    <x v="712"/>
    <n v="48.61"/>
    <n v="329.72137197732269"/>
    <n v="74.237777520665404"/>
    <n v="12011.792593118907"/>
    <n v="267309.4665365314"/>
    <n v="243.56226220593325"/>
  </r>
  <r>
    <n v="743"/>
    <x v="713"/>
    <n v="46.83"/>
    <n v="317.24118917042694"/>
    <n v="74.008947510509472"/>
    <n v="11571.945014107352"/>
    <n v="257191.61767407085"/>
    <n v="242.81150757944042"/>
  </r>
  <r>
    <n v="744"/>
    <x v="714"/>
    <n v="46.19"/>
    <n v="312.75701574973033"/>
    <n v="73.914539134603856"/>
    <n v="11413.797569968367"/>
    <n v="253556.23911866997"/>
    <n v="242.50176881334713"/>
  </r>
  <r>
    <n v="745"/>
    <x v="715"/>
    <n v="44.57"/>
    <n v="301.4074040992449"/>
    <n v="73.671820688001915"/>
    <n v="11013.486851991558"/>
    <n v="244354.95920922959"/>
    <n v="241.70544845048303"/>
  </r>
  <r>
    <n v="746"/>
    <x v="716"/>
    <n v="44.23"/>
    <n v="299.02538683926645"/>
    <n v="73.620879779455834"/>
    <n v="10929.471022292721"/>
    <n v="242423.82638872974"/>
    <n v="241.53831948543751"/>
  </r>
  <r>
    <n v="747"/>
    <x v="717"/>
    <n v="45.94"/>
    <n v="311.0055324703344"/>
    <n v="73.877082584202327"/>
    <n v="11352.021224601576"/>
    <n v="252136.28851536123"/>
    <n v="242.3788798684607"/>
  </r>
  <r>
    <n v="748"/>
    <x v="718"/>
    <n v="47.35"/>
    <n v="320.88708527131786"/>
    <n v="74.075796726959524"/>
    <n v="11700.439812470278"/>
    <n v="260147.39374625034"/>
    <n v="243.03082915571923"/>
  </r>
  <r>
    <n v="749"/>
    <x v="719"/>
    <n v="46.75"/>
    <n v="316.68033829557714"/>
    <n v="73.998441807503298"/>
    <n v="11552.176583589979"/>
    <n v="256736.92847008145"/>
    <n v="242.77704004989275"/>
  </r>
  <r>
    <n v="750"/>
    <x v="720"/>
    <n v="46.62"/>
    <n v="315.76956699029125"/>
    <n v="73.978964401294505"/>
    <n v="11520.052883999246"/>
    <n v="255998.55415636091"/>
    <n v="242.71313779855183"/>
  </r>
  <r>
    <n v="751"/>
    <x v="721"/>
    <n v="44.09"/>
    <n v="298.04455620280476"/>
    <n v="73.59990411123097"/>
    <n v="10894.876268887319"/>
    <n v="241628.65405087685"/>
    <n v="241.46950167630109"/>
  </r>
  <r>
    <n v="752"/>
    <x v="722"/>
    <n v="43.53"/>
    <n v="294.12123365695794"/>
    <n v="73.516001438331543"/>
    <n v="10756.497255265707"/>
    <n v="238447.96469946534"/>
    <n v="241.19423043975553"/>
  </r>
  <r>
    <n v="753"/>
    <x v="723"/>
    <n v="43.07"/>
    <n v="290.89850442286945"/>
    <n v="73.44708138559271"/>
    <n v="10642.828779790812"/>
    <n v="235835.25558937731"/>
    <n v="240.96811478116445"/>
  </r>
  <r>
    <n v="754"/>
    <x v="724"/>
    <n v="42.79"/>
    <n v="288.93684314994607"/>
    <n v="73.405130049142997"/>
    <n v="10573.639272980005"/>
    <n v="234244.9109136716"/>
    <n v="240.83047916289166"/>
  </r>
  <r>
    <n v="755"/>
    <x v="725"/>
    <n v="41.57"/>
    <n v="280.38960474649406"/>
    <n v="73.222342083183506"/>
    <n v="10272.170707590063"/>
    <n v="227315.55196952511"/>
    <n v="240.23078111184586"/>
  </r>
  <r>
    <n v="756"/>
    <x v="726"/>
    <n v="42.94"/>
    <n v="289.98773311758362"/>
    <n v="73.427603979383917"/>
    <n v="10610.705080200079"/>
    <n v="235096.88127565684"/>
    <n v="240.90421252982352"/>
  </r>
  <r>
    <n v="757"/>
    <x v="727"/>
    <n v="40.229999999999997"/>
    <n v="271.00165436893201"/>
    <n v="73.021574973031278"/>
    <n v="9941.0494964240606"/>
    <n v="219704.61673579045"/>
    <n v="239.57209636725457"/>
  </r>
  <r>
    <n v="758"/>
    <x v="728"/>
    <n v="39.69"/>
    <n v="267.13183649635033"/>
    <n v="72.92862935928629"/>
    <n v="9807.6125904317923"/>
    <n v="216567.30432892442"/>
    <n v="239.26715668961475"/>
  </r>
  <r>
    <n v="759"/>
    <x v="729"/>
    <n v="39.4"/>
    <n v="265.03668645579887"/>
    <n v="72.876362980985846"/>
    <n v="9735.9520298063144"/>
    <n v="214868.73854807985"/>
    <n v="239.09567907051951"/>
  </r>
  <r>
    <n v="760"/>
    <x v="730"/>
    <n v="38.770000000000003"/>
    <n v="260.48515360908357"/>
    <n v="72.762818779850406"/>
    <n v="9580.2756394820008"/>
    <n v="211178.75081727954"/>
    <n v="238.72315872558843"/>
  </r>
  <r>
    <n v="761"/>
    <x v="731"/>
    <n v="38.32"/>
    <n v="257.23405871857261"/>
    <n v="72.681715779039379"/>
    <n v="9469.078217821776"/>
    <n v="208543.04529527927"/>
    <n v="238.45707276492342"/>
  </r>
  <r>
    <n v="762"/>
    <x v="732"/>
    <n v="38.630000000000003"/>
    <n v="259.47370186536904"/>
    <n v="72.737586735153641"/>
    <n v="9545.6808860765959"/>
    <n v="210358.75354376834"/>
    <n v="238.64037642671488"/>
  </r>
  <r>
    <n v="763"/>
    <x v="733"/>
    <n v="39.19"/>
    <n v="263.51950884022705"/>
    <n v="72.838514913940699"/>
    <n v="9684.059899698208"/>
    <n v="213638.74263781303"/>
    <n v="238.97150562220915"/>
  </r>
  <r>
    <n v="764"/>
    <x v="734"/>
    <n v="37.14"/>
    <n v="248.70896545012167"/>
    <n v="72.469045688023783"/>
    <n v="9177.4938676905203"/>
    <n v="201631.63970425643"/>
    <n v="237.75933624584616"/>
  </r>
  <r>
    <n v="765"/>
    <x v="735"/>
    <n v="37.130000000000003"/>
    <n v="248.63671889699921"/>
    <n v="72.467243399116882"/>
    <n v="9175.0228138758503"/>
    <n v="201573.06847043423"/>
    <n v="237.75342322449808"/>
  </r>
  <r>
    <n v="766"/>
    <x v="736"/>
    <n v="43.52"/>
    <n v="294.05117432578214"/>
    <n v="73.514503176315472"/>
    <n v="10754.026201451035"/>
    <n v="238391.16667533305"/>
    <n v="241.18931488196003"/>
  </r>
  <r>
    <n v="767"/>
    <x v="737"/>
    <n v="49.42"/>
    <n v="335.40055628832584"/>
    <n v="74.341908030904904"/>
    <n v="12211.94795210731"/>
    <n v="271913.65618742642"/>
    <n v="243.90389773821371"/>
  </r>
  <r>
    <n v="768"/>
    <x v="738"/>
    <n v="50.7"/>
    <n v="344.37506976744191"/>
    <n v="74.506459948320412"/>
    <n v="12528.242840385283"/>
    <n v="279189.41267279134"/>
    <n v="244.44376623366927"/>
  </r>
  <r>
    <n v="769"/>
    <x v="739"/>
    <n v="53.78"/>
    <n v="365.96999282656486"/>
    <n v="74.902412999601481"/>
    <n v="13289.327415304153"/>
    <n v="296696.70171570062"/>
    <n v="245.74282480085918"/>
  </r>
  <r>
    <n v="770"/>
    <x v="740"/>
    <n v="52.41"/>
    <n v="356.36445886844842"/>
    <n v="74.726291025492685"/>
    <n v="12950.793042694135"/>
    <n v="288909.36860245839"/>
    <n v="245.16499680181687"/>
  </r>
  <r>
    <n v="771"/>
    <x v="741"/>
    <n v="55.86"/>
    <n v="381.10065828650198"/>
    <n v="75.155621531827663"/>
    <n v="13803.306608755856"/>
    <n v="308963.33183489315"/>
    <n v="246.57356145514123"/>
  </r>
  <r>
    <n v="772"/>
    <x v="742"/>
    <n v="49.57"/>
    <n v="336.45225708665976"/>
    <n v="74.361191458727035"/>
    <n v="12249.013759327385"/>
    <n v="272766.28390055511"/>
    <n v="243.96716357752493"/>
  </r>
  <r>
    <n v="773"/>
    <x v="743"/>
    <n v="53.02"/>
    <n v="360.64137544833977"/>
    <n v="74.804710298636024"/>
    <n v="13101.527325389106"/>
    <n v="292376.72130251525"/>
    <n v="245.42227788168245"/>
  </r>
  <r>
    <n v="774"/>
    <x v="744"/>
    <n v="52.68"/>
    <n v="358.25752030544953"/>
    <n v="74.761001195572518"/>
    <n v="13017.511495690269"/>
    <n v="290444.09848609014"/>
    <n v="245.27887531257704"/>
  </r>
  <r>
    <n v="775"/>
    <x v="745"/>
    <n v="55.06"/>
    <n v="375.16024899798543"/>
    <n v="75.061369714534806"/>
    <n v="13605.622303582124"/>
    <n v="304147.36364818056"/>
    <n v="246.26433633279058"/>
  </r>
  <r>
    <n v="776"/>
    <x v="746"/>
    <n v="52.31"/>
    <n v="355.66332500289258"/>
    <n v="74.713435406944612"/>
    <n v="12926.082504547419"/>
    <n v="288340.95012703934"/>
    <n v="245.12281957560947"/>
  </r>
  <r>
    <n v="777"/>
    <x v="747"/>
    <n v="52.09"/>
    <n v="354.12083049866948"/>
    <n v="74.685153046138822"/>
    <n v="12871.719320624643"/>
    <n v="287090.42948111729"/>
    <n v="245.03002967795302"/>
  </r>
  <r>
    <n v="778"/>
    <x v="748"/>
    <n v="51.33"/>
    <n v="348.79221312044433"/>
    <n v="74.587450345173352"/>
    <n v="12683.919230709596"/>
    <n v="282770.44906793186"/>
    <n v="244.70948275877626"/>
  </r>
  <r>
    <n v="779"/>
    <x v="749"/>
    <n v="58.88"/>
    <n v="403.52570335065212"/>
    <n v="75.511422142108174"/>
    <n v="14549.564860786695"/>
    <n v="327143.61173973331"/>
    <n v="247.74088629201486"/>
  </r>
  <r>
    <n v="780"/>
    <x v="750"/>
    <n v="55.24"/>
    <n v="376.49684108790166"/>
    <n v="75.082576373425695"/>
    <n v="13650.101272246213"/>
    <n v="305230.95649019087"/>
    <n v="246.33391198531945"/>
  </r>
  <r>
    <n v="781"/>
    <x v="751"/>
    <n v="54.32"/>
    <n v="369.75611570056697"/>
    <n v="74.971833339761147"/>
    <n v="13422.764321296419"/>
    <n v="299766.16148296394"/>
    <n v="245.97058182237947"/>
  </r>
  <r>
    <n v="782"/>
    <x v="752"/>
    <n v="53.39"/>
    <n v="363.23557075089673"/>
    <n v="74.852276087263945"/>
    <n v="13192.956316531958"/>
    <n v="294479.86966156604"/>
    <n v="245.57833361865008"/>
  </r>
  <r>
    <n v="783"/>
    <x v="753"/>
    <n v="53.18"/>
    <n v="361.76318963322922"/>
    <n v="74.825279288312956"/>
    <n v="13141.064186423853"/>
    <n v="293286.1908631858"/>
    <n v="245.48976144361436"/>
  </r>
  <r>
    <n v="784"/>
    <x v="754"/>
    <n v="52.78"/>
    <n v="358.95865417100549"/>
    <n v="74.773856814120606"/>
    <n v="13042.222033836986"/>
    <n v="291012.5169615093"/>
    <n v="245.3210525387845"/>
  </r>
  <r>
    <n v="785"/>
    <x v="755"/>
    <n v="52.64"/>
    <n v="357.97706675922717"/>
    <n v="74.755858948153289"/>
    <n v="13007.627280431583"/>
    <n v="290216.73109592247"/>
    <n v="245.26200442209407"/>
  </r>
  <r>
    <n v="786"/>
    <x v="756"/>
    <n v="52.39"/>
    <n v="356.2242320953373"/>
    <n v="74.72371990178307"/>
    <n v="12945.850935064791"/>
    <n v="288795.68490737467"/>
    <n v="245.15656135657539"/>
  </r>
  <r>
    <n v="787"/>
    <x v="757"/>
    <n v="52.46"/>
    <n v="356.71502580122643"/>
    <n v="74.732718834766729"/>
    <n v="12963.148311767492"/>
    <n v="289193.57784016803"/>
    <n v="245.1860854149206"/>
  </r>
  <r>
    <n v="788"/>
    <x v="758"/>
    <n v="50.7"/>
    <n v="344.37506976744191"/>
    <n v="74.506459948320412"/>
    <n v="12528.242840385283"/>
    <n v="279189.41267279134"/>
    <n v="244.44376623366927"/>
  </r>
  <r>
    <n v="789"/>
    <x v="759"/>
    <n v="51.71"/>
    <n v="351.45652180955688"/>
    <n v="74.636301695656087"/>
    <n v="12777.81927566712"/>
    <n v="284930.43927452457"/>
    <n v="244.86975621836464"/>
  </r>
  <r>
    <n v="790"/>
    <x v="760"/>
    <n v="51.74"/>
    <n v="351.6668619692237"/>
    <n v="74.640158381220516"/>
    <n v="12785.232437111134"/>
    <n v="285100.96481715032"/>
    <n v="244.8824093862269"/>
  </r>
  <r>
    <n v="791"/>
    <x v="761"/>
    <n v="52.46"/>
    <n v="356.71502580122643"/>
    <n v="74.732718834766729"/>
    <n v="12963.148311767492"/>
    <n v="289193.57784016803"/>
    <n v="245.1860854149206"/>
  </r>
  <r>
    <n v="792"/>
    <x v="762"/>
    <n v="52"/>
    <n v="353.48981001966911"/>
    <n v="74.673582989445535"/>
    <n v="12849.479836292598"/>
    <n v="286578.85285324004"/>
    <n v="244.99207017436629"/>
  </r>
  <r>
    <n v="793"/>
    <x v="763"/>
    <n v="52.04"/>
    <n v="353.77026356589147"/>
    <n v="74.678725236864778"/>
    <n v="12859.364051551283"/>
    <n v="286806.2202434077"/>
    <n v="245.0089410648493"/>
  </r>
  <r>
    <n v="794"/>
    <x v="764"/>
    <n v="51.37"/>
    <n v="349.07266666666669"/>
    <n v="74.592592592592595"/>
    <n v="12693.803445968284"/>
    <n v="282997.81645809952"/>
    <n v="244.72635364925929"/>
  </r>
  <r>
    <n v="795"/>
    <x v="765"/>
    <n v="50.33"/>
    <n v="341.7808744648849"/>
    <n v="74.458894159692491"/>
    <n v="12436.813849242431"/>
    <n v="277086.26431374048"/>
    <n v="244.28771049670164"/>
  </r>
  <r>
    <n v="796"/>
    <x v="766"/>
    <n v="45.43"/>
    <n v="307.43250658036681"/>
    <n v="73.800671221383197"/>
    <n v="11225.997480053322"/>
    <n v="249239.58928461155"/>
    <n v="242.12818642089238"/>
  </r>
  <r>
    <n v="797"/>
    <x v="767"/>
    <n v="49.56"/>
    <n v="336.38214370010417"/>
    <n v="74.359905896872235"/>
    <n v="12246.542705512715"/>
    <n v="272709.44205301319"/>
    <n v="243.96294585490421"/>
  </r>
  <r>
    <n v="798"/>
    <x v="768"/>
    <n v="49.72"/>
    <n v="337.50395788499367"/>
    <n v="74.380474886549166"/>
    <n v="12286.07956654746"/>
    <n v="273618.9116136838"/>
    <n v="244.03042941683611"/>
  </r>
  <r>
    <n v="799"/>
    <x v="769"/>
    <n v="47.24"/>
    <n v="320.11583801920631"/>
    <n v="74.061655546556622"/>
    <n v="11673.258220508891"/>
    <n v="259522.13342328928"/>
    <n v="242.984434206891"/>
  </r>
  <r>
    <n v="800"/>
    <x v="770"/>
    <n v="45.94"/>
    <n v="311.0055324703344"/>
    <n v="73.877082584202327"/>
    <n v="11352.021224601576"/>
    <n v="252136.28851536123"/>
    <n v="242.3788798684607"/>
  </r>
  <r>
    <n v="801"/>
    <x v="771"/>
    <n v="44.99"/>
    <n v="304.34989600863003"/>
    <n v="73.734747692676493"/>
    <n v="11117.271112207769"/>
    <n v="246740.47622278822"/>
    <n v="241.91190187789226"/>
  </r>
  <r>
    <n v="802"/>
    <x v="772"/>
    <n v="45.41"/>
    <n v="307.29238791801509"/>
    <n v="73.79767469735107"/>
    <n v="11221.055372423978"/>
    <n v="249125.99323634678"/>
    <n v="242.11835530530146"/>
  </r>
  <r>
    <n v="803"/>
    <x v="773"/>
    <n v="51.69"/>
    <n v="351.31629503644569"/>
    <n v="74.633730571946472"/>
    <n v="12772.877168037774"/>
    <n v="284816.75557944068"/>
    <n v="244.86132077312317"/>
  </r>
  <r>
    <n v="804"/>
    <x v="774"/>
    <n v="49.25"/>
    <n v="334.20862871688075"/>
    <n v="74.320053479373158"/>
    <n v="12169.940037257891"/>
    <n v="270947.34477921389"/>
    <n v="243.83219645366103"/>
  </r>
  <r>
    <n v="805"/>
    <x v="775"/>
    <n v="52.04"/>
    <n v="353.77026356589147"/>
    <n v="74.678725236864778"/>
    <n v="12859.364051551283"/>
    <n v="286806.2202434077"/>
    <n v="245.0089410648493"/>
  </r>
  <r>
    <n v="806"/>
    <x v="776"/>
    <n v="50.33"/>
    <n v="341.7808744648849"/>
    <n v="74.458894159692491"/>
    <n v="12436.813849242431"/>
    <n v="277086.26431374048"/>
    <n v="244.28771049670164"/>
  </r>
  <r>
    <n v="807"/>
    <x v="777"/>
    <n v="50.2"/>
    <n v="340.86940043966217"/>
    <n v="74.442181855579989"/>
    <n v="12404.6901496517"/>
    <n v="276347.32029569562"/>
    <n v="244.23288010263198"/>
  </r>
  <r>
    <n v="808"/>
    <x v="778"/>
    <n v="49.16"/>
    <n v="333.57760823788038"/>
    <n v="74.308483422679885"/>
    <n v="12147.700552925846"/>
    <n v="270435.76815133664"/>
    <n v="243.79423695007432"/>
  </r>
  <r>
    <n v="809"/>
    <x v="779"/>
    <n v="48.23"/>
    <n v="327.05706328821009"/>
    <n v="74.188926170182683"/>
    <n v="11917.892548161384"/>
    <n v="265149.47632993868"/>
    <n v="243.40198874634493"/>
  </r>
  <r>
    <n v="810"/>
    <x v="780"/>
    <n v="47.49"/>
    <n v="321.86867268309618"/>
    <n v="74.093794592926841"/>
    <n v="11735.034565875681"/>
    <n v="260943.17961183711"/>
    <n v="243.08987727240967"/>
  </r>
  <r>
    <n v="811"/>
    <x v="781"/>
    <n v="46.62"/>
    <n v="315.76956699029125"/>
    <n v="73.978964401294505"/>
    <n v="11520.052883999246"/>
    <n v="255998.55415636091"/>
    <n v="242.71313779855183"/>
  </r>
  <r>
    <n v="812"/>
    <x v="782"/>
    <n v="46.71"/>
    <n v="316.40010097087378"/>
    <n v="73.992448759439057"/>
    <n v="11542.292368331293"/>
    <n v="256509.73637355206"/>
    <n v="242.75737781871092"/>
  </r>
  <r>
    <n v="813"/>
    <x v="783"/>
    <n v="45.93"/>
    <n v="310.9354731391586"/>
    <n v="73.87558432218627"/>
    <n v="11349.550170786904"/>
    <n v="252079.49049122891"/>
    <n v="242.37396431066526"/>
  </r>
  <r>
    <n v="815"/>
    <x v="784"/>
    <n v="43.65"/>
    <n v="294.96194563106798"/>
    <n v="73.533980582524265"/>
    <n v="10786.149901041766"/>
    <n v="239129.54098905352"/>
    <n v="241.25321713330095"/>
  </r>
  <r>
    <n v="816"/>
    <x v="785"/>
    <n v="43.34"/>
    <n v="292.79010636461709"/>
    <n v="73.487534460026367"/>
    <n v="10709.547232786947"/>
    <n v="237368.80224095078"/>
    <n v="241.10083484164181"/>
  </r>
  <r>
    <n v="817"/>
    <x v="786"/>
    <n v="42.67"/>
    <n v="288.09613117583604"/>
    <n v="73.387150904950261"/>
    <n v="10543.986627203945"/>
    <n v="233563.33462408342"/>
    <n v="240.77149246934619"/>
  </r>
  <r>
    <n v="818"/>
    <x v="787"/>
    <n v="43.06"/>
    <n v="290.82844509169365"/>
    <n v="73.445583123576654"/>
    <n v="10640.357725976141"/>
    <n v="235778.45756524501"/>
    <n v="240.963199223369"/>
  </r>
  <r>
    <n v="819"/>
    <x v="788"/>
    <n v="41.85"/>
    <n v="282.35126601941749"/>
    <n v="73.264293419633219"/>
    <n v="10341.360214400869"/>
    <n v="228905.89664523088"/>
    <n v="240.36841673011867"/>
  </r>
  <r>
    <n v="820"/>
    <x v="789"/>
    <n v="41.08"/>
    <n v="276.95669751887812"/>
    <n v="73.148927244396504"/>
    <n v="10151.089070671151"/>
    <n v="224532.44878704008"/>
    <n v="239.98991877986847"/>
  </r>
  <r>
    <n v="821"/>
    <x v="790"/>
    <n v="39.93"/>
    <n v="268.86575377128952"/>
    <n v="72.97188429305217"/>
    <n v="9866.9178819839126"/>
    <n v="217973.0139406579"/>
    <n v="239.40906920196943"/>
  </r>
  <r>
    <n v="822"/>
    <x v="791"/>
    <n v="39.53"/>
    <n v="265.97589164639095"/>
    <n v="72.899792736775709"/>
    <n v="9768.0757293970455"/>
    <n v="215630.16458776881"/>
    <n v="239.17254834804498"/>
  </r>
  <r>
    <n v="823"/>
    <x v="792"/>
    <n v="39.61"/>
    <n v="266.55386407137064"/>
    <n v="72.914211048031007"/>
    <n v="9787.8441599144189"/>
    <n v="216098.73445834662"/>
    <n v="239.2198525188299"/>
  </r>
  <r>
    <n v="824"/>
    <x v="793"/>
    <n v="38.78"/>
    <n v="260.55740016220602"/>
    <n v="72.764621068757322"/>
    <n v="9582.7466932966709"/>
    <n v="211237.32205110177"/>
    <n v="238.72907174693657"/>
  </r>
  <r>
    <n v="825"/>
    <x v="794"/>
    <n v="40.53"/>
    <n v="273.10343430420716"/>
    <n v="73.066522833513119"/>
    <n v="10015.181110864212"/>
    <n v="221408.55745976095"/>
    <n v="239.7195631011183"/>
  </r>
  <r>
    <n v="826"/>
    <x v="795"/>
    <n v="36.659999999999997"/>
    <n v="245.24113090024329"/>
    <n v="72.382535820492024"/>
    <n v="9058.8832845862798"/>
    <n v="198820.22048078949"/>
    <n v="237.4755112211368"/>
  </r>
  <r>
    <n v="827"/>
    <x v="796"/>
    <n v="36.82"/>
    <n v="246.39707575020276"/>
    <n v="72.41137244300262"/>
    <n v="9098.4201456210267"/>
    <n v="199757.36022194516"/>
    <n v="237.57011956270662"/>
  </r>
  <r>
    <n v="828"/>
    <x v="797"/>
    <n v="36.22"/>
    <n v="242.06228256285482"/>
    <n v="72.303235108587913"/>
    <n v="8950.156916740727"/>
    <n v="196243.08619261146"/>
    <n v="237.2153382818199"/>
  </r>
  <r>
    <n v="829"/>
    <x v="798"/>
    <n v="35.82"/>
    <n v="239.17242043795619"/>
    <n v="72.231143552311437"/>
    <n v="8851.3147641538617"/>
    <n v="193900.23683972238"/>
    <n v="236.97881742789539"/>
  </r>
  <r>
    <n v="830"/>
    <x v="799"/>
    <n v="35.53"/>
    <n v="237.0772703974047"/>
    <n v="72.178877174010992"/>
    <n v="8779.6542035283856"/>
    <n v="192201.67105887778"/>
    <n v="236.80733980880012"/>
  </r>
  <r>
    <n v="831"/>
    <x v="800"/>
    <n v="37.770000000000003"/>
    <n v="253.260498296837"/>
    <n v="72.582589889159237"/>
    <n v="9333.1702580148358"/>
    <n v="205321.62743505678"/>
    <n v="238.13185659077726"/>
  </r>
  <r>
    <n v="832"/>
    <x v="801"/>
    <n v="35.43"/>
    <n v="236.35480486618005"/>
    <n v="72.160854284941877"/>
    <n v="8754.9436653816683"/>
    <n v="191615.9587206555"/>
    <n v="236.74820959531903"/>
  </r>
  <r>
    <n v="833"/>
    <x v="802"/>
    <n v="35.18"/>
    <n v="234.5486410381184"/>
    <n v="72.115797062269081"/>
    <n v="8693.1673200148762"/>
    <n v="190151.67787509982"/>
    <n v="236.60038406161621"/>
  </r>
  <r>
    <n v="834"/>
    <x v="803"/>
    <n v="35.61"/>
    <n v="237.65524282238442"/>
    <n v="72.19329548526629"/>
    <n v="8799.4226340457571"/>
    <n v="192670.24092945558"/>
    <n v="236.85464397958503"/>
  </r>
  <r>
    <n v="835"/>
    <x v="804"/>
    <n v="34.54"/>
    <n v="229.92486163828062"/>
    <n v="72.000450572226725"/>
    <n v="8535.0198758758906"/>
    <n v="186403.11891047726"/>
    <n v="236.22195069533703"/>
  </r>
  <r>
    <n v="836"/>
    <x v="805"/>
    <n v="36.869999999999997"/>
    <n v="246.75830851581506"/>
    <n v="72.42038388753717"/>
    <n v="9110.7754146943844"/>
    <n v="200050.21639105625"/>
    <n v="237.59968466944716"/>
  </r>
  <r>
    <n v="837"/>
    <x v="806"/>
    <n v="34.950000000000003"/>
    <n v="232.88697031630173"/>
    <n v="72.074344417410117"/>
    <n v="8636.3330822774296"/>
    <n v="188804.53949718858"/>
    <n v="236.46438457060967"/>
  </r>
  <r>
    <n v="838"/>
    <x v="807"/>
    <n v="32.86"/>
    <n v="217.66140100817955"/>
    <n v="71.64544628326253"/>
    <n v="8119.8828350110534"/>
    <n v="176460.969576131"/>
    <n v="235.05723846120719"/>
  </r>
  <r>
    <n v="839"/>
    <x v="808"/>
    <n v="32.520000000000003"/>
    <n v="215.17947215141717"/>
    <n v="71.573584427113062"/>
    <n v="8035.8670053122178"/>
    <n v="174448.83710590581"/>
    <n v="234.82147121662325"/>
  </r>
  <r>
    <n v="840"/>
    <x v="809"/>
    <n v="36.36"/>
    <n v="243.07373430656932"/>
    <n v="72.328467153284677"/>
    <n v="8984.7516701461318"/>
    <n v="197063.08346612265"/>
    <n v="237.29812058069345"/>
  </r>
  <r>
    <n v="841"/>
    <x v="810"/>
    <n v="32.049999999999997"/>
    <n v="211.74857049648085"/>
    <n v="71.474245978906424"/>
    <n v="7919.7274760226483"/>
    <n v="171667.35986765323"/>
    <n v="234.49555767263953"/>
  </r>
  <r>
    <n v="842"/>
    <x v="811"/>
    <n v="31.16"/>
    <n v="205.25175672436751"/>
    <n v="71.286137002515161"/>
    <n v="7699.8036865168715"/>
    <n v="166400.30722500486"/>
    <n v="233.87840223828746"/>
  </r>
  <r>
    <n v="843"/>
    <x v="812"/>
    <n v="29.18"/>
    <n v="191.01064266498528"/>
    <n v="70.853766755406099"/>
    <n v="7210.5350312118844"/>
    <n v="154854.84816279646"/>
    <n v="232.45986468216105"/>
  </r>
  <r>
    <n v="844"/>
    <x v="813"/>
    <n v="31.08"/>
    <n v="204.66777346395281"/>
    <n v="71.26922833047999"/>
    <n v="7680.0352559994981"/>
    <n v="165926.8642908342"/>
    <n v="233.82292759250302"/>
  </r>
  <r>
    <n v="845"/>
    <x v="814"/>
    <n v="27.99"/>
    <n v="182.72766242118536"/>
    <n v="70.575872215216478"/>
    <n v="6916.4796272659578"/>
    <n v="148139.72679524656"/>
    <n v="231.54813718810425"/>
  </r>
  <r>
    <n v="846"/>
    <x v="815"/>
    <n v="27.17"/>
    <n v="177.02006258932326"/>
    <n v="70.384381859791702"/>
    <n v="6713.8532144628825"/>
    <n v="143512.50030668281"/>
    <n v="230.91988799051893"/>
  </r>
  <r>
    <n v="847"/>
    <x v="816"/>
    <n v="25.59"/>
    <n v="166.02249218158889"/>
    <n v="70.015412638363458"/>
    <n v="6323.4267117447607"/>
    <n v="134596.62487749889"/>
    <n v="229.70935904883004"/>
  </r>
  <r>
    <n v="848"/>
    <x v="817"/>
    <n v="26.23"/>
    <n v="170.47720424548129"/>
    <n v="70.16486852552427"/>
    <n v="6481.5741558837462"/>
    <n v="138208.11872223162"/>
    <n v="230.19969988596986"/>
  </r>
  <r>
    <n v="849"/>
    <x v="818"/>
    <n v="24.75"/>
    <n v="160.05754695259591"/>
    <n v="69.78429897165789"/>
    <n v="6115.8581913123417"/>
    <n v="129760.76508012002"/>
    <n v="228.95111211082269"/>
  </r>
  <r>
    <n v="850"/>
    <x v="819"/>
    <n v="24.43"/>
    <n v="157.78134931025832"/>
    <n v="69.695120251929879"/>
    <n v="6036.7844692428489"/>
    <n v="127915.4216198034"/>
    <n v="228.65853100935402"/>
  </r>
  <r>
    <n v="852"/>
    <x v="820"/>
    <n v="22.8"/>
    <n v="146.18696756960119"/>
    <n v="69.240866148315362"/>
    <n v="5634.0026974513703"/>
    <n v="118515.70336881568"/>
    <n v="227.16819602374804"/>
  </r>
  <r>
    <n v="853"/>
    <x v="821"/>
    <n v="22.49"/>
    <n v="143.98190110358664"/>
    <n v="69.154474263578848"/>
    <n v="5557.4000291965476"/>
    <n v="116728.02689163396"/>
    <n v="226.88475808170026"/>
  </r>
  <r>
    <n v="854"/>
    <x v="822"/>
    <n v="22.27"/>
    <n v="142.41701522447954"/>
    <n v="69.093163893765848"/>
    <n v="5503.0368452737721"/>
    <n v="115459.35326266629"/>
    <n v="226.68360857444054"/>
  </r>
  <r>
    <n v="855"/>
    <x v="823"/>
    <n v="21.41"/>
    <n v="136.16813743202414"/>
    <n v="68.823531386371272"/>
    <n v="5290.5262172120101"/>
    <n v="110393.30558994183"/>
    <n v="225.79898748719154"/>
  </r>
  <r>
    <n v="856"/>
    <x v="824"/>
    <n v="20.61"/>
    <n v="130.27738214501508"/>
    <n v="68.554984894259817"/>
    <n v="5092.8419120382769"/>
    <n v="105617.59255737583"/>
    <n v="224.91792944220998"/>
  </r>
  <r>
    <n v="857"/>
    <x v="825"/>
    <n v="20.25"/>
    <n v="127.62654226586102"/>
    <n v="68.434138972809663"/>
    <n v="5003.8839747100983"/>
    <n v="103468.52169272113"/>
    <n v="224.52145332196827"/>
  </r>
  <r>
    <n v="858"/>
    <x v="826"/>
    <n v="19.79"/>
    <n v="124.2393579758308"/>
    <n v="68.279724739845591"/>
    <n v="4890.2154992352016"/>
    <n v="100722.48669899566"/>
    <n v="224.01484494610392"/>
  </r>
  <r>
    <n v="859"/>
    <x v="827"/>
    <n v="19.920000000000002"/>
    <n v="125.19660570996979"/>
    <n v="68.323363544813702"/>
    <n v="4922.3391988259336"/>
    <n v="101498.54006678765"/>
    <n v="224.15801687841343"/>
  </r>
  <r>
    <n v="860"/>
    <x v="828"/>
    <n v="23.56"/>
    <n v="151.59293697015298"/>
    <n v="69.452665607669374"/>
    <n v="5821.802787366415"/>
    <n v="122898.39408706763"/>
    <n v="227.86307613973611"/>
  </r>
  <r>
    <n v="861"/>
    <x v="829"/>
    <n v="24.03"/>
    <n v="154.93610225733633"/>
    <n v="69.583646852269879"/>
    <n v="5937.9423166559836"/>
    <n v="125608.74229440765"/>
    <n v="228.2928046325182"/>
  </r>
  <r>
    <n v="862"/>
    <x v="830"/>
    <n v="22.43"/>
    <n v="143.55511404564834"/>
    <n v="69.137753253629853"/>
    <n v="5542.573706308518"/>
    <n v="116382.02499282459"/>
    <n v="226.82989912517488"/>
  </r>
  <r>
    <n v="863"/>
    <x v="831"/>
    <n v="22.34"/>
    <n v="142.9149334587409"/>
    <n v="69.112671738706354"/>
    <n v="5520.3342219764736"/>
    <n v="115863.02214461056"/>
    <n v="226.74761069038684"/>
  </r>
  <r>
    <n v="864"/>
    <x v="832"/>
    <n v="21.64"/>
    <n v="137.86172957703926"/>
    <n v="68.900738502853301"/>
    <n v="5347.3604549494585"/>
    <n v="111766.32308680456"/>
    <n v="226.05229167512368"/>
  </r>
  <r>
    <n v="865"/>
    <x v="833"/>
    <n v="20.16"/>
    <n v="126.9638322960725"/>
    <n v="68.403927492447124"/>
    <n v="4981.644490378053"/>
    <n v="102931.25397655745"/>
    <n v="224.42233429190784"/>
  </r>
  <r>
    <n v="866"/>
    <x v="834"/>
    <n v="24.17"/>
    <n v="155.93193872585903"/>
    <n v="69.622662542150877"/>
    <n v="5972.5370700613867"/>
    <n v="126416.08005829615"/>
    <n v="228.42080886441073"/>
  </r>
  <r>
    <n v="867"/>
    <x v="835"/>
    <n v="19.559999999999999"/>
    <n v="122.54576583081568"/>
    <n v="68.202517623363548"/>
    <n v="4833.3812614977533"/>
    <n v="99349.469202132925"/>
    <n v="223.76154075817172"/>
  </r>
  <r>
    <n v="868"/>
    <x v="836"/>
    <n v="19"/>
    <n v="118.42223712990935"/>
    <n v="68.01453507888553"/>
    <n v="4695.0022478761421"/>
    <n v="96006.470079336737"/>
    <n v="223.14480012668463"/>
  </r>
  <r>
    <n v="869"/>
    <x v="837"/>
    <n v="18.510000000000002"/>
    <n v="114.55958"/>
    <n v="67.813057124921528"/>
    <n v="4573.9206109572306"/>
    <n v="92874.962981032499"/>
    <n v="222.48378321735655"/>
  </r>
  <r>
    <n v="870"/>
    <x v="838"/>
    <n v="17.71"/>
    <n v="108.21291333333333"/>
    <n v="67.478259050010465"/>
    <n v="4376.2363057834982"/>
    <n v="87729.636577779107"/>
    <n v="221.38536433641914"/>
  </r>
  <r>
    <n v="872"/>
    <x v="839"/>
    <n v="24.86"/>
    <n v="160.83998989214948"/>
    <n v="69.814954156564383"/>
    <n v="6143.0397832737299"/>
    <n v="130395.10189460388"/>
    <n v="229.051686864452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7F2D3-2EF7-4C3F-8589-F05C51B58503}" name="tbl_AnnualReport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A3:D23" firstHeaderRow="0" firstDataRow="1" firstDataCol="1"/>
  <pivotFields count="10">
    <pivotField showAll="0"/>
    <pivotField numFmtId="14" showAll="0">
      <items count="845">
        <item m="1" x="8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m="1" x="840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m="1" x="841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m="1" x="842"/>
        <item x="839"/>
        <item t="default"/>
      </items>
    </pivotField>
    <pivotField showAll="0"/>
    <pivotField dataField="1" numFmtId="164" showAll="0"/>
    <pivotField numFmtId="164" showAll="0"/>
    <pivotField numFmtId="3" showAll="0"/>
    <pivotField numFmtId="3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23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9"/>
  </rowFields>
  <rowItems count="2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Volume (MCM)" fld="3" subtotal="min" baseField="0" baseItem="0" numFmtId="164"/>
    <dataField name="Average of Volume (MCM)" fld="3" subtotal="average" baseField="0" baseItem="0" numFmtId="164"/>
    <dataField name="Max of Volume (MCM)" fld="3" subtotal="max" baseField="0" baseItem="0" numFmtId="16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79ED59-70CA-45EA-9570-A3584F71B443}" name="tbl_Spillway" displayName="tbl_Spillway" ref="E5:G8" totalsRowShown="0" headerRowDxfId="42" dataDxfId="41">
  <autoFilter ref="E5:G8" xr:uid="{2B79ED59-70CA-45EA-9570-A3584F71B443}">
    <filterColumn colId="0" hiddenButton="1"/>
    <filterColumn colId="1" hiddenButton="1"/>
    <filterColumn colId="2" hiddenButton="1"/>
  </autoFilter>
  <tableColumns count="3">
    <tableColumn id="1" xr3:uid="{20BB013B-CBA6-49F4-A648-F774B4CCA75A}" name="x" dataDxfId="40"/>
    <tableColumn id="2" xr3:uid="{D6FED401-6BEE-460F-839E-A1AE674A942A}" name="y" dataDxfId="39"/>
    <tableColumn id="3" xr3:uid="{36B8D658-24AE-46DB-9254-AB19756B2D47}" name="Name" dataDxfId="38">
      <calculatedColumnFormula>_xlfn.CONCAT("Estimated Top of Spillway (",tbl_Spillway[[#This Row],[y]],"m)")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338DBE-B962-4931-901D-9A5872AA9BD4}" name="tbl_Info" displayName="tbl_Info" ref="B4:C46" headerRowCount="0" totalsRowShown="0" headerRowDxfId="37" dataDxfId="36" tableBorderDxfId="35" totalsRowBorderDxfId="34" headerRowCellStyle="Normal 2" dataCellStyle="Normal 2">
  <tableColumns count="2">
    <tableColumn id="1" xr3:uid="{21E66A7E-B5EC-49AD-A55B-D87D50A956CD}" name="Column1" headerRowDxfId="33" dataDxfId="32" headerRowCellStyle="Normal 2" dataCellStyle="Normal 2"/>
    <tableColumn id="2" xr3:uid="{E84C8069-3706-4EEA-9405-FC65852072C1}" name="Column2" headerRowDxfId="31" dataDxfId="30" headerRowCellStyle="Normal 2" dataCellStyle="Normal 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FA880-6673-467E-88B3-395BE852922A}" name="tbl_Data" displayName="tbl_Data" ref="B4:J53" totalsRowShown="0" headerRowDxfId="29" dataDxfId="28">
  <autoFilter ref="B4:J53" xr:uid="{733C5FC2-4706-43B5-9AC1-CDB0DDFD1F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4BA750D-DB9D-4224-91A7-8E0E91B3AFF5}" name="ID" dataDxfId="27">
      <calculatedColumnFormula>ROW()-4</calculatedColumnFormula>
    </tableColumn>
    <tableColumn id="5" xr3:uid="{BB20D96A-187E-49EE-B18D-1211302FDD0F}" name="SRTM30 Elevation (m)" dataDxfId="26" dataCellStyle="Normal 3"/>
    <tableColumn id="9" xr3:uid="{63A24245-E5A8-4F8F-918A-4FDD0DF7B4C0}" name="Pixels" dataDxfId="25" dataCellStyle="Normal 3"/>
    <tableColumn id="10" xr3:uid="{BD436A0C-A21A-4893-BD23-D5DCB5F9C7D0}" name="Area (m2)" dataDxfId="24" dataCellStyle="Normal 3"/>
    <tableColumn id="7" xr3:uid="{DD3286D5-720C-4809-89EB-4EE013AEE195}" name="Capacity (m3)" dataDxfId="23" dataCellStyle="Normal 3"/>
    <tableColumn id="8" xr3:uid="{5A784AE9-A7F1-471D-939F-269F3CC9A446}" name="Area (km2)" dataDxfId="22">
      <calculatedColumnFormula>tbl_Data[[#This Row],[Area (m2)]]/1000000</calculatedColumnFormula>
    </tableColumn>
    <tableColumn id="2" xr3:uid="{1A8CBAFC-B485-3942-82BC-8B38E9F07CCE}" name="Volume (MCM)" dataDxfId="21">
      <calculatedColumnFormula>tbl_Data[[#This Row],[Capacity (m3)]]/1000000</calculatedColumnFormula>
    </tableColumn>
    <tableColumn id="3" xr3:uid="{BA9FF4E4-4E50-4527-9EA3-E9B400BD2E83}" name="Area (Acre)" dataDxfId="20">
      <calculatedColumnFormula>tbl_Data[[#This Row],[Area (m2)]]/4046.8564224</calculatedColumnFormula>
    </tableColumn>
    <tableColumn id="4" xr3:uid="{B330F0B0-CD21-44A7-8C1D-9A71358C46BF}" name="Volume (Acre-ft)" dataDxfId="19">
      <calculatedColumnFormula>tbl_Data[[#This Row],[Capacity (m3)]]/1233.4818375475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A3E3C8-1FAF-674B-81A5-E683F1D91916}" name="tbl_Reservoir" displayName="tbl_Reservoir" ref="B4:G876" totalsRowShown="0" headerRowDxfId="18" headerRowCellStyle="Normal 5" dataCellStyle="Normal 5">
  <autoFilter ref="B4:G876" xr:uid="{6BA3E3C8-1FAF-674B-81A5-E683F1D919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F130170-B2AA-994C-9F6E-A778AD3EF9EB}" name="time"/>
    <tableColumn id="2" xr3:uid="{0E0CC2A4-EAEA-C74E-867B-D40EDFF0BBDC}" name="Surface Water Area (km2)"/>
    <tableColumn id="6" xr3:uid="{FEFC515B-0608-5645-8099-DC7238F8DEE4}" name="_" dataDxfId="17" dataCellStyle="Normal 5"/>
    <tableColumn id="3" xr3:uid="{27966D65-18D0-F246-AF38-5B06C2DADC3E}" name="No" dataDxfId="16" dataCellStyle="Normal 5">
      <calculatedColumnFormula>ROW()-4</calculatedColumnFormula>
    </tableColumn>
    <tableColumn id="4" xr3:uid="{39DE45EA-4FFC-5F41-99ED-2B68413D765A}" name="Date" dataDxfId="15" dataCellStyle="Normal 5">
      <calculatedColumnFormula>LEFT(tbl_Reservoir[[#This Row],[time]],10)*1</calculatedColumnFormula>
    </tableColumn>
    <tableColumn id="5" xr3:uid="{01A24F1D-790B-9C48-B1BC-2F6CF5B1F83D}" name="Reservoir Area (km2)" dataDxfId="14" dataCellStyle="Normal 5">
      <calculatedColumnFormula>tbl_Reservoir[[#This Row],[Surface Water Area (km2)]]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B3E84F-5A61-AB4F-9E79-9D829C8AEE8A}" name="tbl_MonitoringFormulas" displayName="tbl_MonitoringFormulas" ref="I3:J6" totalsRowShown="0">
  <autoFilter ref="I3:J6" xr:uid="{0CB3E84F-5A61-AB4F-9E79-9D829C8AEE8A}">
    <filterColumn colId="0" hiddenButton="1"/>
    <filterColumn colId="1" hiddenButton="1"/>
  </autoFilter>
  <tableColumns count="2">
    <tableColumn id="1" xr3:uid="{F0FF6AD3-8E4F-544E-8108-4FF62FE45F77}" name="Parameter" dataDxfId="13" dataCellStyle="Normal 5"/>
    <tableColumn id="2" xr3:uid="{84118524-BA39-5044-982F-59D0C88928B0}" name="Formula" dataDxfId="12" dataCellStyle="Normal 5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436E37-D506-1C44-925B-C7AC73741D24}" name="tbl_Monitoring" displayName="tbl_Monitoring" ref="B4:I873" totalsRowShown="0" headerRowDxfId="11" dataDxfId="10">
  <autoFilter ref="B4:I873" xr:uid="{6A436E37-D506-1C44-925B-C7AC73741D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D6EB76A-2AB8-F343-9620-EE3E2CCB495F}" name="No" dataDxfId="9" dataCellStyle="Normal 5"/>
    <tableColumn id="2" xr3:uid="{7D06FD62-8EF4-3743-9628-C610AD265C2D}" name="Date" dataDxfId="8" dataCellStyle="Normal 5"/>
    <tableColumn id="3" xr3:uid="{B3D48476-844F-ED4E-9B49-22343477348C}" name="Area (km2)" dataDxfId="7" dataCellStyle="Normal 5"/>
    <tableColumn id="4" xr3:uid="{3B0D6703-677C-F04E-BE6C-BF8F544A80E2}" name="Volume (MCM)" dataDxfId="6">
      <calculatedColumnFormula array="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calculatedColumnFormula>
    </tableColumn>
    <tableColumn id="5" xr3:uid="{2D551D4E-DE8A-E44C-BA21-3B68E1E7DE8D}" name="Elevation (SRTM30-m)" dataDxfId="5">
      <calculatedColumnFormula array="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calculatedColumnFormula>
    </tableColumn>
    <tableColumn id="6" xr3:uid="{EC4738C3-117B-F847-8158-833663AD1FE0}" name="Area (Acre)" dataDxfId="4">
      <calculatedColumnFormula>tbl_Monitoring[[#This Row],[Area (km2)]]/4046.8564224*1000000</calculatedColumnFormula>
    </tableColumn>
    <tableColumn id="7" xr3:uid="{5B0525C2-E77B-4149-80B2-71253E3A5158}" name="Volume (Acre-ft)" dataDxfId="3">
      <calculatedColumnFormula>tbl_Monitoring[[#This Row],[Volume (MCM)]]/1233.4818375475*1000000</calculatedColumnFormula>
    </tableColumn>
    <tableColumn id="8" xr3:uid="{9C9960D4-0859-3142-AC40-4770739AE628}" name="Elevation (SRTM30-ft)" dataDxfId="2">
      <calculatedColumnFormula>tbl_Monitoring[[#This Row],[Elevation (SRTM30-m)]]*3.280839895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860822-F348-4989-89E7-B45B15CB2B82}" name="tbl_Export" displayName="tbl_Export" ref="B4:I873" totalsRowShown="0">
  <autoFilter ref="B4:I873" xr:uid="{84860822-F348-4989-89E7-B45B15CB2B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6940657-CBBF-4BD6-B54B-E2EFEFF54E77}" name="No" dataDxfId="1"/>
    <tableColumn id="2" xr3:uid="{F5FE1F98-BB5A-4263-B48D-C941AEE2EF96}" name="Date" dataDxfId="0"/>
    <tableColumn id="3" xr3:uid="{23CDA93D-FA70-4112-A9E8-866DF65A74C1}" name="Area (km2)"/>
    <tableColumn id="4" xr3:uid="{2BB09981-D4C2-4F44-BBA2-97B99DB20317}" name="Volume (MCM)"/>
    <tableColumn id="5" xr3:uid="{CD5263AD-A53C-4C9E-861D-C5BC140D6935}" name="Elevation (SRTM30-m)"/>
    <tableColumn id="6" xr3:uid="{391278BE-F40A-47E1-9D9B-207F47414CC7}" name="Area (Acre)"/>
    <tableColumn id="7" xr3:uid="{17859669-BF3B-47BE-B438-CDEA2F025F8C}" name="Volume (Acre-ft)"/>
    <tableColumn id="8" xr3:uid="{4CC0B1F8-8EDA-4CA8-B094-662697DD110E}" name="Elevation (SRTM30-f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lobalwaterwatch.earth/reservoir/88182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31AC-BE98-409D-B8EF-BC50EE36EC03}">
  <sheetPr>
    <pageSetUpPr fitToPage="1"/>
  </sheetPr>
  <dimension ref="A1:I55"/>
  <sheetViews>
    <sheetView tabSelected="1" zoomScaleNormal="100" workbookViewId="0"/>
  </sheetViews>
  <sheetFormatPr baseColWidth="10" defaultColWidth="12.5" defaultRowHeight="16" x14ac:dyDescent="0.2"/>
  <cols>
    <col min="1" max="1" width="3.6640625" style="4" customWidth="1"/>
    <col min="2" max="2" width="21.83203125" style="4" bestFit="1" customWidth="1"/>
    <col min="3" max="3" width="89.6640625" style="4" bestFit="1" customWidth="1"/>
    <col min="4" max="6" width="12.5" style="4"/>
    <col min="7" max="7" width="39.33203125" style="4" customWidth="1"/>
    <col min="8" max="8" width="4.1640625" style="4" customWidth="1"/>
    <col min="9" max="16384" width="12.5" style="4"/>
  </cols>
  <sheetData>
    <row r="1" spans="1:9" x14ac:dyDescent="0.2">
      <c r="B1" s="87"/>
      <c r="C1" s="57"/>
      <c r="E1" s="57"/>
      <c r="F1" s="57"/>
      <c r="G1" s="57"/>
    </row>
    <row r="2" spans="1:9" x14ac:dyDescent="0.2">
      <c r="A2" s="58"/>
      <c r="B2" s="61" t="s">
        <v>50</v>
      </c>
      <c r="C2" s="62"/>
      <c r="D2" s="63"/>
      <c r="E2" s="55" t="s">
        <v>54</v>
      </c>
      <c r="F2" s="56"/>
      <c r="G2" s="64"/>
    </row>
    <row r="3" spans="1:9" x14ac:dyDescent="0.2">
      <c r="D3" s="58"/>
      <c r="E3" s="67" t="s">
        <v>53</v>
      </c>
      <c r="F3" s="66"/>
      <c r="G3" s="65"/>
    </row>
    <row r="4" spans="1:9" x14ac:dyDescent="0.2">
      <c r="B4" s="99" t="s">
        <v>5</v>
      </c>
      <c r="C4" s="100" t="s">
        <v>131</v>
      </c>
    </row>
    <row r="5" spans="1:9" x14ac:dyDescent="0.2">
      <c r="B5" s="109" t="s">
        <v>6</v>
      </c>
      <c r="C5" s="109" t="s">
        <v>104</v>
      </c>
      <c r="E5" s="1" t="s">
        <v>2</v>
      </c>
      <c r="F5" s="1" t="s">
        <v>3</v>
      </c>
      <c r="G5" s="1" t="s">
        <v>4</v>
      </c>
    </row>
    <row r="6" spans="1:9" x14ac:dyDescent="0.2">
      <c r="B6" s="110" t="s">
        <v>7</v>
      </c>
      <c r="C6" s="110" t="s">
        <v>105</v>
      </c>
      <c r="E6" s="1">
        <v>0</v>
      </c>
      <c r="F6" s="1">
        <v>76</v>
      </c>
      <c r="G6" s="1" t="s">
        <v>24</v>
      </c>
      <c r="I6" s="54" t="s">
        <v>57</v>
      </c>
    </row>
    <row r="7" spans="1:9" x14ac:dyDescent="0.2">
      <c r="B7" s="109" t="s">
        <v>8</v>
      </c>
      <c r="C7" s="109" t="s">
        <v>106</v>
      </c>
      <c r="E7" s="1">
        <f>E8*0.5</f>
        <v>1750</v>
      </c>
      <c r="F7" s="1">
        <v>76</v>
      </c>
      <c r="G7" s="1" t="str">
        <f>_xlfn.CONCAT("Estimated Top of Spillway (",tbl_Spillway[[#This Row],[y]],"m)")</f>
        <v>Estimated Top of Spillway (76m)</v>
      </c>
      <c r="I7" s="88" t="s">
        <v>73</v>
      </c>
    </row>
    <row r="8" spans="1:9" x14ac:dyDescent="0.2">
      <c r="B8" s="110" t="s">
        <v>9</v>
      </c>
      <c r="C8" s="110" t="s">
        <v>107</v>
      </c>
      <c r="E8" s="1">
        <v>3500</v>
      </c>
      <c r="F8" s="1">
        <v>76</v>
      </c>
      <c r="G8" s="1" t="s">
        <v>24</v>
      </c>
      <c r="I8" s="102" t="s">
        <v>72</v>
      </c>
    </row>
    <row r="9" spans="1:9" x14ac:dyDescent="0.2">
      <c r="B9" s="109" t="s">
        <v>10</v>
      </c>
      <c r="C9" s="109" t="s">
        <v>108</v>
      </c>
      <c r="E9" s="3" t="s">
        <v>39</v>
      </c>
    </row>
    <row r="10" spans="1:9" x14ac:dyDescent="0.2">
      <c r="B10" s="110" t="s">
        <v>88</v>
      </c>
      <c r="C10" s="111" t="s">
        <v>109</v>
      </c>
    </row>
    <row r="11" spans="1:9" x14ac:dyDescent="0.2">
      <c r="B11" s="109" t="s">
        <v>11</v>
      </c>
      <c r="C11" s="112">
        <v>39037</v>
      </c>
    </row>
    <row r="12" spans="1:9" x14ac:dyDescent="0.2">
      <c r="B12" s="110" t="s">
        <v>98</v>
      </c>
      <c r="C12" s="111" t="s">
        <v>110</v>
      </c>
    </row>
    <row r="13" spans="1:9" x14ac:dyDescent="0.2">
      <c r="B13" s="109"/>
      <c r="C13" s="109"/>
    </row>
    <row r="14" spans="1:9" x14ac:dyDescent="0.2">
      <c r="B14" s="113" t="s">
        <v>79</v>
      </c>
      <c r="C14" s="111"/>
    </row>
    <row r="15" spans="1:9" x14ac:dyDescent="0.2">
      <c r="B15" s="109" t="s">
        <v>80</v>
      </c>
      <c r="C15" s="109" t="s">
        <v>111</v>
      </c>
    </row>
    <row r="16" spans="1:9" x14ac:dyDescent="0.2">
      <c r="B16" s="110" t="s">
        <v>81</v>
      </c>
      <c r="C16" s="110" t="s">
        <v>112</v>
      </c>
      <c r="E16" s="17" t="s">
        <v>42</v>
      </c>
    </row>
    <row r="17" spans="2:5" x14ac:dyDescent="0.2">
      <c r="B17" s="109" t="s">
        <v>82</v>
      </c>
      <c r="C17" s="109" t="s">
        <v>113</v>
      </c>
      <c r="E17" s="28" t="s">
        <v>49</v>
      </c>
    </row>
    <row r="18" spans="2:5" x14ac:dyDescent="0.2">
      <c r="B18" s="110" t="s">
        <v>83</v>
      </c>
      <c r="C18" s="110" t="s">
        <v>114</v>
      </c>
      <c r="E18" s="17" t="s">
        <v>43</v>
      </c>
    </row>
    <row r="19" spans="2:5" x14ac:dyDescent="0.2">
      <c r="B19" s="109"/>
      <c r="C19" s="114"/>
      <c r="E19" s="17" t="s">
        <v>44</v>
      </c>
    </row>
    <row r="20" spans="2:5" x14ac:dyDescent="0.2">
      <c r="B20" s="115" t="s">
        <v>84</v>
      </c>
      <c r="C20" s="110"/>
      <c r="E20" s="52" t="s">
        <v>52</v>
      </c>
    </row>
    <row r="21" spans="2:5" x14ac:dyDescent="0.2">
      <c r="B21" s="109" t="s">
        <v>80</v>
      </c>
      <c r="C21" s="109" t="s">
        <v>115</v>
      </c>
      <c r="E21" s="103" t="s">
        <v>99</v>
      </c>
    </row>
    <row r="22" spans="2:5" x14ac:dyDescent="0.2">
      <c r="B22" s="110" t="s">
        <v>85</v>
      </c>
      <c r="C22" s="110" t="s">
        <v>116</v>
      </c>
      <c r="E22" s="103" t="s">
        <v>100</v>
      </c>
    </row>
    <row r="23" spans="2:5" x14ac:dyDescent="0.2">
      <c r="B23" s="109" t="s">
        <v>86</v>
      </c>
      <c r="C23" s="109" t="s">
        <v>117</v>
      </c>
      <c r="E23" s="103" t="s">
        <v>101</v>
      </c>
    </row>
    <row r="24" spans="2:5" x14ac:dyDescent="0.2">
      <c r="B24" s="110" t="s">
        <v>87</v>
      </c>
      <c r="C24" s="110" t="s">
        <v>118</v>
      </c>
      <c r="E24" s="103" t="s">
        <v>102</v>
      </c>
    </row>
    <row r="25" spans="2:5" x14ac:dyDescent="0.2">
      <c r="B25" s="109"/>
      <c r="C25" s="109"/>
      <c r="E25" s="103" t="s">
        <v>103</v>
      </c>
    </row>
    <row r="26" spans="2:5" x14ac:dyDescent="0.2">
      <c r="B26" s="113" t="s">
        <v>55</v>
      </c>
      <c r="C26" s="110"/>
    </row>
    <row r="27" spans="2:5" x14ac:dyDescent="0.2">
      <c r="B27" s="109" t="s">
        <v>12</v>
      </c>
      <c r="C27" s="109" t="s">
        <v>119</v>
      </c>
    </row>
    <row r="28" spans="2:5" x14ac:dyDescent="0.2">
      <c r="B28" s="110" t="s">
        <v>13</v>
      </c>
      <c r="C28" s="110" t="s">
        <v>120</v>
      </c>
    </row>
    <row r="29" spans="2:5" x14ac:dyDescent="0.2">
      <c r="B29" s="109" t="s">
        <v>78</v>
      </c>
      <c r="C29" s="109" t="s">
        <v>121</v>
      </c>
    </row>
    <row r="30" spans="2:5" x14ac:dyDescent="0.2">
      <c r="B30" s="110"/>
      <c r="C30" s="110"/>
    </row>
    <row r="31" spans="2:5" x14ac:dyDescent="0.2">
      <c r="B31" s="116" t="s">
        <v>89</v>
      </c>
      <c r="C31" s="109"/>
    </row>
    <row r="32" spans="2:5" x14ac:dyDescent="0.2">
      <c r="B32" s="110" t="s">
        <v>90</v>
      </c>
      <c r="C32" s="110" t="s">
        <v>132</v>
      </c>
    </row>
    <row r="33" spans="1:3" x14ac:dyDescent="0.2">
      <c r="B33" s="109" t="s">
        <v>91</v>
      </c>
      <c r="C33" s="109" t="s">
        <v>122</v>
      </c>
    </row>
    <row r="34" spans="1:3" x14ac:dyDescent="0.2">
      <c r="A34" s="58"/>
      <c r="B34" s="110"/>
      <c r="C34" s="110"/>
    </row>
    <row r="35" spans="1:3" x14ac:dyDescent="0.2">
      <c r="B35" s="116" t="s">
        <v>92</v>
      </c>
      <c r="C35" s="116"/>
    </row>
    <row r="36" spans="1:3" x14ac:dyDescent="0.2">
      <c r="B36" s="110" t="s">
        <v>93</v>
      </c>
      <c r="C36" s="117" t="s">
        <v>123</v>
      </c>
    </row>
    <row r="37" spans="1:3" x14ac:dyDescent="0.2">
      <c r="B37" s="109" t="s">
        <v>94</v>
      </c>
      <c r="C37" s="114" t="s">
        <v>124</v>
      </c>
    </row>
    <row r="38" spans="1:3" x14ac:dyDescent="0.2">
      <c r="B38" s="110" t="s">
        <v>95</v>
      </c>
      <c r="C38" s="110" t="s">
        <v>125</v>
      </c>
    </row>
    <row r="39" spans="1:3" x14ac:dyDescent="0.2">
      <c r="B39" s="109" t="s">
        <v>96</v>
      </c>
      <c r="C39" s="109" t="s">
        <v>126</v>
      </c>
    </row>
    <row r="40" spans="1:3" x14ac:dyDescent="0.2">
      <c r="B40" s="110"/>
      <c r="C40" s="110"/>
    </row>
    <row r="41" spans="1:3" x14ac:dyDescent="0.2">
      <c r="B41" s="116" t="s">
        <v>97</v>
      </c>
      <c r="C41" s="109"/>
    </row>
    <row r="42" spans="1:3" ht="51" x14ac:dyDescent="0.2">
      <c r="B42" s="110" t="s">
        <v>127</v>
      </c>
      <c r="C42" s="118" t="s">
        <v>128</v>
      </c>
    </row>
    <row r="43" spans="1:3" ht="34" x14ac:dyDescent="0.2">
      <c r="B43" s="119" t="s">
        <v>129</v>
      </c>
      <c r="C43" s="119" t="s">
        <v>130</v>
      </c>
    </row>
    <row r="44" spans="1:3" x14ac:dyDescent="0.2">
      <c r="B44" s="110"/>
      <c r="C44" s="110"/>
    </row>
    <row r="45" spans="1:3" x14ac:dyDescent="0.2">
      <c r="B45" s="116" t="s">
        <v>26</v>
      </c>
      <c r="C45" s="120" t="s">
        <v>133</v>
      </c>
    </row>
    <row r="46" spans="1:3" x14ac:dyDescent="0.2">
      <c r="B46" s="101"/>
      <c r="C46" s="101"/>
    </row>
    <row r="47" spans="1:3" x14ac:dyDescent="0.2">
      <c r="B47" s="57"/>
    </row>
    <row r="48" spans="1:3" x14ac:dyDescent="0.2">
      <c r="B48" s="59" t="s">
        <v>56</v>
      </c>
      <c r="C48" s="60"/>
    </row>
    <row r="49" spans="2:4" x14ac:dyDescent="0.2">
      <c r="D49" s="54" t="s">
        <v>57</v>
      </c>
    </row>
    <row r="50" spans="2:4" x14ac:dyDescent="0.2">
      <c r="B50" s="3" t="s">
        <v>18</v>
      </c>
      <c r="C50" s="5" t="str">
        <f>CONCATENATE(Dam_name, ": Elevation-Capacity Curve")</f>
        <v>Mirani Reservoir, Balochistan: Elevation-Capacity Curve</v>
      </c>
      <c r="D50" s="53" t="s">
        <v>58</v>
      </c>
    </row>
    <row r="51" spans="2:4" x14ac:dyDescent="0.2">
      <c r="B51" s="3" t="s">
        <v>19</v>
      </c>
      <c r="C51" s="5" t="str">
        <f>CONCATENATE(Dam_name, ": Elevation-Area Curve")</f>
        <v>Mirani Reservoir, Balochistan: Elevation-Area Curve</v>
      </c>
      <c r="D51" s="53" t="s">
        <v>59</v>
      </c>
    </row>
    <row r="52" spans="2:4" x14ac:dyDescent="0.2">
      <c r="B52" s="3" t="s">
        <v>29</v>
      </c>
      <c r="C52" s="5" t="str">
        <f>CONCATENATE(Dam_name, ": Elevation-Area-Capacity Curves")</f>
        <v>Mirani Reservoir, Balochistan: Elevation-Area-Capacity Curves</v>
      </c>
      <c r="D52" s="53" t="s">
        <v>60</v>
      </c>
    </row>
    <row r="53" spans="2:4" x14ac:dyDescent="0.2">
      <c r="B53" s="3" t="s">
        <v>30</v>
      </c>
      <c r="C53" s="5" t="str">
        <f>CONCATENATE(Dam_name, ": Reservoir Capacity")</f>
        <v>Mirani Reservoir, Balochistan: Reservoir Capacity</v>
      </c>
      <c r="D53" s="53" t="s">
        <v>61</v>
      </c>
    </row>
    <row r="54" spans="2:4" x14ac:dyDescent="0.2">
      <c r="B54" s="3" t="s">
        <v>31</v>
      </c>
      <c r="C54" s="5" t="str">
        <f>CONCATENATE(Dam_name, ": Reservoir Water Area")</f>
        <v>Mirani Reservoir, Balochistan: Reservoir Water Area</v>
      </c>
      <c r="D54" s="53" t="s">
        <v>62</v>
      </c>
    </row>
    <row r="55" spans="2:4" x14ac:dyDescent="0.2">
      <c r="B55" s="3" t="s">
        <v>32</v>
      </c>
      <c r="C55" s="5" t="str">
        <f>CONCATENATE(Dam_name, ": Reservoir Water Level")</f>
        <v>Mirani Reservoir, Balochistan: Reservoir Water Level</v>
      </c>
      <c r="D55" s="53" t="s">
        <v>63</v>
      </c>
    </row>
  </sheetData>
  <hyperlinks>
    <hyperlink ref="C45" r:id="rId1" xr:uid="{3A700E18-8FA6-3F43-BC31-ECC1C395A3F4}"/>
  </hyperlinks>
  <pageMargins left="0.7" right="0.7" top="0.75" bottom="0.75" header="0.3" footer="0.3"/>
  <pageSetup orientation="landscape" r:id="rId2"/>
  <ignoredErrors>
    <ignoredError sqref="G6:G8" calculatedColumn="1"/>
  </ignoredErrors>
  <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E27B-F0F9-4F19-A557-45E33C0A909B}">
  <sheetPr>
    <pageSetUpPr fitToPage="1"/>
  </sheetPr>
  <dimension ref="B1:L53"/>
  <sheetViews>
    <sheetView zoomScaleNormal="100" workbookViewId="0">
      <selection activeCell="E17" sqref="E17"/>
    </sheetView>
  </sheetViews>
  <sheetFormatPr baseColWidth="10" defaultColWidth="8.83203125" defaultRowHeight="15" x14ac:dyDescent="0.2"/>
  <cols>
    <col min="1" max="1" width="4.6640625" customWidth="1"/>
    <col min="2" max="2" width="7" style="1" customWidth="1"/>
    <col min="3" max="7" width="12.6640625" customWidth="1"/>
    <col min="8" max="8" width="14" customWidth="1"/>
    <col min="9" max="9" width="12.6640625" customWidth="1"/>
    <col min="10" max="10" width="14.33203125" customWidth="1"/>
    <col min="11" max="11" width="10" bestFit="1" customWidth="1"/>
    <col min="12" max="12" width="15.33203125" bestFit="1" customWidth="1"/>
  </cols>
  <sheetData>
    <row r="1" spans="2:12" ht="16" thickBot="1" x14ac:dyDescent="0.25"/>
    <row r="2" spans="2:12" x14ac:dyDescent="0.2">
      <c r="G2" s="31" t="s">
        <v>40</v>
      </c>
      <c r="H2" s="32"/>
      <c r="I2" s="32"/>
      <c r="J2" s="41"/>
    </row>
    <row r="3" spans="2:12" x14ac:dyDescent="0.2">
      <c r="B3" s="104"/>
      <c r="C3" s="8" t="s">
        <v>22</v>
      </c>
      <c r="D3" s="8"/>
      <c r="E3" s="8"/>
      <c r="F3" s="8"/>
      <c r="G3" s="34" t="s">
        <v>23</v>
      </c>
      <c r="H3" s="9"/>
      <c r="I3" s="9"/>
      <c r="J3" s="35"/>
      <c r="K3" s="18"/>
      <c r="L3" s="18"/>
    </row>
    <row r="4" spans="2:12" s="2" customFormat="1" ht="67" customHeight="1" x14ac:dyDescent="0.2">
      <c r="B4" s="106" t="s">
        <v>0</v>
      </c>
      <c r="C4" s="2" t="s">
        <v>1</v>
      </c>
      <c r="D4" s="2" t="s">
        <v>14</v>
      </c>
      <c r="E4" s="2" t="s">
        <v>15</v>
      </c>
      <c r="F4" s="2" t="s">
        <v>71</v>
      </c>
      <c r="G4" s="42" t="s">
        <v>16</v>
      </c>
      <c r="H4" s="2" t="s">
        <v>17</v>
      </c>
      <c r="I4" s="2" t="s">
        <v>20</v>
      </c>
      <c r="J4" s="43" t="s">
        <v>21</v>
      </c>
    </row>
    <row r="5" spans="2:12" x14ac:dyDescent="0.2">
      <c r="B5" s="105">
        <f>ROW()-4</f>
        <v>1</v>
      </c>
      <c r="C5">
        <v>47</v>
      </c>
      <c r="D5">
        <v>0</v>
      </c>
      <c r="E5">
        <v>0</v>
      </c>
      <c r="F5">
        <v>0</v>
      </c>
      <c r="G5" s="44">
        <f>tbl_Data[[#This Row],[Area (m2)]]/1000000</f>
        <v>0</v>
      </c>
      <c r="H5" s="21">
        <f>tbl_Data[[#This Row],[Capacity (m3)]]/1000000</f>
        <v>0</v>
      </c>
      <c r="I5" s="22">
        <f>tbl_Data[[#This Row],[Area (m2)]]/4046.8564224</f>
        <v>0</v>
      </c>
      <c r="J5" s="45">
        <f>tbl_Data[[#This Row],[Capacity (m3)]]/1233.4818375475</f>
        <v>0</v>
      </c>
    </row>
    <row r="6" spans="2:12" x14ac:dyDescent="0.2">
      <c r="B6" s="108">
        <f>ROW()-4</f>
        <v>2</v>
      </c>
      <c r="C6">
        <v>48</v>
      </c>
      <c r="D6">
        <v>3</v>
      </c>
      <c r="E6">
        <v>2700</v>
      </c>
      <c r="F6">
        <v>2700</v>
      </c>
      <c r="G6" s="46">
        <f>tbl_Data[[#This Row],[Area (m2)]]/1000000</f>
        <v>2.7000000000000001E-3</v>
      </c>
      <c r="H6" s="23">
        <f>tbl_Data[[#This Row],[Capacity (m3)]]/1000000</f>
        <v>2.7000000000000001E-3</v>
      </c>
      <c r="I6" s="24">
        <f>tbl_Data[[#This Row],[Area (m2)]]/4046.8564224</f>
        <v>0.66718452996134636</v>
      </c>
      <c r="J6" s="47">
        <f>tbl_Data[[#This Row],[Capacity (m3)]]/1233.4818375475</f>
        <v>2.1889256232327994</v>
      </c>
    </row>
    <row r="7" spans="2:12" x14ac:dyDescent="0.2">
      <c r="B7" s="107">
        <f t="shared" ref="B7:B53" si="0">ROW()-4</f>
        <v>3</v>
      </c>
      <c r="C7">
        <v>49</v>
      </c>
      <c r="D7">
        <v>24</v>
      </c>
      <c r="E7">
        <v>21600</v>
      </c>
      <c r="F7">
        <v>24300</v>
      </c>
      <c r="G7" s="46">
        <f>tbl_Data[[#This Row],[Area (m2)]]/1000000</f>
        <v>2.1600000000000001E-2</v>
      </c>
      <c r="H7" s="23">
        <f>tbl_Data[[#This Row],[Capacity (m3)]]/1000000</f>
        <v>2.4299999999999999E-2</v>
      </c>
      <c r="I7" s="24">
        <f>tbl_Data[[#This Row],[Area (m2)]]/4046.8564224</f>
        <v>5.3374762396907709</v>
      </c>
      <c r="J7" s="47">
        <f>tbl_Data[[#This Row],[Capacity (m3)]]/1233.4818375475</f>
        <v>19.700330609095197</v>
      </c>
    </row>
    <row r="8" spans="2:12" x14ac:dyDescent="0.2">
      <c r="B8" s="107">
        <f t="shared" si="0"/>
        <v>4</v>
      </c>
      <c r="C8">
        <v>50</v>
      </c>
      <c r="D8">
        <v>70</v>
      </c>
      <c r="E8">
        <v>63000</v>
      </c>
      <c r="F8">
        <v>87300</v>
      </c>
      <c r="G8" s="46">
        <f>tbl_Data[[#This Row],[Area (m2)]]/1000000</f>
        <v>6.3E-2</v>
      </c>
      <c r="H8" s="23">
        <f>tbl_Data[[#This Row],[Capacity (m3)]]/1000000</f>
        <v>8.7300000000000003E-2</v>
      </c>
      <c r="I8" s="24">
        <f>tbl_Data[[#This Row],[Area (m2)]]/4046.8564224</f>
        <v>15.567639032431416</v>
      </c>
      <c r="J8" s="47">
        <f>tbl_Data[[#This Row],[Capacity (m3)]]/1233.4818375475</f>
        <v>70.77526181786051</v>
      </c>
    </row>
    <row r="9" spans="2:12" x14ac:dyDescent="0.2">
      <c r="B9" s="107">
        <f t="shared" si="0"/>
        <v>5</v>
      </c>
      <c r="C9">
        <v>51</v>
      </c>
      <c r="D9">
        <v>167</v>
      </c>
      <c r="E9">
        <v>150300</v>
      </c>
      <c r="F9">
        <v>237600</v>
      </c>
      <c r="G9" s="46">
        <f>tbl_Data[[#This Row],[Area (m2)]]/1000000</f>
        <v>0.15029999999999999</v>
      </c>
      <c r="H9" s="23">
        <f>tbl_Data[[#This Row],[Capacity (m3)]]/1000000</f>
        <v>0.23760000000000001</v>
      </c>
      <c r="I9" s="24">
        <f>tbl_Data[[#This Row],[Area (m2)]]/4046.8564224</f>
        <v>37.13993883451495</v>
      </c>
      <c r="J9" s="47">
        <f>tbl_Data[[#This Row],[Capacity (m3)]]/1233.4818375475</f>
        <v>192.62545484448634</v>
      </c>
    </row>
    <row r="10" spans="2:12" x14ac:dyDescent="0.2">
      <c r="B10" s="107">
        <f t="shared" si="0"/>
        <v>6</v>
      </c>
      <c r="C10">
        <v>52</v>
      </c>
      <c r="D10">
        <v>334</v>
      </c>
      <c r="E10">
        <v>300600</v>
      </c>
      <c r="F10">
        <v>538200</v>
      </c>
      <c r="G10" s="46">
        <f>tbl_Data[[#This Row],[Area (m2)]]/1000000</f>
        <v>0.30059999999999998</v>
      </c>
      <c r="H10" s="23">
        <f>tbl_Data[[#This Row],[Capacity (m3)]]/1000000</f>
        <v>0.53820000000000001</v>
      </c>
      <c r="I10" s="24">
        <f>tbl_Data[[#This Row],[Area (m2)]]/4046.8564224</f>
        <v>74.279877669029901</v>
      </c>
      <c r="J10" s="47">
        <f>tbl_Data[[#This Row],[Capacity (m3)]]/1233.4818375475</f>
        <v>436.32584089773803</v>
      </c>
    </row>
    <row r="11" spans="2:12" x14ac:dyDescent="0.2">
      <c r="B11" s="107">
        <f t="shared" si="0"/>
        <v>7</v>
      </c>
      <c r="C11">
        <v>53</v>
      </c>
      <c r="D11">
        <v>599</v>
      </c>
      <c r="E11">
        <v>539100</v>
      </c>
      <c r="F11">
        <v>1077300</v>
      </c>
      <c r="G11" s="46">
        <f>tbl_Data[[#This Row],[Area (m2)]]/1000000</f>
        <v>0.53910000000000002</v>
      </c>
      <c r="H11" s="23">
        <f>tbl_Data[[#This Row],[Capacity (m3)]]/1000000</f>
        <v>1.0772999999999999</v>
      </c>
      <c r="I11" s="24">
        <f>tbl_Data[[#This Row],[Area (m2)]]/4046.8564224</f>
        <v>133.21451114894884</v>
      </c>
      <c r="J11" s="47">
        <f>tbl_Data[[#This Row],[Capacity (m3)]]/1233.4818375475</f>
        <v>873.38132366988702</v>
      </c>
    </row>
    <row r="12" spans="2:12" x14ac:dyDescent="0.2">
      <c r="B12" s="107">
        <f t="shared" si="0"/>
        <v>8</v>
      </c>
      <c r="C12">
        <v>54</v>
      </c>
      <c r="D12">
        <v>983</v>
      </c>
      <c r="E12">
        <v>884700</v>
      </c>
      <c r="F12">
        <v>1962000</v>
      </c>
      <c r="G12" s="46">
        <f>tbl_Data[[#This Row],[Area (m2)]]/1000000</f>
        <v>0.88470000000000004</v>
      </c>
      <c r="H12" s="23">
        <f>tbl_Data[[#This Row],[Capacity (m3)]]/1000000</f>
        <v>1.962</v>
      </c>
      <c r="I12" s="24">
        <f>tbl_Data[[#This Row],[Area (m2)]]/4046.8564224</f>
        <v>218.61413098400118</v>
      </c>
      <c r="J12" s="47">
        <f>tbl_Data[[#This Row],[Capacity (m3)]]/1233.4818375475</f>
        <v>1590.6192862158343</v>
      </c>
    </row>
    <row r="13" spans="2:12" x14ac:dyDescent="0.2">
      <c r="B13" s="107">
        <f t="shared" si="0"/>
        <v>9</v>
      </c>
      <c r="C13">
        <v>55</v>
      </c>
      <c r="D13">
        <v>1500</v>
      </c>
      <c r="E13">
        <v>1350000</v>
      </c>
      <c r="F13">
        <v>3312000</v>
      </c>
      <c r="G13" s="46">
        <f>tbl_Data[[#This Row],[Area (m2)]]/1000000</f>
        <v>1.35</v>
      </c>
      <c r="H13" s="23">
        <f>tbl_Data[[#This Row],[Capacity (m3)]]/1000000</f>
        <v>3.3119999999999998</v>
      </c>
      <c r="I13" s="24">
        <f>tbl_Data[[#This Row],[Area (m2)]]/4046.8564224</f>
        <v>333.59226498067318</v>
      </c>
      <c r="J13" s="47">
        <f>tbl_Data[[#This Row],[Capacity (m3)]]/1233.4818375475</f>
        <v>2685.082097832234</v>
      </c>
    </row>
    <row r="14" spans="2:12" x14ac:dyDescent="0.2">
      <c r="B14" s="107">
        <f t="shared" si="0"/>
        <v>10</v>
      </c>
      <c r="C14">
        <v>56</v>
      </c>
      <c r="D14">
        <v>2092</v>
      </c>
      <c r="E14">
        <v>1882800</v>
      </c>
      <c r="F14">
        <v>5194800</v>
      </c>
      <c r="G14" s="46">
        <f>tbl_Data[[#This Row],[Area (m2)]]/1000000</f>
        <v>1.8828</v>
      </c>
      <c r="H14" s="23">
        <f>tbl_Data[[#This Row],[Capacity (m3)]]/1000000</f>
        <v>5.1947999999999999</v>
      </c>
      <c r="I14" s="24">
        <f>tbl_Data[[#This Row],[Area (m2)]]/4046.8564224</f>
        <v>465.25001222637889</v>
      </c>
      <c r="J14" s="47">
        <f>tbl_Data[[#This Row],[Capacity (m3)]]/1233.4818375475</f>
        <v>4211.492899099906</v>
      </c>
    </row>
    <row r="15" spans="2:12" x14ac:dyDescent="0.2">
      <c r="B15" s="107">
        <f t="shared" si="0"/>
        <v>11</v>
      </c>
      <c r="C15">
        <v>57</v>
      </c>
      <c r="D15">
        <v>2780</v>
      </c>
      <c r="E15">
        <v>2502000</v>
      </c>
      <c r="F15">
        <v>7696800</v>
      </c>
      <c r="G15" s="46">
        <f>tbl_Data[[#This Row],[Area (m2)]]/1000000</f>
        <v>2.5019999999999998</v>
      </c>
      <c r="H15" s="23">
        <f>tbl_Data[[#This Row],[Capacity (m3)]]/1000000</f>
        <v>7.6967999999999996</v>
      </c>
      <c r="I15" s="24">
        <f>tbl_Data[[#This Row],[Area (m2)]]/4046.8564224</f>
        <v>618.25766443084763</v>
      </c>
      <c r="J15" s="47">
        <f>tbl_Data[[#This Row],[Capacity (m3)]]/1233.4818375475</f>
        <v>6239.8973099622999</v>
      </c>
    </row>
    <row r="16" spans="2:12" x14ac:dyDescent="0.2">
      <c r="B16" s="107">
        <f t="shared" si="0"/>
        <v>12</v>
      </c>
      <c r="C16">
        <v>58</v>
      </c>
      <c r="D16">
        <v>3571</v>
      </c>
      <c r="E16">
        <v>3213900</v>
      </c>
      <c r="F16">
        <v>10910700</v>
      </c>
      <c r="G16" s="46">
        <f>tbl_Data[[#This Row],[Area (m2)]]/1000000</f>
        <v>3.2139000000000002</v>
      </c>
      <c r="H16" s="23">
        <f>tbl_Data[[#This Row],[Capacity (m3)]]/1000000</f>
        <v>10.9107</v>
      </c>
      <c r="I16" s="24">
        <f>tbl_Data[[#This Row],[Area (m2)]]/4046.8564224</f>
        <v>794.17198549732268</v>
      </c>
      <c r="J16" s="47">
        <f>tbl_Data[[#This Row],[Capacity (m3)]]/1233.4818375475</f>
        <v>8845.4484434837432</v>
      </c>
    </row>
    <row r="17" spans="2:10" x14ac:dyDescent="0.2">
      <c r="B17" s="107">
        <f t="shared" si="0"/>
        <v>13</v>
      </c>
      <c r="C17">
        <v>59</v>
      </c>
      <c r="D17">
        <v>4595</v>
      </c>
      <c r="E17">
        <v>4135500</v>
      </c>
      <c r="F17">
        <v>15046200</v>
      </c>
      <c r="G17" s="46">
        <f>tbl_Data[[#This Row],[Area (m2)]]/1000000</f>
        <v>4.1355000000000004</v>
      </c>
      <c r="H17" s="23">
        <f>tbl_Data[[#This Row],[Capacity (m3)]]/1000000</f>
        <v>15.046200000000001</v>
      </c>
      <c r="I17" s="24">
        <f>tbl_Data[[#This Row],[Area (m2)]]/4046.8564224</f>
        <v>1021.9043050574622</v>
      </c>
      <c r="J17" s="47">
        <f>tbl_Data[[#This Row],[Capacity (m3)]]/1233.4818375475</f>
        <v>12198.152856401981</v>
      </c>
    </row>
    <row r="18" spans="2:10" x14ac:dyDescent="0.2">
      <c r="B18" s="107">
        <f t="shared" si="0"/>
        <v>14</v>
      </c>
      <c r="C18">
        <v>60</v>
      </c>
      <c r="D18">
        <v>5897</v>
      </c>
      <c r="E18">
        <v>5307300</v>
      </c>
      <c r="F18">
        <v>20353500</v>
      </c>
      <c r="G18" s="46">
        <f>tbl_Data[[#This Row],[Area (m2)]]/1000000</f>
        <v>5.3072999999999997</v>
      </c>
      <c r="H18" s="23">
        <f>tbl_Data[[#This Row],[Capacity (m3)]]/1000000</f>
        <v>20.3535</v>
      </c>
      <c r="I18" s="24">
        <f>tbl_Data[[#This Row],[Area (m2)]]/4046.8564224</f>
        <v>1311.4623910606865</v>
      </c>
      <c r="J18" s="47">
        <f>tbl_Data[[#This Row],[Capacity (m3)]]/1233.4818375475</f>
        <v>16500.850989803253</v>
      </c>
    </row>
    <row r="19" spans="2:10" x14ac:dyDescent="0.2">
      <c r="B19" s="107">
        <f t="shared" si="0"/>
        <v>15</v>
      </c>
      <c r="C19">
        <v>61</v>
      </c>
      <c r="D19">
        <v>7318</v>
      </c>
      <c r="E19">
        <v>6586200</v>
      </c>
      <c r="F19">
        <v>26939700</v>
      </c>
      <c r="G19" s="46">
        <f>tbl_Data[[#This Row],[Area (m2)]]/1000000</f>
        <v>6.5861999999999998</v>
      </c>
      <c r="H19" s="23">
        <f>tbl_Data[[#This Row],[Capacity (m3)]]/1000000</f>
        <v>26.939699999999998</v>
      </c>
      <c r="I19" s="24">
        <f>tbl_Data[[#This Row],[Area (m2)]]/4046.8564224</f>
        <v>1627.4854634190442</v>
      </c>
      <c r="J19" s="47">
        <f>tbl_Data[[#This Row],[Capacity (m3)]]/1233.4818375475</f>
        <v>21840.370226742463</v>
      </c>
    </row>
    <row r="20" spans="2:10" x14ac:dyDescent="0.2">
      <c r="B20" s="107">
        <f t="shared" si="0"/>
        <v>16</v>
      </c>
      <c r="C20">
        <v>62</v>
      </c>
      <c r="D20">
        <v>8868</v>
      </c>
      <c r="E20">
        <v>7981200</v>
      </c>
      <c r="F20">
        <v>34920900</v>
      </c>
      <c r="G20" s="46">
        <f>tbl_Data[[#This Row],[Area (m2)]]/1000000</f>
        <v>7.9812000000000003</v>
      </c>
      <c r="H20" s="23">
        <f>tbl_Data[[#This Row],[Capacity (m3)]]/1000000</f>
        <v>34.920900000000003</v>
      </c>
      <c r="I20" s="24">
        <f>tbl_Data[[#This Row],[Area (m2)]]/4046.8564224</f>
        <v>1972.1974705657399</v>
      </c>
      <c r="J20" s="47">
        <f>tbl_Data[[#This Row],[Capacity (m3)]]/1233.4818375475</f>
        <v>28310.834369018616</v>
      </c>
    </row>
    <row r="21" spans="2:10" x14ac:dyDescent="0.2">
      <c r="B21" s="107">
        <f t="shared" si="0"/>
        <v>17</v>
      </c>
      <c r="C21">
        <v>63</v>
      </c>
      <c r="D21">
        <v>10472</v>
      </c>
      <c r="E21">
        <v>9424800</v>
      </c>
      <c r="F21">
        <v>44345700</v>
      </c>
      <c r="G21" s="46">
        <f>tbl_Data[[#This Row],[Area (m2)]]/1000000</f>
        <v>9.4247999999999994</v>
      </c>
      <c r="H21" s="23">
        <f>tbl_Data[[#This Row],[Capacity (m3)]]/1000000</f>
        <v>44.345700000000001</v>
      </c>
      <c r="I21" s="24">
        <f>tbl_Data[[#This Row],[Area (m2)]]/4046.8564224</f>
        <v>2328.91879925174</v>
      </c>
      <c r="J21" s="47">
        <f>tbl_Data[[#This Row],[Capacity (m3)]]/1233.4818375475</f>
        <v>35951.644077849909</v>
      </c>
    </row>
    <row r="22" spans="2:10" x14ac:dyDescent="0.2">
      <c r="B22" s="107">
        <f t="shared" si="0"/>
        <v>18</v>
      </c>
      <c r="C22">
        <v>64</v>
      </c>
      <c r="D22">
        <v>12267</v>
      </c>
      <c r="E22">
        <v>11040300</v>
      </c>
      <c r="F22">
        <v>55386000</v>
      </c>
      <c r="G22" s="46">
        <f>tbl_Data[[#This Row],[Area (m2)]]/1000000</f>
        <v>11.0403</v>
      </c>
      <c r="H22" s="23">
        <f>tbl_Data[[#This Row],[Capacity (m3)]]/1000000</f>
        <v>55.386000000000003</v>
      </c>
      <c r="I22" s="24">
        <f>tbl_Data[[#This Row],[Area (m2)]]/4046.8564224</f>
        <v>2728.1175430119456</v>
      </c>
      <c r="J22" s="47">
        <f>tbl_Data[[#This Row],[Capacity (m3)]]/1233.4818375475</f>
        <v>44902.160951248828</v>
      </c>
    </row>
    <row r="23" spans="2:10" x14ac:dyDescent="0.2">
      <c r="B23" s="107">
        <f t="shared" si="0"/>
        <v>19</v>
      </c>
      <c r="C23">
        <v>65</v>
      </c>
      <c r="D23">
        <v>14085</v>
      </c>
      <c r="E23">
        <v>12676500</v>
      </c>
      <c r="F23">
        <v>68062500</v>
      </c>
      <c r="G23" s="46">
        <f>tbl_Data[[#This Row],[Area (m2)]]/1000000</f>
        <v>12.676500000000001</v>
      </c>
      <c r="H23" s="23">
        <f>tbl_Data[[#This Row],[Capacity (m3)]]/1000000</f>
        <v>68.0625</v>
      </c>
      <c r="I23" s="24">
        <f>tbl_Data[[#This Row],[Area (m2)]]/4046.8564224</f>
        <v>3132.4313681685212</v>
      </c>
      <c r="J23" s="47">
        <f>tbl_Data[[#This Row],[Capacity (m3)]]/1233.4818375475</f>
        <v>55179.166752326819</v>
      </c>
    </row>
    <row r="24" spans="2:10" x14ac:dyDescent="0.2">
      <c r="B24" s="107">
        <f t="shared" si="0"/>
        <v>20</v>
      </c>
      <c r="C24">
        <v>66</v>
      </c>
      <c r="D24">
        <v>16130</v>
      </c>
      <c r="E24">
        <v>14517000</v>
      </c>
      <c r="F24">
        <v>82579500</v>
      </c>
      <c r="G24" s="46">
        <f>tbl_Data[[#This Row],[Area (m2)]]/1000000</f>
        <v>14.516999999999999</v>
      </c>
      <c r="H24" s="23">
        <f>tbl_Data[[#This Row],[Capacity (m3)]]/1000000</f>
        <v>82.579499999999996</v>
      </c>
      <c r="I24" s="24">
        <f>tbl_Data[[#This Row],[Area (m2)]]/4046.8564224</f>
        <v>3587.2288227588392</v>
      </c>
      <c r="J24" s="47">
        <f>tbl_Data[[#This Row],[Capacity (m3)]]/1233.4818375475</f>
        <v>66948.290186575177</v>
      </c>
    </row>
    <row r="25" spans="2:10" x14ac:dyDescent="0.2">
      <c r="B25" s="107">
        <f t="shared" si="0"/>
        <v>21</v>
      </c>
      <c r="C25">
        <v>67</v>
      </c>
      <c r="D25">
        <v>18408</v>
      </c>
      <c r="E25">
        <v>16567200</v>
      </c>
      <c r="F25">
        <v>99146700</v>
      </c>
      <c r="G25" s="46">
        <f>tbl_Data[[#This Row],[Area (m2)]]/1000000</f>
        <v>16.5672</v>
      </c>
      <c r="H25" s="23">
        <f>tbl_Data[[#This Row],[Capacity (m3)]]/1000000</f>
        <v>99.146699999999996</v>
      </c>
      <c r="I25" s="24">
        <f>tbl_Data[[#This Row],[Area (m2)]]/4046.8564224</f>
        <v>4093.8442758428214</v>
      </c>
      <c r="J25" s="47">
        <f>tbl_Data[[#This Row],[Capacity (m3)]]/1233.4818375475</f>
        <v>80379.537810731636</v>
      </c>
    </row>
    <row r="26" spans="2:10" x14ac:dyDescent="0.2">
      <c r="B26" s="107">
        <f t="shared" si="0"/>
        <v>22</v>
      </c>
      <c r="C26">
        <v>68</v>
      </c>
      <c r="D26">
        <v>21063</v>
      </c>
      <c r="E26">
        <v>18956700</v>
      </c>
      <c r="F26">
        <v>118103400</v>
      </c>
      <c r="G26" s="46">
        <f>tbl_Data[[#This Row],[Area (m2)]]/1000000</f>
        <v>18.956700000000001</v>
      </c>
      <c r="H26" s="23">
        <f>tbl_Data[[#This Row],[Capacity (m3)]]/1000000</f>
        <v>118.10339999999999</v>
      </c>
      <c r="I26" s="24">
        <f>tbl_Data[[#This Row],[Area (m2)]]/4046.8564224</f>
        <v>4684.302584858613</v>
      </c>
      <c r="J26" s="47">
        <f>tbl_Data[[#This Row],[Capacity (m3)]]/1233.4818375475</f>
        <v>95747.984611449108</v>
      </c>
    </row>
    <row r="27" spans="2:10" x14ac:dyDescent="0.2">
      <c r="B27" s="107">
        <f t="shared" si="0"/>
        <v>23</v>
      </c>
      <c r="C27">
        <v>69</v>
      </c>
      <c r="D27">
        <v>24373</v>
      </c>
      <c r="E27">
        <v>21935700</v>
      </c>
      <c r="F27">
        <v>140039100</v>
      </c>
      <c r="G27" s="46">
        <f>tbl_Data[[#This Row],[Area (m2)]]/1000000</f>
        <v>21.935700000000001</v>
      </c>
      <c r="H27" s="23">
        <f>tbl_Data[[#This Row],[Capacity (m3)]]/1000000</f>
        <v>140.03909999999999</v>
      </c>
      <c r="I27" s="24">
        <f>tbl_Data[[#This Row],[Area (m2)]]/4046.8564224</f>
        <v>5420.429516249299</v>
      </c>
      <c r="J27" s="47">
        <f>tbl_Data[[#This Row],[Capacity (m3)]]/1233.4818375475</f>
        <v>113531.54601646679</v>
      </c>
    </row>
    <row r="28" spans="2:10" x14ac:dyDescent="0.2">
      <c r="B28" s="107">
        <f t="shared" si="0"/>
        <v>24</v>
      </c>
      <c r="C28">
        <v>70</v>
      </c>
      <c r="D28">
        <v>28360</v>
      </c>
      <c r="E28">
        <v>25524000</v>
      </c>
      <c r="F28">
        <v>165563100</v>
      </c>
      <c r="G28" s="46">
        <f>tbl_Data[[#This Row],[Area (m2)]]/1000000</f>
        <v>25.524000000000001</v>
      </c>
      <c r="H28" s="23">
        <f>tbl_Data[[#This Row],[Capacity (m3)]]/1000000</f>
        <v>165.56309999999999</v>
      </c>
      <c r="I28" s="24">
        <f>tbl_Data[[#This Row],[Area (m2)]]/4046.8564224</f>
        <v>6307.1177565679282</v>
      </c>
      <c r="J28" s="47">
        <f>tbl_Data[[#This Row],[Capacity (m3)]]/1233.4818375475</f>
        <v>134224.18957476085</v>
      </c>
    </row>
    <row r="29" spans="2:10" x14ac:dyDescent="0.2">
      <c r="B29" s="107">
        <f t="shared" si="0"/>
        <v>25</v>
      </c>
      <c r="C29">
        <v>71</v>
      </c>
      <c r="D29">
        <v>33118</v>
      </c>
      <c r="E29">
        <v>29806200</v>
      </c>
      <c r="F29">
        <v>195369300</v>
      </c>
      <c r="G29" s="46">
        <f>tbl_Data[[#This Row],[Area (m2)]]/1000000</f>
        <v>29.8062</v>
      </c>
      <c r="H29" s="23">
        <f>tbl_Data[[#This Row],[Capacity (m3)]]/1000000</f>
        <v>195.36930000000001</v>
      </c>
      <c r="I29" s="24">
        <f>tbl_Data[[#This Row],[Area (m2)]]/4046.8564224</f>
        <v>7365.2724210866236</v>
      </c>
      <c r="J29" s="47">
        <f>tbl_Data[[#This Row],[Capacity (m3)]]/1233.4818375475</f>
        <v>158388.46917150213</v>
      </c>
    </row>
    <row r="30" spans="2:10" x14ac:dyDescent="0.2">
      <c r="B30" s="107">
        <f t="shared" si="0"/>
        <v>26</v>
      </c>
      <c r="C30">
        <v>72</v>
      </c>
      <c r="D30">
        <v>38375</v>
      </c>
      <c r="E30">
        <v>34537500</v>
      </c>
      <c r="F30">
        <v>229906800</v>
      </c>
      <c r="G30" s="46">
        <f>tbl_Data[[#This Row],[Area (m2)]]/1000000</f>
        <v>34.537500000000001</v>
      </c>
      <c r="H30" s="23">
        <f>tbl_Data[[#This Row],[Capacity (m3)]]/1000000</f>
        <v>229.9068</v>
      </c>
      <c r="I30" s="24">
        <f>tbl_Data[[#This Row],[Area (m2)]]/4046.8564224</f>
        <v>8534.4021124222236</v>
      </c>
      <c r="J30" s="47">
        <f>tbl_Data[[#This Row],[Capacity (m3)]]/1233.4818375475</f>
        <v>186388.4761020217</v>
      </c>
    </row>
    <row r="31" spans="2:10" x14ac:dyDescent="0.2">
      <c r="B31" s="107">
        <f t="shared" si="0"/>
        <v>27</v>
      </c>
      <c r="C31">
        <v>73</v>
      </c>
      <c r="D31">
        <v>44540</v>
      </c>
      <c r="E31">
        <v>40086000</v>
      </c>
      <c r="F31">
        <v>269992800</v>
      </c>
      <c r="G31" s="46">
        <f>tbl_Data[[#This Row],[Area (m2)]]/1000000</f>
        <v>40.085999999999999</v>
      </c>
      <c r="H31" s="23">
        <f>tbl_Data[[#This Row],[Capacity (m3)]]/1000000</f>
        <v>269.99279999999999</v>
      </c>
      <c r="I31" s="24">
        <f>tbl_Data[[#This Row],[Area (m2)]]/4046.8564224</f>
        <v>9905.4663214927896</v>
      </c>
      <c r="J31" s="47">
        <f>tbl_Data[[#This Row],[Capacity (m3)]]/1233.4818375475</f>
        <v>218886.72518828465</v>
      </c>
    </row>
    <row r="32" spans="2:10" x14ac:dyDescent="0.2">
      <c r="B32" s="107">
        <f t="shared" si="0"/>
        <v>28</v>
      </c>
      <c r="C32">
        <v>74</v>
      </c>
      <c r="D32">
        <v>51956</v>
      </c>
      <c r="E32">
        <v>46760400</v>
      </c>
      <c r="F32">
        <v>316753200</v>
      </c>
      <c r="G32" s="46">
        <f>tbl_Data[[#This Row],[Area (m2)]]/1000000</f>
        <v>46.760399999999997</v>
      </c>
      <c r="H32" s="23">
        <f>tbl_Data[[#This Row],[Capacity (m3)]]/1000000</f>
        <v>316.75319999999999</v>
      </c>
      <c r="I32" s="24">
        <f>tbl_Data[[#This Row],[Area (m2)]]/4046.8564224</f>
        <v>11554.746479557238</v>
      </c>
      <c r="J32" s="47">
        <f>tbl_Data[[#This Row],[Capacity (m3)]]/1233.4818375475</f>
        <v>256795.99841517911</v>
      </c>
    </row>
    <row r="33" spans="2:10" x14ac:dyDescent="0.2">
      <c r="B33" s="107">
        <f t="shared" si="0"/>
        <v>29</v>
      </c>
      <c r="C33">
        <v>75</v>
      </c>
      <c r="D33">
        <v>60599</v>
      </c>
      <c r="E33">
        <v>54539100</v>
      </c>
      <c r="F33">
        <v>371292300</v>
      </c>
      <c r="G33" s="46">
        <f>tbl_Data[[#This Row],[Area (m2)]]/1000000</f>
        <v>54.539099999999998</v>
      </c>
      <c r="H33" s="23">
        <f>tbl_Data[[#This Row],[Capacity (m3)]]/1000000</f>
        <v>371.29230000000001</v>
      </c>
      <c r="I33" s="24">
        <f>tbl_Data[[#This Row],[Area (m2)]]/4046.8564224</f>
        <v>13476.905110375877</v>
      </c>
      <c r="J33" s="47">
        <f>tbl_Data[[#This Row],[Capacity (m3)]]/1233.4818375475</f>
        <v>301011.56636260723</v>
      </c>
    </row>
    <row r="34" spans="2:10" x14ac:dyDescent="0.2">
      <c r="B34" s="107">
        <f t="shared" si="0"/>
        <v>30</v>
      </c>
      <c r="C34">
        <v>76</v>
      </c>
      <c r="D34">
        <v>70030</v>
      </c>
      <c r="E34">
        <v>63027000</v>
      </c>
      <c r="F34">
        <v>434319300</v>
      </c>
      <c r="G34" s="46">
        <f>tbl_Data[[#This Row],[Area (m2)]]/1000000</f>
        <v>63.027000000000001</v>
      </c>
      <c r="H34" s="23">
        <f>tbl_Data[[#This Row],[Capacity (m3)]]/1000000</f>
        <v>434.3193</v>
      </c>
      <c r="I34" s="24">
        <f>tbl_Data[[#This Row],[Area (m2)]]/4046.8564224</f>
        <v>15574.31087773103</v>
      </c>
      <c r="J34" s="47">
        <f>tbl_Data[[#This Row],[Capacity (m3)]]/1233.4818375475</f>
        <v>352108.3868276049</v>
      </c>
    </row>
    <row r="35" spans="2:10" x14ac:dyDescent="0.2">
      <c r="B35" s="107">
        <f t="shared" si="0"/>
        <v>31</v>
      </c>
      <c r="C35">
        <v>77</v>
      </c>
      <c r="D35">
        <v>79872</v>
      </c>
      <c r="E35">
        <v>71884800</v>
      </c>
      <c r="F35">
        <v>506204100</v>
      </c>
      <c r="G35" s="46">
        <f>tbl_Data[[#This Row],[Area (m2)]]/1000000</f>
        <v>71.884799999999998</v>
      </c>
      <c r="H35" s="23">
        <f>tbl_Data[[#This Row],[Capacity (m3)]]/1000000</f>
        <v>506.20409999999998</v>
      </c>
      <c r="I35" s="24">
        <f>tbl_Data[[#This Row],[Area (m2)]]/4046.8564224</f>
        <v>17763.120925690888</v>
      </c>
      <c r="J35" s="47">
        <f>tbl_Data[[#This Row],[Capacity (m3)]]/1233.4818375475</f>
        <v>410386.34262055496</v>
      </c>
    </row>
    <row r="36" spans="2:10" x14ac:dyDescent="0.2">
      <c r="B36" s="107">
        <f t="shared" si="0"/>
        <v>32</v>
      </c>
      <c r="C36">
        <v>78</v>
      </c>
      <c r="D36">
        <v>90044</v>
      </c>
      <c r="E36">
        <v>81039600</v>
      </c>
      <c r="F36">
        <v>587243700</v>
      </c>
      <c r="G36" s="46">
        <f>tbl_Data[[#This Row],[Area (m2)]]/1000000</f>
        <v>81.039599999999993</v>
      </c>
      <c r="H36" s="23">
        <f>tbl_Data[[#This Row],[Capacity (m3)]]/1000000</f>
        <v>587.24369999999999</v>
      </c>
      <c r="I36" s="24">
        <f>tbl_Data[[#This Row],[Area (m2)]]/4046.8564224</f>
        <v>20025.32127194649</v>
      </c>
      <c r="J36" s="47">
        <f>tbl_Data[[#This Row],[Capacity (m3)]]/1233.4818375475</f>
        <v>476086.21556001302</v>
      </c>
    </row>
    <row r="37" spans="2:10" x14ac:dyDescent="0.2">
      <c r="B37" s="107">
        <f t="shared" si="0"/>
        <v>33</v>
      </c>
      <c r="C37">
        <v>79</v>
      </c>
      <c r="D37">
        <v>100344</v>
      </c>
      <c r="E37">
        <v>90309600</v>
      </c>
      <c r="F37">
        <v>677553300</v>
      </c>
      <c r="G37" s="46">
        <f>tbl_Data[[#This Row],[Area (m2)]]/1000000</f>
        <v>90.309600000000003</v>
      </c>
      <c r="H37" s="23">
        <f>tbl_Data[[#This Row],[Capacity (m3)]]/1000000</f>
        <v>677.55330000000004</v>
      </c>
      <c r="I37" s="24">
        <f>tbl_Data[[#This Row],[Area (m2)]]/4046.8564224</f>
        <v>22315.988158147113</v>
      </c>
      <c r="J37" s="47">
        <f>tbl_Data[[#This Row],[Capacity (m3)]]/1233.4818375475</f>
        <v>549301.39980590367</v>
      </c>
    </row>
    <row r="38" spans="2:10" x14ac:dyDescent="0.2">
      <c r="B38" s="107">
        <f t="shared" si="0"/>
        <v>34</v>
      </c>
      <c r="C38">
        <v>80</v>
      </c>
      <c r="D38">
        <v>110836</v>
      </c>
      <c r="E38">
        <v>99752400</v>
      </c>
      <c r="F38">
        <v>777305700</v>
      </c>
      <c r="G38" s="46">
        <f>tbl_Data[[#This Row],[Area (m2)]]/1000000</f>
        <v>99.752399999999994</v>
      </c>
      <c r="H38" s="23">
        <f>tbl_Data[[#This Row],[Capacity (m3)]]/1000000</f>
        <v>777.3057</v>
      </c>
      <c r="I38" s="24">
        <f>tbl_Data[[#This Row],[Area (m2)]]/4046.8564224</f>
        <v>24649.354854265264</v>
      </c>
      <c r="J38" s="47">
        <f>tbl_Data[[#This Row],[Capacity (m3)]]/1233.4818375475</f>
        <v>630171.9865981139</v>
      </c>
    </row>
    <row r="39" spans="2:10" x14ac:dyDescent="0.2">
      <c r="B39" s="107">
        <f t="shared" si="0"/>
        <v>35</v>
      </c>
      <c r="C39">
        <v>81</v>
      </c>
      <c r="D39">
        <v>122104</v>
      </c>
      <c r="E39">
        <v>109893600</v>
      </c>
      <c r="F39">
        <v>887199300</v>
      </c>
      <c r="G39" s="46">
        <f>tbl_Data[[#This Row],[Area (m2)]]/1000000</f>
        <v>109.89360000000001</v>
      </c>
      <c r="H39" s="23">
        <f>tbl_Data[[#This Row],[Capacity (m3)]]/1000000</f>
        <v>887.19929999999999</v>
      </c>
      <c r="I39" s="24">
        <f>tbl_Data[[#This Row],[Area (m2)]]/4046.8564224</f>
        <v>27155.299948800079</v>
      </c>
      <c r="J39" s="47">
        <f>tbl_Data[[#This Row],[Capacity (m3)]]/1233.4818375475</f>
        <v>719264.17803118646</v>
      </c>
    </row>
    <row r="40" spans="2:10" x14ac:dyDescent="0.2">
      <c r="B40" s="107">
        <f t="shared" si="0"/>
        <v>36</v>
      </c>
      <c r="C40">
        <v>82</v>
      </c>
      <c r="D40">
        <v>133494</v>
      </c>
      <c r="E40">
        <v>120144600</v>
      </c>
      <c r="F40">
        <v>1007343900</v>
      </c>
      <c r="G40" s="46">
        <f>tbl_Data[[#This Row],[Area (m2)]]/1000000</f>
        <v>120.1446</v>
      </c>
      <c r="H40" s="23">
        <f>tbl_Data[[#This Row],[Capacity (m3)]]/1000000</f>
        <v>1007.3439</v>
      </c>
      <c r="I40" s="24">
        <f>tbl_Data[[#This Row],[Area (m2)]]/4046.8564224</f>
        <v>29688.377214219992</v>
      </c>
      <c r="J40" s="47">
        <f>tbl_Data[[#This Row],[Capacity (m3)]]/1233.4818375475</f>
        <v>816666.99041379953</v>
      </c>
    </row>
    <row r="41" spans="2:10" x14ac:dyDescent="0.2">
      <c r="B41" s="107">
        <f t="shared" si="0"/>
        <v>37</v>
      </c>
      <c r="C41">
        <v>83</v>
      </c>
      <c r="D41">
        <v>144915</v>
      </c>
      <c r="E41">
        <v>130423500</v>
      </c>
      <c r="F41">
        <v>1137767400</v>
      </c>
      <c r="G41" s="46">
        <f>tbl_Data[[#This Row],[Area (m2)]]/1000000</f>
        <v>130.42349999999999</v>
      </c>
      <c r="H41" s="23">
        <f>tbl_Data[[#This Row],[Capacity (m3)]]/1000000</f>
        <v>1137.7674</v>
      </c>
      <c r="I41" s="24">
        <f>tbl_Data[[#This Row],[Area (m2)]]/4046.8564224</f>
        <v>32228.348719782836</v>
      </c>
      <c r="J41" s="47">
        <f>tbl_Data[[#This Row],[Capacity (m3)]]/1233.4818375475</f>
        <v>922403.04264405998</v>
      </c>
    </row>
    <row r="42" spans="2:10" x14ac:dyDescent="0.2">
      <c r="B42" s="107">
        <f t="shared" si="0"/>
        <v>38</v>
      </c>
      <c r="C42">
        <v>84</v>
      </c>
      <c r="D42">
        <v>155888</v>
      </c>
      <c r="E42">
        <v>140299200</v>
      </c>
      <c r="F42">
        <v>1278066600</v>
      </c>
      <c r="G42" s="46">
        <f>tbl_Data[[#This Row],[Area (m2)]]/1000000</f>
        <v>140.29920000000001</v>
      </c>
      <c r="H42" s="23">
        <f>tbl_Data[[#This Row],[Capacity (m3)]]/1000000</f>
        <v>1278.0666000000001</v>
      </c>
      <c r="I42" s="24">
        <f>tbl_Data[[#This Row],[Area (m2)]]/4046.8564224</f>
        <v>34668.687335538125</v>
      </c>
      <c r="J42" s="47">
        <f>tbl_Data[[#This Row],[Capacity (m3)]]/1233.4818375475</f>
        <v>1036145.4551622315</v>
      </c>
    </row>
    <row r="43" spans="2:10" x14ac:dyDescent="0.2">
      <c r="B43" s="107">
        <f t="shared" si="0"/>
        <v>39</v>
      </c>
      <c r="C43">
        <v>85</v>
      </c>
      <c r="D43">
        <v>166412</v>
      </c>
      <c r="E43">
        <v>149770800</v>
      </c>
      <c r="F43">
        <v>1427837400</v>
      </c>
      <c r="G43" s="46">
        <f>tbl_Data[[#This Row],[Area (m2)]]/1000000</f>
        <v>149.77080000000001</v>
      </c>
      <c r="H43" s="23">
        <f>tbl_Data[[#This Row],[Capacity (m3)]]/1000000</f>
        <v>1427.8373999999999</v>
      </c>
      <c r="I43" s="24">
        <f>tbl_Data[[#This Row],[Area (m2)]]/4046.8564224</f>
        <v>37009.170666642523</v>
      </c>
      <c r="J43" s="47">
        <f>tbl_Data[[#This Row],[Capacity (m3)]]/1233.4818375475</f>
        <v>1157566.6187667036</v>
      </c>
    </row>
    <row r="44" spans="2:10" x14ac:dyDescent="0.2">
      <c r="B44" s="107">
        <f t="shared" si="0"/>
        <v>40</v>
      </c>
      <c r="C44">
        <v>86</v>
      </c>
      <c r="D44">
        <v>176501</v>
      </c>
      <c r="E44">
        <v>158850900</v>
      </c>
      <c r="F44">
        <v>1586688300</v>
      </c>
      <c r="G44" s="46">
        <f>tbl_Data[[#This Row],[Area (m2)]]/1000000</f>
        <v>158.8509</v>
      </c>
      <c r="H44" s="23">
        <f>tbl_Data[[#This Row],[Capacity (m3)]]/1000000</f>
        <v>1586.6883</v>
      </c>
      <c r="I44" s="24">
        <f>tbl_Data[[#This Row],[Area (m2)]]/4046.8564224</f>
        <v>39252.912240902537</v>
      </c>
      <c r="J44" s="47">
        <f>tbl_Data[[#This Row],[Capacity (m3)]]/1233.4818375475</f>
        <v>1286349.1392421077</v>
      </c>
    </row>
    <row r="45" spans="2:10" x14ac:dyDescent="0.2">
      <c r="B45" s="107">
        <f t="shared" si="0"/>
        <v>41</v>
      </c>
      <c r="C45">
        <v>87</v>
      </c>
      <c r="D45">
        <v>186275</v>
      </c>
      <c r="E45">
        <v>167647500</v>
      </c>
      <c r="F45">
        <v>1754335800</v>
      </c>
      <c r="G45" s="46">
        <f>tbl_Data[[#This Row],[Area (m2)]]/1000000</f>
        <v>167.64750000000001</v>
      </c>
      <c r="H45" s="23">
        <f>tbl_Data[[#This Row],[Capacity (m3)]]/1000000</f>
        <v>1754.3358000000001</v>
      </c>
      <c r="I45" s="24">
        <f>tbl_Data[[#This Row],[Area (m2)]]/4046.8564224</f>
        <v>41426.599439516598</v>
      </c>
      <c r="J45" s="47">
        <f>tbl_Data[[#This Row],[Capacity (m3)]]/1233.4818375475</f>
        <v>1422263.1793980044</v>
      </c>
    </row>
    <row r="46" spans="2:10" x14ac:dyDescent="0.2">
      <c r="B46" s="107">
        <f t="shared" si="0"/>
        <v>42</v>
      </c>
      <c r="C46">
        <v>88</v>
      </c>
      <c r="D46">
        <v>195871</v>
      </c>
      <c r="E46">
        <v>176283900</v>
      </c>
      <c r="F46">
        <v>1930619700</v>
      </c>
      <c r="G46" s="46">
        <f>tbl_Data[[#This Row],[Area (m2)]]/1000000</f>
        <v>176.28389999999999</v>
      </c>
      <c r="H46" s="23">
        <f>tbl_Data[[#This Row],[Capacity (m3)]]/1000000</f>
        <v>1930.6197</v>
      </c>
      <c r="I46" s="24">
        <f>tbl_Data[[#This Row],[Area (m2)]]/4046.8564224</f>
        <v>43560.700356019624</v>
      </c>
      <c r="J46" s="47">
        <f>tbl_Data[[#This Row],[Capacity (m3)]]/1233.4818375475</f>
        <v>1565178.8629807483</v>
      </c>
    </row>
    <row r="47" spans="2:10" x14ac:dyDescent="0.2">
      <c r="B47" s="107">
        <f t="shared" si="0"/>
        <v>43</v>
      </c>
      <c r="C47">
        <v>89</v>
      </c>
      <c r="D47">
        <v>205186</v>
      </c>
      <c r="E47">
        <v>184667400</v>
      </c>
      <c r="F47">
        <v>2115287100</v>
      </c>
      <c r="G47" s="46">
        <f>tbl_Data[[#This Row],[Area (m2)]]/1000000</f>
        <v>184.66739999999999</v>
      </c>
      <c r="H47" s="23">
        <f>tbl_Data[[#This Row],[Capacity (m3)]]/1000000</f>
        <v>2115.2871</v>
      </c>
      <c r="I47" s="24">
        <f>tbl_Data[[#This Row],[Area (m2)]]/4046.8564224</f>
        <v>45632.308321549608</v>
      </c>
      <c r="J47" s="47">
        <f>tbl_Data[[#This Row],[Capacity (m3)]]/1233.4818375475</f>
        <v>1714891.16062363</v>
      </c>
    </row>
    <row r="48" spans="2:10" x14ac:dyDescent="0.2">
      <c r="B48" s="107">
        <f t="shared" si="0"/>
        <v>44</v>
      </c>
      <c r="C48">
        <v>90</v>
      </c>
      <c r="D48">
        <v>214518</v>
      </c>
      <c r="E48">
        <v>193066200</v>
      </c>
      <c r="F48">
        <v>2308353300</v>
      </c>
      <c r="G48" s="46">
        <f>tbl_Data[[#This Row],[Area (m2)]]/1000000</f>
        <v>193.06620000000001</v>
      </c>
      <c r="H48" s="23">
        <f>tbl_Data[[#This Row],[Capacity (m3)]]/1000000</f>
        <v>2308.3533000000002</v>
      </c>
      <c r="I48" s="24">
        <f>tbl_Data[[#This Row],[Area (m2)]]/4046.8564224</f>
        <v>47707.696999416039</v>
      </c>
      <c r="J48" s="47">
        <f>tbl_Data[[#This Row],[Capacity (m3)]]/1233.4818375475</f>
        <v>1871412.4762385145</v>
      </c>
    </row>
    <row r="49" spans="2:10" x14ac:dyDescent="0.2">
      <c r="B49" s="107">
        <f t="shared" si="0"/>
        <v>45</v>
      </c>
      <c r="C49">
        <v>91</v>
      </c>
      <c r="D49">
        <v>223869</v>
      </c>
      <c r="E49">
        <v>201482100</v>
      </c>
      <c r="F49">
        <v>2509835400</v>
      </c>
      <c r="G49" s="46">
        <f>tbl_Data[[#This Row],[Area (m2)]]/1000000</f>
        <v>201.4821</v>
      </c>
      <c r="H49" s="23">
        <f>tbl_Data[[#This Row],[Capacity (m3)]]/1000000</f>
        <v>2509.8353999999999</v>
      </c>
      <c r="I49" s="24">
        <f>tbl_Data[[#This Row],[Area (m2)]]/4046.8564224</f>
        <v>49787.31117930555</v>
      </c>
      <c r="J49" s="47">
        <f>tbl_Data[[#This Row],[Capacity (m3)]]/1233.4818375475</f>
        <v>2034756.6730210157</v>
      </c>
    </row>
    <row r="50" spans="2:10" x14ac:dyDescent="0.2">
      <c r="B50" s="107">
        <f t="shared" si="0"/>
        <v>46</v>
      </c>
      <c r="C50">
        <v>92</v>
      </c>
      <c r="D50">
        <v>233419</v>
      </c>
      <c r="E50">
        <v>210077100</v>
      </c>
      <c r="F50">
        <v>2719912500</v>
      </c>
      <c r="G50" s="46">
        <f>tbl_Data[[#This Row],[Area (m2)]]/1000000</f>
        <v>210.0771</v>
      </c>
      <c r="H50" s="23">
        <f>tbl_Data[[#This Row],[Capacity (m3)]]/1000000</f>
        <v>2719.9124999999999</v>
      </c>
      <c r="I50" s="24">
        <f>tbl_Data[[#This Row],[Area (m2)]]/4046.8564224</f>
        <v>51911.18193301584</v>
      </c>
      <c r="J50" s="47">
        <f>tbl_Data[[#This Row],[Capacity (m3)]]/1233.4818375475</f>
        <v>2205068.9497041414</v>
      </c>
    </row>
    <row r="51" spans="2:10" x14ac:dyDescent="0.2">
      <c r="B51" s="107">
        <f t="shared" si="0"/>
        <v>47</v>
      </c>
      <c r="C51">
        <v>93</v>
      </c>
      <c r="D51">
        <v>242649</v>
      </c>
      <c r="E51">
        <v>218384100</v>
      </c>
      <c r="F51">
        <v>2938296600</v>
      </c>
      <c r="G51" s="46">
        <f>tbl_Data[[#This Row],[Area (m2)]]/1000000</f>
        <v>218.38409999999999</v>
      </c>
      <c r="H51" s="23">
        <f>tbl_Data[[#This Row],[Capacity (m3)]]/1000000</f>
        <v>2938.2966000000001</v>
      </c>
      <c r="I51" s="24">
        <f>tbl_Data[[#This Row],[Area (m2)]]/4046.8564224</f>
        <v>53963.886336863579</v>
      </c>
      <c r="J51" s="47">
        <f>tbl_Data[[#This Row],[Capacity (m3)]]/1233.4818375475</f>
        <v>2382115.8208880797</v>
      </c>
    </row>
    <row r="52" spans="2:10" x14ac:dyDescent="0.2">
      <c r="B52" s="107">
        <f t="shared" si="0"/>
        <v>48</v>
      </c>
      <c r="C52">
        <v>94</v>
      </c>
      <c r="D52">
        <v>251736</v>
      </c>
      <c r="E52">
        <v>226562400</v>
      </c>
      <c r="F52">
        <v>3164859000</v>
      </c>
      <c r="G52" s="46">
        <f>tbl_Data[[#This Row],[Area (m2)]]/1000000</f>
        <v>226.5624</v>
      </c>
      <c r="H52" s="23">
        <f>tbl_Data[[#This Row],[Capacity (m3)]]/1000000</f>
        <v>3164.8589999999999</v>
      </c>
      <c r="I52" s="24">
        <f>tbl_Data[[#This Row],[Area (m2)]]/4046.8564224</f>
        <v>55984.788278116495</v>
      </c>
      <c r="J52" s="47">
        <f>tbl_Data[[#This Row],[Capacity (m3)]]/1233.4818375475</f>
        <v>2565792.9477847908</v>
      </c>
    </row>
    <row r="53" spans="2:10" x14ac:dyDescent="0.2">
      <c r="B53" s="107">
        <f t="shared" si="0"/>
        <v>49</v>
      </c>
      <c r="C53">
        <v>95</v>
      </c>
      <c r="D53">
        <v>260337</v>
      </c>
      <c r="E53">
        <v>234303300</v>
      </c>
      <c r="F53">
        <v>3399162300</v>
      </c>
      <c r="G53" s="46">
        <f>tbl_Data[[#This Row],[Area (m2)]]/1000000</f>
        <v>234.30330000000001</v>
      </c>
      <c r="H53" s="23">
        <f>tbl_Data[[#This Row],[Capacity (m3)]]/1000000</f>
        <v>3399.1623</v>
      </c>
      <c r="I53" s="24">
        <f>tbl_Data[[#This Row],[Area (m2)]]/4046.8564224</f>
        <v>57897.606325515677</v>
      </c>
      <c r="J53" s="47">
        <f>tbl_Data[[#This Row],[Capacity (m3)]]/1233.4818375475</f>
        <v>2755745.7244433095</v>
      </c>
    </row>
  </sheetData>
  <phoneticPr fontId="1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54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9CC7-131A-A84C-83F1-29D3B1B7DB7A}">
  <dimension ref="B1:J876"/>
  <sheetViews>
    <sheetView topLeftCell="A5" zoomScaleNormal="100" workbookViewId="0">
      <selection activeCell="E5" sqref="E5:G876"/>
    </sheetView>
  </sheetViews>
  <sheetFormatPr baseColWidth="10" defaultColWidth="10.83203125" defaultRowHeight="16" x14ac:dyDescent="0.2"/>
  <cols>
    <col min="1" max="1" width="5.6640625" style="16" customWidth="1"/>
    <col min="2" max="2" width="22.33203125" style="16" customWidth="1"/>
    <col min="3" max="3" width="47.6640625" style="16" customWidth="1"/>
    <col min="4" max="4" width="1.6640625" style="16" customWidth="1"/>
    <col min="5" max="5" width="11" style="16" customWidth="1"/>
    <col min="6" max="6" width="15.1640625" style="16" customWidth="1"/>
    <col min="7" max="7" width="23.33203125" style="16" customWidth="1"/>
    <col min="8" max="8" width="4.5" style="16" customWidth="1"/>
    <col min="9" max="9" width="20" style="16" customWidth="1"/>
    <col min="10" max="10" width="30.33203125" style="16" customWidth="1"/>
    <col min="11" max="16384" width="10.83203125" style="16"/>
  </cols>
  <sheetData>
    <row r="1" spans="2:10" ht="17" thickBot="1" x14ac:dyDescent="0.25"/>
    <row r="2" spans="2:10" ht="17" thickTop="1" x14ac:dyDescent="0.2">
      <c r="B2" s="29" t="s">
        <v>51</v>
      </c>
      <c r="C2" s="30"/>
      <c r="D2" s="76" t="s">
        <v>40</v>
      </c>
      <c r="E2" s="77"/>
      <c r="F2" s="77"/>
      <c r="G2" s="78"/>
    </row>
    <row r="3" spans="2:10" x14ac:dyDescent="0.2">
      <c r="B3" s="73" t="s">
        <v>41</v>
      </c>
      <c r="C3" s="74"/>
      <c r="D3" s="79" t="s">
        <v>23</v>
      </c>
      <c r="E3" s="75"/>
      <c r="F3" s="75"/>
      <c r="G3" s="80"/>
      <c r="I3" s="86" t="s">
        <v>69</v>
      </c>
      <c r="J3" s="86" t="s">
        <v>70</v>
      </c>
    </row>
    <row r="4" spans="2:10" ht="17" x14ac:dyDescent="0.2">
      <c r="B4" s="72" t="s">
        <v>37</v>
      </c>
      <c r="C4" s="89" t="s">
        <v>36</v>
      </c>
      <c r="D4" s="84" t="s">
        <v>65</v>
      </c>
      <c r="E4" s="93" t="s">
        <v>27</v>
      </c>
      <c r="F4" s="81" t="s">
        <v>25</v>
      </c>
      <c r="G4" s="82" t="s">
        <v>64</v>
      </c>
      <c r="I4" s="86" t="s">
        <v>38</v>
      </c>
      <c r="J4" s="85" t="s">
        <v>66</v>
      </c>
    </row>
    <row r="5" spans="2:10" x14ac:dyDescent="0.2">
      <c r="B5" t="s">
        <v>35</v>
      </c>
      <c r="C5">
        <v>15.42</v>
      </c>
      <c r="D5" s="83"/>
      <c r="E5" s="90">
        <f t="shared" ref="E5" si="0">ROW()-4</f>
        <v>1</v>
      </c>
      <c r="F5" s="91">
        <f>LEFT(tbl_Reservoir[[#This Row],[time]],10)*1</f>
        <v>38966</v>
      </c>
      <c r="G5" s="92">
        <f>tbl_Reservoir[[#This Row],[Surface Water Area (km2)]]</f>
        <v>15.42</v>
      </c>
      <c r="I5" s="86" t="s">
        <v>25</v>
      </c>
      <c r="J5" s="85" t="s">
        <v>67</v>
      </c>
    </row>
    <row r="6" spans="2:10" x14ac:dyDescent="0.2">
      <c r="B6" t="s">
        <v>74</v>
      </c>
      <c r="C6">
        <v>14.6</v>
      </c>
      <c r="D6" s="83"/>
      <c r="E6" s="90">
        <f t="shared" ref="E6:E69" si="1">ROW()-4</f>
        <v>2</v>
      </c>
      <c r="F6" s="91">
        <f>LEFT(tbl_Reservoir[[#This Row],[time]],10)*1</f>
        <v>38982</v>
      </c>
      <c r="G6" s="92">
        <f>tbl_Reservoir[[#This Row],[Surface Water Area (km2)]]</f>
        <v>14.6</v>
      </c>
      <c r="I6" s="86" t="s">
        <v>64</v>
      </c>
      <c r="J6" s="85" t="s">
        <v>68</v>
      </c>
    </row>
    <row r="7" spans="2:10" x14ac:dyDescent="0.2">
      <c r="B7" t="s">
        <v>134</v>
      </c>
      <c r="C7">
        <v>15.72</v>
      </c>
      <c r="D7" s="83"/>
      <c r="E7" s="90">
        <f t="shared" si="1"/>
        <v>3</v>
      </c>
      <c r="F7" s="91">
        <f>LEFT(tbl_Reservoir[[#This Row],[time]],10)*1</f>
        <v>39014</v>
      </c>
      <c r="G7" s="92">
        <f>tbl_Reservoir[[#This Row],[Surface Water Area (km2)]]</f>
        <v>15.72</v>
      </c>
    </row>
    <row r="8" spans="2:10" x14ac:dyDescent="0.2">
      <c r="B8" t="s">
        <v>135</v>
      </c>
      <c r="C8">
        <v>32.56</v>
      </c>
      <c r="D8" s="83"/>
      <c r="E8" s="90">
        <f t="shared" si="1"/>
        <v>4</v>
      </c>
      <c r="F8" s="91">
        <f>LEFT(tbl_Reservoir[[#This Row],[time]],10)*1</f>
        <v>39174</v>
      </c>
      <c r="G8" s="92">
        <f>tbl_Reservoir[[#This Row],[Surface Water Area (km2)]]</f>
        <v>32.56</v>
      </c>
    </row>
    <row r="9" spans="2:10" x14ac:dyDescent="0.2">
      <c r="B9" t="s">
        <v>136</v>
      </c>
      <c r="C9">
        <v>31.8</v>
      </c>
      <c r="D9" s="83"/>
      <c r="E9" s="90">
        <f t="shared" si="1"/>
        <v>5</v>
      </c>
      <c r="F9" s="91">
        <f>LEFT(tbl_Reservoir[[#This Row],[time]],10)*1</f>
        <v>39190</v>
      </c>
      <c r="G9" s="92">
        <f>tbl_Reservoir[[#This Row],[Surface Water Area (km2)]]</f>
        <v>31.8</v>
      </c>
    </row>
    <row r="10" spans="2:10" x14ac:dyDescent="0.2">
      <c r="B10" t="s">
        <v>137</v>
      </c>
      <c r="C10">
        <v>31.49</v>
      </c>
      <c r="D10" s="83"/>
      <c r="E10" s="90">
        <f t="shared" si="1"/>
        <v>6</v>
      </c>
      <c r="F10" s="91">
        <f>LEFT(tbl_Reservoir[[#This Row],[time]],10)*1</f>
        <v>39206</v>
      </c>
      <c r="G10" s="92">
        <f>tbl_Reservoir[[#This Row],[Surface Water Area (km2)]]</f>
        <v>31.49</v>
      </c>
    </row>
    <row r="11" spans="2:10" x14ac:dyDescent="0.2">
      <c r="B11" t="s">
        <v>138</v>
      </c>
      <c r="C11">
        <v>61</v>
      </c>
      <c r="D11" s="83"/>
      <c r="E11" s="90">
        <f t="shared" si="1"/>
        <v>7</v>
      </c>
      <c r="F11" s="91">
        <f>LEFT(tbl_Reservoir[[#This Row],[time]],10)*1</f>
        <v>39286</v>
      </c>
      <c r="G11" s="92">
        <f>tbl_Reservoir[[#This Row],[Surface Water Area (km2)]]</f>
        <v>61</v>
      </c>
    </row>
    <row r="12" spans="2:10" x14ac:dyDescent="0.2">
      <c r="B12" t="s">
        <v>139</v>
      </c>
      <c r="C12">
        <v>59.72</v>
      </c>
      <c r="D12" s="83"/>
      <c r="E12" s="90">
        <f t="shared" si="1"/>
        <v>8</v>
      </c>
      <c r="F12" s="91">
        <f>LEFT(tbl_Reservoir[[#This Row],[time]],10)*1</f>
        <v>39302</v>
      </c>
      <c r="G12" s="92">
        <f>tbl_Reservoir[[#This Row],[Surface Water Area (km2)]]</f>
        <v>59.72</v>
      </c>
    </row>
    <row r="13" spans="2:10" x14ac:dyDescent="0.2">
      <c r="B13" t="s">
        <v>140</v>
      </c>
      <c r="C13">
        <v>58.55</v>
      </c>
      <c r="D13" s="83"/>
      <c r="E13" s="90">
        <f t="shared" si="1"/>
        <v>9</v>
      </c>
      <c r="F13" s="91">
        <f>LEFT(tbl_Reservoir[[#This Row],[time]],10)*1</f>
        <v>39334</v>
      </c>
      <c r="G13" s="92">
        <f>tbl_Reservoir[[#This Row],[Surface Water Area (km2)]]</f>
        <v>58.55</v>
      </c>
    </row>
    <row r="14" spans="2:10" x14ac:dyDescent="0.2">
      <c r="B14" t="s">
        <v>141</v>
      </c>
      <c r="C14">
        <v>57.62</v>
      </c>
      <c r="D14" s="83"/>
      <c r="E14" s="90">
        <f t="shared" si="1"/>
        <v>10</v>
      </c>
      <c r="F14" s="91">
        <f>LEFT(tbl_Reservoir[[#This Row],[time]],10)*1</f>
        <v>39350</v>
      </c>
      <c r="G14" s="92">
        <f>tbl_Reservoir[[#This Row],[Surface Water Area (km2)]]</f>
        <v>57.62</v>
      </c>
    </row>
    <row r="15" spans="2:10" x14ac:dyDescent="0.2">
      <c r="B15" t="s">
        <v>142</v>
      </c>
      <c r="C15">
        <v>56.13</v>
      </c>
      <c r="D15" s="83"/>
      <c r="E15" s="90">
        <f t="shared" si="1"/>
        <v>11</v>
      </c>
      <c r="F15" s="91">
        <f>LEFT(tbl_Reservoir[[#This Row],[time]],10)*1</f>
        <v>39366</v>
      </c>
      <c r="G15" s="92">
        <f>tbl_Reservoir[[#This Row],[Surface Water Area (km2)]]</f>
        <v>56.13</v>
      </c>
    </row>
    <row r="16" spans="2:10" x14ac:dyDescent="0.2">
      <c r="B16" t="s">
        <v>143</v>
      </c>
      <c r="C16">
        <v>60.93</v>
      </c>
      <c r="D16" s="83"/>
      <c r="E16" s="90">
        <f t="shared" si="1"/>
        <v>12</v>
      </c>
      <c r="F16" s="91">
        <f>LEFT(tbl_Reservoir[[#This Row],[time]],10)*1</f>
        <v>39478</v>
      </c>
      <c r="G16" s="92">
        <f>tbl_Reservoir[[#This Row],[Surface Water Area (km2)]]</f>
        <v>60.93</v>
      </c>
    </row>
    <row r="17" spans="2:7" x14ac:dyDescent="0.2">
      <c r="B17" t="s">
        <v>144</v>
      </c>
      <c r="C17">
        <v>59.01</v>
      </c>
      <c r="D17" s="83"/>
      <c r="E17" s="90">
        <f t="shared" si="1"/>
        <v>13</v>
      </c>
      <c r="F17" s="91">
        <f>LEFT(tbl_Reservoir[[#This Row],[time]],10)*1</f>
        <v>39510</v>
      </c>
      <c r="G17" s="92">
        <f>tbl_Reservoir[[#This Row],[Surface Water Area (km2)]]</f>
        <v>59.01</v>
      </c>
    </row>
    <row r="18" spans="2:7" x14ac:dyDescent="0.2">
      <c r="B18" t="s">
        <v>145</v>
      </c>
      <c r="C18">
        <v>58.94</v>
      </c>
      <c r="D18" s="83"/>
      <c r="E18" s="90">
        <f t="shared" si="1"/>
        <v>14</v>
      </c>
      <c r="F18" s="91">
        <f>LEFT(tbl_Reservoir[[#This Row],[time]],10)*1</f>
        <v>39526</v>
      </c>
      <c r="G18" s="92">
        <f>tbl_Reservoir[[#This Row],[Surface Water Area (km2)]]</f>
        <v>58.94</v>
      </c>
    </row>
    <row r="19" spans="2:7" x14ac:dyDescent="0.2">
      <c r="B19" t="s">
        <v>146</v>
      </c>
      <c r="C19">
        <v>58.78</v>
      </c>
      <c r="D19" s="83"/>
      <c r="E19" s="90">
        <f t="shared" si="1"/>
        <v>15</v>
      </c>
      <c r="F19" s="91">
        <f>LEFT(tbl_Reservoir[[#This Row],[time]],10)*1</f>
        <v>39542</v>
      </c>
      <c r="G19" s="92">
        <f>tbl_Reservoir[[#This Row],[Surface Water Area (km2)]]</f>
        <v>58.78</v>
      </c>
    </row>
    <row r="20" spans="2:7" x14ac:dyDescent="0.2">
      <c r="B20" t="s">
        <v>147</v>
      </c>
      <c r="C20">
        <v>57.1</v>
      </c>
      <c r="D20" s="83"/>
      <c r="E20" s="90">
        <f t="shared" si="1"/>
        <v>16</v>
      </c>
      <c r="F20" s="91">
        <f>LEFT(tbl_Reservoir[[#This Row],[time]],10)*1</f>
        <v>39558</v>
      </c>
      <c r="G20" s="92">
        <f>tbl_Reservoir[[#This Row],[Surface Water Area (km2)]]</f>
        <v>57.1</v>
      </c>
    </row>
    <row r="21" spans="2:7" x14ac:dyDescent="0.2">
      <c r="B21" t="s">
        <v>148</v>
      </c>
      <c r="C21">
        <v>53.81</v>
      </c>
      <c r="D21" s="83"/>
      <c r="E21" s="90">
        <f t="shared" si="1"/>
        <v>17</v>
      </c>
      <c r="F21" s="91">
        <f>LEFT(tbl_Reservoir[[#This Row],[time]],10)*1</f>
        <v>39590</v>
      </c>
      <c r="G21" s="92">
        <f>tbl_Reservoir[[#This Row],[Surface Water Area (km2)]]</f>
        <v>53.81</v>
      </c>
    </row>
    <row r="22" spans="2:7" x14ac:dyDescent="0.2">
      <c r="B22" t="s">
        <v>149</v>
      </c>
      <c r="C22">
        <v>52.9</v>
      </c>
      <c r="D22" s="83"/>
      <c r="E22" s="90">
        <f t="shared" si="1"/>
        <v>18</v>
      </c>
      <c r="F22" s="91">
        <f>LEFT(tbl_Reservoir[[#This Row],[time]],10)*1</f>
        <v>39606</v>
      </c>
      <c r="G22" s="92">
        <f>tbl_Reservoir[[#This Row],[Surface Water Area (km2)]]</f>
        <v>52.9</v>
      </c>
    </row>
    <row r="23" spans="2:7" x14ac:dyDescent="0.2">
      <c r="B23" t="s">
        <v>150</v>
      </c>
      <c r="C23">
        <v>49.63</v>
      </c>
      <c r="D23" s="83"/>
      <c r="E23" s="90">
        <f t="shared" si="1"/>
        <v>19</v>
      </c>
      <c r="F23" s="91">
        <f>LEFT(tbl_Reservoir[[#This Row],[time]],10)*1</f>
        <v>39654</v>
      </c>
      <c r="G23" s="92">
        <f>tbl_Reservoir[[#This Row],[Surface Water Area (km2)]]</f>
        <v>49.63</v>
      </c>
    </row>
    <row r="24" spans="2:7" x14ac:dyDescent="0.2">
      <c r="B24" t="s">
        <v>151</v>
      </c>
      <c r="C24">
        <v>58.01</v>
      </c>
      <c r="D24" s="83"/>
      <c r="E24" s="90">
        <f t="shared" si="1"/>
        <v>20</v>
      </c>
      <c r="F24" s="91">
        <f>LEFT(tbl_Reservoir[[#This Row],[time]],10)*1</f>
        <v>39670</v>
      </c>
      <c r="G24" s="92">
        <f>tbl_Reservoir[[#This Row],[Surface Water Area (km2)]]</f>
        <v>58.01</v>
      </c>
    </row>
    <row r="25" spans="2:7" x14ac:dyDescent="0.2">
      <c r="B25" t="s">
        <v>152</v>
      </c>
      <c r="C25">
        <v>55.32</v>
      </c>
      <c r="D25" s="83"/>
      <c r="E25" s="90">
        <f t="shared" si="1"/>
        <v>21</v>
      </c>
      <c r="F25" s="91">
        <f>LEFT(tbl_Reservoir[[#This Row],[time]],10)*1</f>
        <v>39686</v>
      </c>
      <c r="G25" s="92">
        <f>tbl_Reservoir[[#This Row],[Surface Water Area (km2)]]</f>
        <v>55.32</v>
      </c>
    </row>
    <row r="26" spans="2:7" x14ac:dyDescent="0.2">
      <c r="B26" t="s">
        <v>153</v>
      </c>
      <c r="C26">
        <v>54.47</v>
      </c>
      <c r="D26" s="83"/>
      <c r="E26" s="90">
        <f t="shared" si="1"/>
        <v>22</v>
      </c>
      <c r="F26" s="91">
        <f>LEFT(tbl_Reservoir[[#This Row],[time]],10)*1</f>
        <v>39702</v>
      </c>
      <c r="G26" s="92">
        <f>tbl_Reservoir[[#This Row],[Surface Water Area (km2)]]</f>
        <v>54.47</v>
      </c>
    </row>
    <row r="27" spans="2:7" x14ac:dyDescent="0.2">
      <c r="B27" t="s">
        <v>154</v>
      </c>
      <c r="C27">
        <v>49.75</v>
      </c>
      <c r="D27" s="83"/>
      <c r="E27" s="90">
        <f t="shared" si="1"/>
        <v>23</v>
      </c>
      <c r="F27" s="91">
        <f>LEFT(tbl_Reservoir[[#This Row],[time]],10)*1</f>
        <v>39718</v>
      </c>
      <c r="G27" s="92">
        <f>tbl_Reservoir[[#This Row],[Surface Water Area (km2)]]</f>
        <v>49.75</v>
      </c>
    </row>
    <row r="28" spans="2:7" x14ac:dyDescent="0.2">
      <c r="B28" t="s">
        <v>155</v>
      </c>
      <c r="C28">
        <v>51.23</v>
      </c>
      <c r="D28" s="83"/>
      <c r="E28" s="90">
        <f t="shared" si="1"/>
        <v>24</v>
      </c>
      <c r="F28" s="91">
        <f>LEFT(tbl_Reservoir[[#This Row],[time]],10)*1</f>
        <v>39734</v>
      </c>
      <c r="G28" s="92">
        <f>tbl_Reservoir[[#This Row],[Surface Water Area (km2)]]</f>
        <v>51.23</v>
      </c>
    </row>
    <row r="29" spans="2:7" x14ac:dyDescent="0.2">
      <c r="B29" t="s">
        <v>156</v>
      </c>
      <c r="C29">
        <v>49.75</v>
      </c>
      <c r="D29" s="83"/>
      <c r="E29" s="90">
        <f t="shared" si="1"/>
        <v>25</v>
      </c>
      <c r="F29" s="91">
        <f>LEFT(tbl_Reservoir[[#This Row],[time]],10)*1</f>
        <v>39750</v>
      </c>
      <c r="G29" s="92">
        <f>tbl_Reservoir[[#This Row],[Surface Water Area (km2)]]</f>
        <v>49.75</v>
      </c>
    </row>
    <row r="30" spans="2:7" x14ac:dyDescent="0.2">
      <c r="B30" t="s">
        <v>157</v>
      </c>
      <c r="C30">
        <v>47.87</v>
      </c>
      <c r="D30" s="83"/>
      <c r="E30" s="90">
        <f t="shared" si="1"/>
        <v>26</v>
      </c>
      <c r="F30" s="91">
        <f>LEFT(tbl_Reservoir[[#This Row],[time]],10)*1</f>
        <v>39766</v>
      </c>
      <c r="G30" s="92">
        <f>tbl_Reservoir[[#This Row],[Surface Water Area (km2)]]</f>
        <v>47.87</v>
      </c>
    </row>
    <row r="31" spans="2:7" x14ac:dyDescent="0.2">
      <c r="B31" t="s">
        <v>158</v>
      </c>
      <c r="C31">
        <v>46.89</v>
      </c>
      <c r="D31" s="83"/>
      <c r="E31" s="90">
        <f t="shared" si="1"/>
        <v>27</v>
      </c>
      <c r="F31" s="91">
        <f>LEFT(tbl_Reservoir[[#This Row],[time]],10)*1</f>
        <v>39782</v>
      </c>
      <c r="G31" s="92">
        <f>tbl_Reservoir[[#This Row],[Surface Water Area (km2)]]</f>
        <v>46.89</v>
      </c>
    </row>
    <row r="32" spans="2:7" x14ac:dyDescent="0.2">
      <c r="B32" t="s">
        <v>159</v>
      </c>
      <c r="C32">
        <v>54.84</v>
      </c>
      <c r="D32" s="83"/>
      <c r="E32" s="90">
        <f t="shared" si="1"/>
        <v>28</v>
      </c>
      <c r="F32" s="91">
        <f>LEFT(tbl_Reservoir[[#This Row],[time]],10)*1</f>
        <v>39878</v>
      </c>
      <c r="G32" s="92">
        <f>tbl_Reservoir[[#This Row],[Surface Water Area (km2)]]</f>
        <v>54.84</v>
      </c>
    </row>
    <row r="33" spans="2:7" x14ac:dyDescent="0.2">
      <c r="B33" t="s">
        <v>160</v>
      </c>
      <c r="C33">
        <v>56.55</v>
      </c>
      <c r="D33" s="83"/>
      <c r="E33" s="90">
        <f t="shared" si="1"/>
        <v>29</v>
      </c>
      <c r="F33" s="91">
        <f>LEFT(tbl_Reservoir[[#This Row],[time]],10)*1</f>
        <v>39926</v>
      </c>
      <c r="G33" s="92">
        <f>tbl_Reservoir[[#This Row],[Surface Water Area (km2)]]</f>
        <v>56.55</v>
      </c>
    </row>
    <row r="34" spans="2:7" x14ac:dyDescent="0.2">
      <c r="B34" t="s">
        <v>161</v>
      </c>
      <c r="C34">
        <v>56.51</v>
      </c>
      <c r="D34" s="83"/>
      <c r="E34" s="90">
        <f t="shared" si="1"/>
        <v>30</v>
      </c>
      <c r="F34" s="91">
        <f>LEFT(tbl_Reservoir[[#This Row],[time]],10)*1</f>
        <v>39942</v>
      </c>
      <c r="G34" s="92">
        <f>tbl_Reservoir[[#This Row],[Surface Water Area (km2)]]</f>
        <v>56.51</v>
      </c>
    </row>
    <row r="35" spans="2:7" x14ac:dyDescent="0.2">
      <c r="B35" t="s">
        <v>162</v>
      </c>
      <c r="C35">
        <v>54.1</v>
      </c>
      <c r="D35" s="83"/>
      <c r="E35" s="90">
        <f t="shared" si="1"/>
        <v>31</v>
      </c>
      <c r="F35" s="91">
        <f>LEFT(tbl_Reservoir[[#This Row],[time]],10)*1</f>
        <v>39958</v>
      </c>
      <c r="G35" s="92">
        <f>tbl_Reservoir[[#This Row],[Surface Water Area (km2)]]</f>
        <v>54.1</v>
      </c>
    </row>
    <row r="36" spans="2:7" x14ac:dyDescent="0.2">
      <c r="B36" t="s">
        <v>163</v>
      </c>
      <c r="C36">
        <v>52.22</v>
      </c>
      <c r="D36" s="83"/>
      <c r="E36" s="90">
        <f t="shared" si="1"/>
        <v>32</v>
      </c>
      <c r="F36" s="91">
        <f>LEFT(tbl_Reservoir[[#This Row],[time]],10)*1</f>
        <v>39974</v>
      </c>
      <c r="G36" s="92">
        <f>tbl_Reservoir[[#This Row],[Surface Water Area (km2)]]</f>
        <v>52.22</v>
      </c>
    </row>
    <row r="37" spans="2:7" x14ac:dyDescent="0.2">
      <c r="B37" t="s">
        <v>164</v>
      </c>
      <c r="C37">
        <v>49.16</v>
      </c>
      <c r="D37" s="83"/>
      <c r="E37" s="90">
        <f t="shared" si="1"/>
        <v>33</v>
      </c>
      <c r="F37" s="91">
        <f>LEFT(tbl_Reservoir[[#This Row],[time]],10)*1</f>
        <v>39990</v>
      </c>
      <c r="G37" s="92">
        <f>tbl_Reservoir[[#This Row],[Surface Water Area (km2)]]</f>
        <v>49.16</v>
      </c>
    </row>
    <row r="38" spans="2:7" x14ac:dyDescent="0.2">
      <c r="B38" t="s">
        <v>165</v>
      </c>
      <c r="C38">
        <v>36.68</v>
      </c>
      <c r="D38" s="83"/>
      <c r="E38" s="90">
        <f t="shared" si="1"/>
        <v>34</v>
      </c>
      <c r="F38" s="91">
        <f>LEFT(tbl_Reservoir[[#This Row],[time]],10)*1</f>
        <v>40070</v>
      </c>
      <c r="G38" s="92">
        <f>tbl_Reservoir[[#This Row],[Surface Water Area (km2)]]</f>
        <v>36.68</v>
      </c>
    </row>
    <row r="39" spans="2:7" x14ac:dyDescent="0.2">
      <c r="B39" t="s">
        <v>166</v>
      </c>
      <c r="C39">
        <v>36.64</v>
      </c>
      <c r="D39" s="83"/>
      <c r="E39" s="90">
        <f t="shared" si="1"/>
        <v>35</v>
      </c>
      <c r="F39" s="91">
        <f>LEFT(tbl_Reservoir[[#This Row],[time]],10)*1</f>
        <v>40086</v>
      </c>
      <c r="G39" s="92">
        <f>tbl_Reservoir[[#This Row],[Surface Water Area (km2)]]</f>
        <v>36.64</v>
      </c>
    </row>
    <row r="40" spans="2:7" x14ac:dyDescent="0.2">
      <c r="B40" t="s">
        <v>167</v>
      </c>
      <c r="C40">
        <v>36.67</v>
      </c>
      <c r="D40" s="83"/>
      <c r="E40" s="90">
        <f t="shared" si="1"/>
        <v>36</v>
      </c>
      <c r="F40" s="91">
        <f>LEFT(tbl_Reservoir[[#This Row],[time]],10)*1</f>
        <v>40102</v>
      </c>
      <c r="G40" s="92">
        <f>tbl_Reservoir[[#This Row],[Surface Water Area (km2)]]</f>
        <v>36.67</v>
      </c>
    </row>
    <row r="41" spans="2:7" x14ac:dyDescent="0.2">
      <c r="B41" t="s">
        <v>168</v>
      </c>
      <c r="C41">
        <v>35.46</v>
      </c>
      <c r="D41" s="83"/>
      <c r="E41" s="90">
        <f t="shared" si="1"/>
        <v>37</v>
      </c>
      <c r="F41" s="91">
        <f>LEFT(tbl_Reservoir[[#This Row],[time]],10)*1</f>
        <v>40118</v>
      </c>
      <c r="G41" s="92">
        <f>tbl_Reservoir[[#This Row],[Surface Water Area (km2)]]</f>
        <v>35.46</v>
      </c>
    </row>
    <row r="42" spans="2:7" x14ac:dyDescent="0.2">
      <c r="B42" t="s">
        <v>169</v>
      </c>
      <c r="C42">
        <v>33.94</v>
      </c>
      <c r="D42" s="83"/>
      <c r="E42" s="90">
        <f t="shared" si="1"/>
        <v>38</v>
      </c>
      <c r="F42" s="91">
        <f>LEFT(tbl_Reservoir[[#This Row],[time]],10)*1</f>
        <v>40134</v>
      </c>
      <c r="G42" s="92">
        <f>tbl_Reservoir[[#This Row],[Surface Water Area (km2)]]</f>
        <v>33.94</v>
      </c>
    </row>
    <row r="43" spans="2:7" x14ac:dyDescent="0.2">
      <c r="B43" t="s">
        <v>170</v>
      </c>
      <c r="C43">
        <v>58.75</v>
      </c>
      <c r="D43" s="83"/>
      <c r="E43" s="90">
        <f t="shared" si="1"/>
        <v>39</v>
      </c>
      <c r="F43" s="91">
        <f>LEFT(tbl_Reservoir[[#This Row],[time]],10)*1</f>
        <v>40246</v>
      </c>
      <c r="G43" s="92">
        <f>tbl_Reservoir[[#This Row],[Surface Water Area (km2)]]</f>
        <v>58.75</v>
      </c>
    </row>
    <row r="44" spans="2:7" x14ac:dyDescent="0.2">
      <c r="B44" t="s">
        <v>171</v>
      </c>
      <c r="C44">
        <v>57.31</v>
      </c>
      <c r="D44" s="83"/>
      <c r="E44" s="90">
        <f t="shared" si="1"/>
        <v>40</v>
      </c>
      <c r="F44" s="91">
        <f>LEFT(tbl_Reservoir[[#This Row],[time]],10)*1</f>
        <v>40262</v>
      </c>
      <c r="G44" s="92">
        <f>tbl_Reservoir[[#This Row],[Surface Water Area (km2)]]</f>
        <v>57.31</v>
      </c>
    </row>
    <row r="45" spans="2:7" x14ac:dyDescent="0.2">
      <c r="B45" t="s">
        <v>172</v>
      </c>
      <c r="C45">
        <v>54.29</v>
      </c>
      <c r="D45" s="83"/>
      <c r="E45" s="90">
        <f t="shared" si="1"/>
        <v>41</v>
      </c>
      <c r="F45" s="91">
        <f>LEFT(tbl_Reservoir[[#This Row],[time]],10)*1</f>
        <v>40310</v>
      </c>
      <c r="G45" s="92">
        <f>tbl_Reservoir[[#This Row],[Surface Water Area (km2)]]</f>
        <v>54.29</v>
      </c>
    </row>
    <row r="46" spans="2:7" x14ac:dyDescent="0.2">
      <c r="B46" t="s">
        <v>173</v>
      </c>
      <c r="C46">
        <v>52.69</v>
      </c>
      <c r="D46" s="83"/>
      <c r="E46" s="90">
        <f t="shared" si="1"/>
        <v>42</v>
      </c>
      <c r="F46" s="91">
        <f>LEFT(tbl_Reservoir[[#This Row],[time]],10)*1</f>
        <v>40326</v>
      </c>
      <c r="G46" s="92">
        <f>tbl_Reservoir[[#This Row],[Surface Water Area (km2)]]</f>
        <v>52.69</v>
      </c>
    </row>
    <row r="47" spans="2:7" x14ac:dyDescent="0.2">
      <c r="B47" t="s">
        <v>174</v>
      </c>
      <c r="C47">
        <v>55.99</v>
      </c>
      <c r="D47" s="83"/>
      <c r="E47" s="90">
        <f t="shared" si="1"/>
        <v>43</v>
      </c>
      <c r="F47" s="91">
        <f>LEFT(tbl_Reservoir[[#This Row],[time]],10)*1</f>
        <v>40342</v>
      </c>
      <c r="G47" s="92">
        <f>tbl_Reservoir[[#This Row],[Surface Water Area (km2)]]</f>
        <v>55.99</v>
      </c>
    </row>
    <row r="48" spans="2:7" x14ac:dyDescent="0.2">
      <c r="B48" t="s">
        <v>175</v>
      </c>
      <c r="C48">
        <v>55.37</v>
      </c>
      <c r="D48" s="83"/>
      <c r="E48" s="90">
        <f t="shared" si="1"/>
        <v>44</v>
      </c>
      <c r="F48" s="91">
        <f>LEFT(tbl_Reservoir[[#This Row],[time]],10)*1</f>
        <v>40358</v>
      </c>
      <c r="G48" s="92">
        <f>tbl_Reservoir[[#This Row],[Surface Water Area (km2)]]</f>
        <v>55.37</v>
      </c>
    </row>
    <row r="49" spans="2:7" x14ac:dyDescent="0.2">
      <c r="B49" t="s">
        <v>176</v>
      </c>
      <c r="C49">
        <v>42.53</v>
      </c>
      <c r="D49" s="83"/>
      <c r="E49" s="90">
        <f t="shared" si="1"/>
        <v>45</v>
      </c>
      <c r="F49" s="91">
        <f>LEFT(tbl_Reservoir[[#This Row],[time]],10)*1</f>
        <v>40470</v>
      </c>
      <c r="G49" s="92">
        <f>tbl_Reservoir[[#This Row],[Surface Water Area (km2)]]</f>
        <v>42.53</v>
      </c>
    </row>
    <row r="50" spans="2:7" x14ac:dyDescent="0.2">
      <c r="B50" t="s">
        <v>177</v>
      </c>
      <c r="C50">
        <v>42.06</v>
      </c>
      <c r="D50" s="83"/>
      <c r="E50" s="90">
        <f t="shared" si="1"/>
        <v>46</v>
      </c>
      <c r="F50" s="91">
        <f>LEFT(tbl_Reservoir[[#This Row],[time]],10)*1</f>
        <v>40486</v>
      </c>
      <c r="G50" s="92">
        <f>tbl_Reservoir[[#This Row],[Surface Water Area (km2)]]</f>
        <v>42.06</v>
      </c>
    </row>
    <row r="51" spans="2:7" x14ac:dyDescent="0.2">
      <c r="B51" t="s">
        <v>178</v>
      </c>
      <c r="C51">
        <v>54.51</v>
      </c>
      <c r="D51" s="83"/>
      <c r="E51" s="90">
        <f t="shared" si="1"/>
        <v>47</v>
      </c>
      <c r="F51" s="91">
        <f>LEFT(tbl_Reservoir[[#This Row],[time]],10)*1</f>
        <v>40662</v>
      </c>
      <c r="G51" s="92">
        <f>tbl_Reservoir[[#This Row],[Surface Water Area (km2)]]</f>
        <v>54.51</v>
      </c>
    </row>
    <row r="52" spans="2:7" x14ac:dyDescent="0.2">
      <c r="B52" t="s">
        <v>179</v>
      </c>
      <c r="C52">
        <v>55.23</v>
      </c>
      <c r="D52" s="83"/>
      <c r="E52" s="90">
        <f t="shared" si="1"/>
        <v>48</v>
      </c>
      <c r="F52" s="91">
        <f>LEFT(tbl_Reservoir[[#This Row],[time]],10)*1</f>
        <v>40678</v>
      </c>
      <c r="G52" s="92">
        <f>tbl_Reservoir[[#This Row],[Surface Water Area (km2)]]</f>
        <v>55.23</v>
      </c>
    </row>
    <row r="53" spans="2:7" x14ac:dyDescent="0.2">
      <c r="B53" t="s">
        <v>180</v>
      </c>
      <c r="C53">
        <v>48.72</v>
      </c>
      <c r="D53" s="83"/>
      <c r="E53" s="90">
        <f t="shared" si="1"/>
        <v>49</v>
      </c>
      <c r="F53" s="91">
        <f>LEFT(tbl_Reservoir[[#This Row],[time]],10)*1</f>
        <v>40726</v>
      </c>
      <c r="G53" s="92">
        <f>tbl_Reservoir[[#This Row],[Surface Water Area (km2)]]</f>
        <v>48.72</v>
      </c>
    </row>
    <row r="54" spans="2:7" x14ac:dyDescent="0.2">
      <c r="B54" t="s">
        <v>181</v>
      </c>
      <c r="C54">
        <v>46.22</v>
      </c>
      <c r="D54" s="83"/>
      <c r="E54" s="90">
        <f t="shared" si="1"/>
        <v>50</v>
      </c>
      <c r="F54" s="91">
        <f>LEFT(tbl_Reservoir[[#This Row],[time]],10)*1</f>
        <v>40742</v>
      </c>
      <c r="G54" s="92">
        <f>tbl_Reservoir[[#This Row],[Surface Water Area (km2)]]</f>
        <v>46.22</v>
      </c>
    </row>
    <row r="55" spans="2:7" x14ac:dyDescent="0.2">
      <c r="B55" t="s">
        <v>182</v>
      </c>
      <c r="C55">
        <v>42.34</v>
      </c>
      <c r="D55" s="83"/>
      <c r="E55" s="90">
        <f t="shared" si="1"/>
        <v>51</v>
      </c>
      <c r="F55" s="91">
        <f>LEFT(tbl_Reservoir[[#This Row],[time]],10)*1</f>
        <v>40758</v>
      </c>
      <c r="G55" s="92">
        <f>tbl_Reservoir[[#This Row],[Surface Water Area (km2)]]</f>
        <v>42.34</v>
      </c>
    </row>
    <row r="56" spans="2:7" x14ac:dyDescent="0.2">
      <c r="B56" t="s">
        <v>183</v>
      </c>
      <c r="C56">
        <v>47.77</v>
      </c>
      <c r="D56" s="83"/>
      <c r="E56" s="90">
        <f t="shared" si="1"/>
        <v>52</v>
      </c>
      <c r="F56" s="91">
        <f>LEFT(tbl_Reservoir[[#This Row],[time]],10)*1</f>
        <v>40806</v>
      </c>
      <c r="G56" s="92">
        <f>tbl_Reservoir[[#This Row],[Surface Water Area (km2)]]</f>
        <v>47.77</v>
      </c>
    </row>
    <row r="57" spans="2:7" x14ac:dyDescent="0.2">
      <c r="B57" t="s">
        <v>184</v>
      </c>
      <c r="C57">
        <v>42.73</v>
      </c>
      <c r="D57" s="83"/>
      <c r="E57" s="90">
        <f t="shared" si="1"/>
        <v>53</v>
      </c>
      <c r="F57" s="91">
        <f>LEFT(tbl_Reservoir[[#This Row],[time]],10)*1</f>
        <v>40838</v>
      </c>
      <c r="G57" s="92">
        <f>tbl_Reservoir[[#This Row],[Surface Water Area (km2)]]</f>
        <v>42.73</v>
      </c>
    </row>
    <row r="58" spans="2:7" x14ac:dyDescent="0.2">
      <c r="B58" t="s">
        <v>185</v>
      </c>
      <c r="C58">
        <v>42.05</v>
      </c>
      <c r="D58" s="83"/>
      <c r="E58" s="90">
        <f t="shared" si="1"/>
        <v>54</v>
      </c>
      <c r="F58" s="91">
        <f>LEFT(tbl_Reservoir[[#This Row],[time]],10)*1</f>
        <v>40854</v>
      </c>
      <c r="G58" s="92">
        <f>tbl_Reservoir[[#This Row],[Surface Water Area (km2)]]</f>
        <v>42.05</v>
      </c>
    </row>
    <row r="59" spans="2:7" x14ac:dyDescent="0.2">
      <c r="B59" t="s">
        <v>186</v>
      </c>
      <c r="C59">
        <v>38.799999999999997</v>
      </c>
      <c r="D59" s="83"/>
      <c r="E59" s="90">
        <f t="shared" si="1"/>
        <v>55</v>
      </c>
      <c r="F59" s="91">
        <f>LEFT(tbl_Reservoir[[#This Row],[time]],10)*1</f>
        <v>40998</v>
      </c>
      <c r="G59" s="92">
        <f>tbl_Reservoir[[#This Row],[Surface Water Area (km2)]]</f>
        <v>38.799999999999997</v>
      </c>
    </row>
    <row r="60" spans="2:7" x14ac:dyDescent="0.2">
      <c r="B60" t="s">
        <v>187</v>
      </c>
      <c r="C60">
        <v>39.270000000000003</v>
      </c>
      <c r="D60" s="83"/>
      <c r="E60" s="90">
        <f t="shared" si="1"/>
        <v>56</v>
      </c>
      <c r="F60" s="91">
        <f>LEFT(tbl_Reservoir[[#This Row],[time]],10)*1</f>
        <v>41014</v>
      </c>
      <c r="G60" s="92">
        <f>tbl_Reservoir[[#This Row],[Surface Water Area (km2)]]</f>
        <v>39.270000000000003</v>
      </c>
    </row>
    <row r="61" spans="2:7" x14ac:dyDescent="0.2">
      <c r="B61" t="s">
        <v>188</v>
      </c>
      <c r="C61">
        <v>36.380000000000003</v>
      </c>
      <c r="D61" s="83"/>
      <c r="E61" s="90">
        <f t="shared" si="1"/>
        <v>57</v>
      </c>
      <c r="F61" s="91">
        <f>LEFT(tbl_Reservoir[[#This Row],[time]],10)*1</f>
        <v>41030</v>
      </c>
      <c r="G61" s="92">
        <f>tbl_Reservoir[[#This Row],[Surface Water Area (km2)]]</f>
        <v>36.380000000000003</v>
      </c>
    </row>
    <row r="62" spans="2:7" x14ac:dyDescent="0.2">
      <c r="B62" t="s">
        <v>189</v>
      </c>
      <c r="C62">
        <v>37.42</v>
      </c>
      <c r="D62" s="83"/>
      <c r="E62" s="90">
        <f t="shared" si="1"/>
        <v>58</v>
      </c>
      <c r="F62" s="91">
        <f>LEFT(tbl_Reservoir[[#This Row],[time]],10)*1</f>
        <v>41046</v>
      </c>
      <c r="G62" s="92">
        <f>tbl_Reservoir[[#This Row],[Surface Water Area (km2)]]</f>
        <v>37.42</v>
      </c>
    </row>
    <row r="63" spans="2:7" x14ac:dyDescent="0.2">
      <c r="B63" t="s">
        <v>190</v>
      </c>
      <c r="C63">
        <v>36.380000000000003</v>
      </c>
      <c r="D63" s="83"/>
      <c r="E63" s="90">
        <f t="shared" si="1"/>
        <v>59</v>
      </c>
      <c r="F63" s="91">
        <f>LEFT(tbl_Reservoir[[#This Row],[time]],10)*1</f>
        <v>41078</v>
      </c>
      <c r="G63" s="92">
        <f>tbl_Reservoir[[#This Row],[Surface Water Area (km2)]]</f>
        <v>36.380000000000003</v>
      </c>
    </row>
    <row r="64" spans="2:7" x14ac:dyDescent="0.2">
      <c r="B64" t="s">
        <v>191</v>
      </c>
      <c r="C64">
        <v>34.03</v>
      </c>
      <c r="D64" s="83"/>
      <c r="E64" s="90">
        <f t="shared" si="1"/>
        <v>60</v>
      </c>
      <c r="F64" s="91">
        <f>LEFT(tbl_Reservoir[[#This Row],[time]],10)*1</f>
        <v>41094</v>
      </c>
      <c r="G64" s="92">
        <f>tbl_Reservoir[[#This Row],[Surface Water Area (km2)]]</f>
        <v>34.03</v>
      </c>
    </row>
    <row r="65" spans="2:7" x14ac:dyDescent="0.2">
      <c r="B65" t="s">
        <v>192</v>
      </c>
      <c r="C65">
        <v>32.76</v>
      </c>
      <c r="D65" s="83"/>
      <c r="E65" s="90">
        <f t="shared" si="1"/>
        <v>61</v>
      </c>
      <c r="F65" s="91">
        <f>LEFT(tbl_Reservoir[[#This Row],[time]],10)*1</f>
        <v>41110</v>
      </c>
      <c r="G65" s="92">
        <f>tbl_Reservoir[[#This Row],[Surface Water Area (km2)]]</f>
        <v>32.76</v>
      </c>
    </row>
    <row r="66" spans="2:7" x14ac:dyDescent="0.2">
      <c r="B66" t="s">
        <v>193</v>
      </c>
      <c r="C66">
        <v>31.34</v>
      </c>
      <c r="D66" s="83"/>
      <c r="E66" s="90">
        <f t="shared" si="1"/>
        <v>62</v>
      </c>
      <c r="F66" s="91">
        <f>LEFT(tbl_Reservoir[[#This Row],[time]],10)*1</f>
        <v>41126</v>
      </c>
      <c r="G66" s="92">
        <f>tbl_Reservoir[[#This Row],[Surface Water Area (km2)]]</f>
        <v>31.34</v>
      </c>
    </row>
    <row r="67" spans="2:7" x14ac:dyDescent="0.2">
      <c r="B67" t="s">
        <v>194</v>
      </c>
      <c r="C67">
        <v>27.03</v>
      </c>
      <c r="D67" s="83"/>
      <c r="E67" s="90">
        <f t="shared" si="1"/>
        <v>63</v>
      </c>
      <c r="F67" s="91">
        <f>LEFT(tbl_Reservoir[[#This Row],[time]],10)*1</f>
        <v>41174</v>
      </c>
      <c r="G67" s="92">
        <f>tbl_Reservoir[[#This Row],[Surface Water Area (km2)]]</f>
        <v>27.03</v>
      </c>
    </row>
    <row r="68" spans="2:7" x14ac:dyDescent="0.2">
      <c r="B68" t="s">
        <v>195</v>
      </c>
      <c r="C68">
        <v>26.88</v>
      </c>
      <c r="D68" s="83"/>
      <c r="E68" s="90">
        <f t="shared" si="1"/>
        <v>64</v>
      </c>
      <c r="F68" s="91">
        <f>LEFT(tbl_Reservoir[[#This Row],[time]],10)*1</f>
        <v>41190</v>
      </c>
      <c r="G68" s="92">
        <f>tbl_Reservoir[[#This Row],[Surface Water Area (km2)]]</f>
        <v>26.88</v>
      </c>
    </row>
    <row r="69" spans="2:7" x14ac:dyDescent="0.2">
      <c r="B69" t="s">
        <v>196</v>
      </c>
      <c r="C69">
        <v>26.47</v>
      </c>
      <c r="D69" s="83"/>
      <c r="E69" s="90">
        <f t="shared" si="1"/>
        <v>65</v>
      </c>
      <c r="F69" s="91">
        <f>LEFT(tbl_Reservoir[[#This Row],[time]],10)*1</f>
        <v>41206</v>
      </c>
      <c r="G69" s="92">
        <f>tbl_Reservoir[[#This Row],[Surface Water Area (km2)]]</f>
        <v>26.47</v>
      </c>
    </row>
    <row r="70" spans="2:7" x14ac:dyDescent="0.2">
      <c r="B70" t="s">
        <v>197</v>
      </c>
      <c r="C70">
        <v>38.61</v>
      </c>
      <c r="D70" s="83"/>
      <c r="E70" s="90">
        <f t="shared" ref="E70:E133" si="2">ROW()-4</f>
        <v>66</v>
      </c>
      <c r="F70" s="91">
        <f>LEFT(tbl_Reservoir[[#This Row],[time]],10)*1</f>
        <v>41350</v>
      </c>
      <c r="G70" s="92">
        <f>tbl_Reservoir[[#This Row],[Surface Water Area (km2)]]</f>
        <v>38.61</v>
      </c>
    </row>
    <row r="71" spans="2:7" x14ac:dyDescent="0.2">
      <c r="B71" t="s">
        <v>198</v>
      </c>
      <c r="C71">
        <v>38.130000000000003</v>
      </c>
      <c r="D71" s="83"/>
      <c r="E71" s="90">
        <f t="shared" si="2"/>
        <v>67</v>
      </c>
      <c r="F71" s="91">
        <f>LEFT(tbl_Reservoir[[#This Row],[time]],10)*1</f>
        <v>41366</v>
      </c>
      <c r="G71" s="92">
        <f>tbl_Reservoir[[#This Row],[Surface Water Area (km2)]]</f>
        <v>38.130000000000003</v>
      </c>
    </row>
    <row r="72" spans="2:7" x14ac:dyDescent="0.2">
      <c r="B72" t="s">
        <v>199</v>
      </c>
      <c r="C72">
        <v>37.549999999999997</v>
      </c>
      <c r="D72" s="83"/>
      <c r="E72" s="90">
        <f t="shared" si="2"/>
        <v>68</v>
      </c>
      <c r="F72" s="91">
        <f>LEFT(tbl_Reservoir[[#This Row],[time]],10)*1</f>
        <v>41369</v>
      </c>
      <c r="G72" s="92">
        <f>tbl_Reservoir[[#This Row],[Surface Water Area (km2)]]</f>
        <v>37.549999999999997</v>
      </c>
    </row>
    <row r="73" spans="2:7" x14ac:dyDescent="0.2">
      <c r="B73" t="s">
        <v>200</v>
      </c>
      <c r="C73">
        <v>61.19</v>
      </c>
      <c r="D73" s="83"/>
      <c r="E73" s="90">
        <f t="shared" si="2"/>
        <v>69</v>
      </c>
      <c r="F73" s="91">
        <f>LEFT(tbl_Reservoir[[#This Row],[time]],10)*1</f>
        <v>41374</v>
      </c>
      <c r="G73" s="92">
        <f>tbl_Reservoir[[#This Row],[Surface Water Area (km2)]]</f>
        <v>61.19</v>
      </c>
    </row>
    <row r="74" spans="2:7" x14ac:dyDescent="0.2">
      <c r="B74" t="s">
        <v>201</v>
      </c>
      <c r="C74">
        <v>58.23</v>
      </c>
      <c r="D74" s="83"/>
      <c r="E74" s="90">
        <f t="shared" si="2"/>
        <v>70</v>
      </c>
      <c r="F74" s="91">
        <f>LEFT(tbl_Reservoir[[#This Row],[time]],10)*1</f>
        <v>41382</v>
      </c>
      <c r="G74" s="92">
        <f>tbl_Reservoir[[#This Row],[Surface Water Area (km2)]]</f>
        <v>58.23</v>
      </c>
    </row>
    <row r="75" spans="2:7" x14ac:dyDescent="0.2">
      <c r="B75" t="s">
        <v>202</v>
      </c>
      <c r="C75">
        <v>58.08</v>
      </c>
      <c r="D75" s="83"/>
      <c r="E75" s="90">
        <f t="shared" si="2"/>
        <v>71</v>
      </c>
      <c r="F75" s="91">
        <f>LEFT(tbl_Reservoir[[#This Row],[time]],10)*1</f>
        <v>41398</v>
      </c>
      <c r="G75" s="92">
        <f>tbl_Reservoir[[#This Row],[Surface Water Area (km2)]]</f>
        <v>58.08</v>
      </c>
    </row>
    <row r="76" spans="2:7" x14ac:dyDescent="0.2">
      <c r="B76" t="s">
        <v>203</v>
      </c>
      <c r="C76">
        <v>56.6</v>
      </c>
      <c r="D76" s="83"/>
      <c r="E76" s="90">
        <f t="shared" si="2"/>
        <v>72</v>
      </c>
      <c r="F76" s="91">
        <f>LEFT(tbl_Reservoir[[#This Row],[time]],10)*1</f>
        <v>41414</v>
      </c>
      <c r="G76" s="92">
        <f>tbl_Reservoir[[#This Row],[Surface Water Area (km2)]]</f>
        <v>56.6</v>
      </c>
    </row>
    <row r="77" spans="2:7" x14ac:dyDescent="0.2">
      <c r="B77" t="s">
        <v>204</v>
      </c>
      <c r="C77">
        <v>56.34</v>
      </c>
      <c r="D77" s="83"/>
      <c r="E77" s="90">
        <f t="shared" si="2"/>
        <v>73</v>
      </c>
      <c r="F77" s="91">
        <f>LEFT(tbl_Reservoir[[#This Row],[time]],10)*1</f>
        <v>41422</v>
      </c>
      <c r="G77" s="92">
        <f>tbl_Reservoir[[#This Row],[Surface Water Area (km2)]]</f>
        <v>56.34</v>
      </c>
    </row>
    <row r="78" spans="2:7" x14ac:dyDescent="0.2">
      <c r="B78" t="s">
        <v>205</v>
      </c>
      <c r="C78">
        <v>53.37</v>
      </c>
      <c r="D78" s="83"/>
      <c r="E78" s="90">
        <f t="shared" si="2"/>
        <v>74</v>
      </c>
      <c r="F78" s="91">
        <f>LEFT(tbl_Reservoir[[#This Row],[time]],10)*1</f>
        <v>41486</v>
      </c>
      <c r="G78" s="92">
        <f>tbl_Reservoir[[#This Row],[Surface Water Area (km2)]]</f>
        <v>53.37</v>
      </c>
    </row>
    <row r="79" spans="2:7" x14ac:dyDescent="0.2">
      <c r="B79" t="s">
        <v>206</v>
      </c>
      <c r="C79">
        <v>59.08</v>
      </c>
      <c r="D79" s="83"/>
      <c r="E79" s="90">
        <f t="shared" si="2"/>
        <v>75</v>
      </c>
      <c r="F79" s="91">
        <f>LEFT(tbl_Reservoir[[#This Row],[time]],10)*1</f>
        <v>41502</v>
      </c>
      <c r="G79" s="92">
        <f>tbl_Reservoir[[#This Row],[Surface Water Area (km2)]]</f>
        <v>59.08</v>
      </c>
    </row>
    <row r="80" spans="2:7" x14ac:dyDescent="0.2">
      <c r="B80" t="s">
        <v>207</v>
      </c>
      <c r="C80">
        <v>56.9</v>
      </c>
      <c r="D80" s="83"/>
      <c r="E80" s="90">
        <f t="shared" si="2"/>
        <v>76</v>
      </c>
      <c r="F80" s="91">
        <f>LEFT(tbl_Reservoir[[#This Row],[time]],10)*1</f>
        <v>41526</v>
      </c>
      <c r="G80" s="92">
        <f>tbl_Reservoir[[#This Row],[Surface Water Area (km2)]]</f>
        <v>56.9</v>
      </c>
    </row>
    <row r="81" spans="2:7" x14ac:dyDescent="0.2">
      <c r="B81" t="s">
        <v>208</v>
      </c>
      <c r="C81">
        <v>56.76</v>
      </c>
      <c r="D81" s="83"/>
      <c r="E81" s="90">
        <f t="shared" si="2"/>
        <v>77</v>
      </c>
      <c r="F81" s="91">
        <f>LEFT(tbl_Reservoir[[#This Row],[time]],10)*1</f>
        <v>41534</v>
      </c>
      <c r="G81" s="92">
        <f>tbl_Reservoir[[#This Row],[Surface Water Area (km2)]]</f>
        <v>56.76</v>
      </c>
    </row>
    <row r="82" spans="2:7" x14ac:dyDescent="0.2">
      <c r="B82" t="s">
        <v>209</v>
      </c>
      <c r="C82">
        <v>55.4</v>
      </c>
      <c r="D82" s="83"/>
      <c r="E82" s="90">
        <f t="shared" si="2"/>
        <v>78</v>
      </c>
      <c r="F82" s="91">
        <f>LEFT(tbl_Reservoir[[#This Row],[time]],10)*1</f>
        <v>41558</v>
      </c>
      <c r="G82" s="92">
        <f>tbl_Reservoir[[#This Row],[Surface Water Area (km2)]]</f>
        <v>55.4</v>
      </c>
    </row>
    <row r="83" spans="2:7" x14ac:dyDescent="0.2">
      <c r="B83" t="s">
        <v>210</v>
      </c>
      <c r="C83">
        <v>53.1</v>
      </c>
      <c r="D83" s="83"/>
      <c r="E83" s="90">
        <f t="shared" si="2"/>
        <v>79</v>
      </c>
      <c r="F83" s="91">
        <f>LEFT(tbl_Reservoir[[#This Row],[time]],10)*1</f>
        <v>41566</v>
      </c>
      <c r="G83" s="92">
        <f>tbl_Reservoir[[#This Row],[Surface Water Area (km2)]]</f>
        <v>53.1</v>
      </c>
    </row>
    <row r="84" spans="2:7" x14ac:dyDescent="0.2">
      <c r="B84" t="s">
        <v>211</v>
      </c>
      <c r="C84">
        <v>52.71</v>
      </c>
      <c r="D84" s="83"/>
      <c r="E84" s="90">
        <f t="shared" si="2"/>
        <v>80</v>
      </c>
      <c r="F84" s="91">
        <f>LEFT(tbl_Reservoir[[#This Row],[time]],10)*1</f>
        <v>41574</v>
      </c>
      <c r="G84" s="92">
        <f>tbl_Reservoir[[#This Row],[Surface Water Area (km2)]]</f>
        <v>52.71</v>
      </c>
    </row>
    <row r="85" spans="2:7" x14ac:dyDescent="0.2">
      <c r="B85" t="s">
        <v>212</v>
      </c>
      <c r="C85">
        <v>51.99</v>
      </c>
      <c r="D85" s="83"/>
      <c r="E85" s="90">
        <f t="shared" si="2"/>
        <v>81</v>
      </c>
      <c r="F85" s="91">
        <f>LEFT(tbl_Reservoir[[#This Row],[time]],10)*1</f>
        <v>41582</v>
      </c>
      <c r="G85" s="92">
        <f>tbl_Reservoir[[#This Row],[Surface Water Area (km2)]]</f>
        <v>51.99</v>
      </c>
    </row>
    <row r="86" spans="2:7" x14ac:dyDescent="0.2">
      <c r="B86" t="s">
        <v>213</v>
      </c>
      <c r="C86">
        <v>51.3</v>
      </c>
      <c r="D86" s="83"/>
      <c r="E86" s="90">
        <f t="shared" si="2"/>
        <v>82</v>
      </c>
      <c r="F86" s="91">
        <f>LEFT(tbl_Reservoir[[#This Row],[time]],10)*1</f>
        <v>41598</v>
      </c>
      <c r="G86" s="92">
        <f>tbl_Reservoir[[#This Row],[Surface Water Area (km2)]]</f>
        <v>51.3</v>
      </c>
    </row>
    <row r="87" spans="2:7" x14ac:dyDescent="0.2">
      <c r="B87" t="s">
        <v>214</v>
      </c>
      <c r="C87">
        <v>58.96</v>
      </c>
      <c r="D87" s="83"/>
      <c r="E87" s="90">
        <f t="shared" si="2"/>
        <v>83</v>
      </c>
      <c r="F87" s="91">
        <f>LEFT(tbl_Reservoir[[#This Row],[time]],10)*1</f>
        <v>41606</v>
      </c>
      <c r="G87" s="92">
        <f>tbl_Reservoir[[#This Row],[Surface Water Area (km2)]]</f>
        <v>58.96</v>
      </c>
    </row>
    <row r="88" spans="2:7" x14ac:dyDescent="0.2">
      <c r="B88" t="s">
        <v>215</v>
      </c>
      <c r="C88">
        <v>58.28</v>
      </c>
      <c r="D88" s="83"/>
      <c r="E88" s="90">
        <f t="shared" si="2"/>
        <v>84</v>
      </c>
      <c r="F88" s="91">
        <f>LEFT(tbl_Reservoir[[#This Row],[time]],10)*1</f>
        <v>41614</v>
      </c>
      <c r="G88" s="92">
        <f>tbl_Reservoir[[#This Row],[Surface Water Area (km2)]]</f>
        <v>58.28</v>
      </c>
    </row>
    <row r="89" spans="2:7" x14ac:dyDescent="0.2">
      <c r="B89" t="s">
        <v>216</v>
      </c>
      <c r="C89">
        <v>57.36</v>
      </c>
      <c r="D89" s="83"/>
      <c r="E89" s="90">
        <f t="shared" si="2"/>
        <v>85</v>
      </c>
      <c r="F89" s="91">
        <f>LEFT(tbl_Reservoir[[#This Row],[time]],10)*1</f>
        <v>41622</v>
      </c>
      <c r="G89" s="92">
        <f>tbl_Reservoir[[#This Row],[Surface Water Area (km2)]]</f>
        <v>57.36</v>
      </c>
    </row>
    <row r="90" spans="2:7" x14ac:dyDescent="0.2">
      <c r="B90" t="s">
        <v>217</v>
      </c>
      <c r="C90">
        <v>57.07</v>
      </c>
      <c r="D90" s="83"/>
      <c r="E90" s="90">
        <f t="shared" si="2"/>
        <v>86</v>
      </c>
      <c r="F90" s="91">
        <f>LEFT(tbl_Reservoir[[#This Row],[time]],10)*1</f>
        <v>41630</v>
      </c>
      <c r="G90" s="92">
        <f>tbl_Reservoir[[#This Row],[Surface Water Area (km2)]]</f>
        <v>57.07</v>
      </c>
    </row>
    <row r="91" spans="2:7" x14ac:dyDescent="0.2">
      <c r="B91" t="s">
        <v>218</v>
      </c>
      <c r="C91">
        <v>56.3</v>
      </c>
      <c r="D91" s="83"/>
      <c r="E91" s="90">
        <f t="shared" si="2"/>
        <v>87</v>
      </c>
      <c r="F91" s="91">
        <f>LEFT(tbl_Reservoir[[#This Row],[time]],10)*1</f>
        <v>41638</v>
      </c>
      <c r="G91" s="92">
        <f>tbl_Reservoir[[#This Row],[Surface Water Area (km2)]]</f>
        <v>56.3</v>
      </c>
    </row>
    <row r="92" spans="2:7" x14ac:dyDescent="0.2">
      <c r="B92" t="s">
        <v>219</v>
      </c>
      <c r="C92">
        <v>52.41</v>
      </c>
      <c r="D92" s="83"/>
      <c r="E92" s="90">
        <f t="shared" si="2"/>
        <v>88</v>
      </c>
      <c r="F92" s="91">
        <f>LEFT(tbl_Reservoir[[#This Row],[time]],10)*1</f>
        <v>41646</v>
      </c>
      <c r="G92" s="92">
        <f>tbl_Reservoir[[#This Row],[Surface Water Area (km2)]]</f>
        <v>52.41</v>
      </c>
    </row>
    <row r="93" spans="2:7" x14ac:dyDescent="0.2">
      <c r="B93" t="s">
        <v>220</v>
      </c>
      <c r="C93">
        <v>57.3</v>
      </c>
      <c r="D93" s="83"/>
      <c r="E93" s="90">
        <f t="shared" si="2"/>
        <v>89</v>
      </c>
      <c r="F93" s="91">
        <f>LEFT(tbl_Reservoir[[#This Row],[time]],10)*1</f>
        <v>41654</v>
      </c>
      <c r="G93" s="92">
        <f>tbl_Reservoir[[#This Row],[Surface Water Area (km2)]]</f>
        <v>57.3</v>
      </c>
    </row>
    <row r="94" spans="2:7" x14ac:dyDescent="0.2">
      <c r="B94" t="s">
        <v>221</v>
      </c>
      <c r="C94">
        <v>57.83</v>
      </c>
      <c r="D94" s="83"/>
      <c r="E94" s="90">
        <f t="shared" si="2"/>
        <v>90</v>
      </c>
      <c r="F94" s="91">
        <f>LEFT(tbl_Reservoir[[#This Row],[time]],10)*1</f>
        <v>41662</v>
      </c>
      <c r="G94" s="92">
        <f>tbl_Reservoir[[#This Row],[Surface Water Area (km2)]]</f>
        <v>57.83</v>
      </c>
    </row>
    <row r="95" spans="2:7" x14ac:dyDescent="0.2">
      <c r="B95" t="s">
        <v>222</v>
      </c>
      <c r="C95">
        <v>57.51</v>
      </c>
      <c r="D95" s="83"/>
      <c r="E95" s="90">
        <f t="shared" si="2"/>
        <v>91</v>
      </c>
      <c r="F95" s="91">
        <f>LEFT(tbl_Reservoir[[#This Row],[time]],10)*1</f>
        <v>41670</v>
      </c>
      <c r="G95" s="92">
        <f>tbl_Reservoir[[#This Row],[Surface Water Area (km2)]]</f>
        <v>57.51</v>
      </c>
    </row>
    <row r="96" spans="2:7" x14ac:dyDescent="0.2">
      <c r="B96" t="s">
        <v>223</v>
      </c>
      <c r="C96">
        <v>59.64</v>
      </c>
      <c r="D96" s="83"/>
      <c r="E96" s="90">
        <f t="shared" si="2"/>
        <v>92</v>
      </c>
      <c r="F96" s="91">
        <f>LEFT(tbl_Reservoir[[#This Row],[time]],10)*1</f>
        <v>41678</v>
      </c>
      <c r="G96" s="92">
        <f>tbl_Reservoir[[#This Row],[Surface Water Area (km2)]]</f>
        <v>59.64</v>
      </c>
    </row>
    <row r="97" spans="2:7" x14ac:dyDescent="0.2">
      <c r="B97" t="s">
        <v>224</v>
      </c>
      <c r="C97">
        <v>57.79</v>
      </c>
      <c r="D97" s="83"/>
      <c r="E97" s="90">
        <f t="shared" si="2"/>
        <v>93</v>
      </c>
      <c r="F97" s="91">
        <f>LEFT(tbl_Reservoir[[#This Row],[time]],10)*1</f>
        <v>41686</v>
      </c>
      <c r="G97" s="92">
        <f>tbl_Reservoir[[#This Row],[Surface Water Area (km2)]]</f>
        <v>57.79</v>
      </c>
    </row>
    <row r="98" spans="2:7" x14ac:dyDescent="0.2">
      <c r="B98" t="s">
        <v>225</v>
      </c>
      <c r="C98">
        <v>57.98</v>
      </c>
      <c r="D98" s="83"/>
      <c r="E98" s="90">
        <f t="shared" si="2"/>
        <v>94</v>
      </c>
      <c r="F98" s="91">
        <f>LEFT(tbl_Reservoir[[#This Row],[time]],10)*1</f>
        <v>41694</v>
      </c>
      <c r="G98" s="92">
        <f>tbl_Reservoir[[#This Row],[Surface Water Area (km2)]]</f>
        <v>57.98</v>
      </c>
    </row>
    <row r="99" spans="2:7" x14ac:dyDescent="0.2">
      <c r="B99" t="s">
        <v>226</v>
      </c>
      <c r="C99">
        <v>59.4</v>
      </c>
      <c r="D99" s="83"/>
      <c r="E99" s="90">
        <f t="shared" si="2"/>
        <v>95</v>
      </c>
      <c r="F99" s="91">
        <f>LEFT(tbl_Reservoir[[#This Row],[time]],10)*1</f>
        <v>41702</v>
      </c>
      <c r="G99" s="92">
        <f>tbl_Reservoir[[#This Row],[Surface Water Area (km2)]]</f>
        <v>59.4</v>
      </c>
    </row>
    <row r="100" spans="2:7" x14ac:dyDescent="0.2">
      <c r="B100" t="s">
        <v>227</v>
      </c>
      <c r="C100">
        <v>59.51</v>
      </c>
      <c r="D100" s="83"/>
      <c r="E100" s="90">
        <f t="shared" si="2"/>
        <v>96</v>
      </c>
      <c r="F100" s="91">
        <f>LEFT(tbl_Reservoir[[#This Row],[time]],10)*1</f>
        <v>41718</v>
      </c>
      <c r="G100" s="92">
        <f>tbl_Reservoir[[#This Row],[Surface Water Area (km2)]]</f>
        <v>59.51</v>
      </c>
    </row>
    <row r="101" spans="2:7" x14ac:dyDescent="0.2">
      <c r="B101" t="s">
        <v>228</v>
      </c>
      <c r="C101">
        <v>58.28</v>
      </c>
      <c r="D101" s="83"/>
      <c r="E101" s="90">
        <f t="shared" si="2"/>
        <v>97</v>
      </c>
      <c r="F101" s="91">
        <f>LEFT(tbl_Reservoir[[#This Row],[time]],10)*1</f>
        <v>41726</v>
      </c>
      <c r="G101" s="92">
        <f>tbl_Reservoir[[#This Row],[Surface Water Area (km2)]]</f>
        <v>58.28</v>
      </c>
    </row>
    <row r="102" spans="2:7" x14ac:dyDescent="0.2">
      <c r="B102" t="s">
        <v>229</v>
      </c>
      <c r="C102">
        <v>57.65</v>
      </c>
      <c r="D102" s="83"/>
      <c r="E102" s="90">
        <f t="shared" si="2"/>
        <v>98</v>
      </c>
      <c r="F102" s="91">
        <f>LEFT(tbl_Reservoir[[#This Row],[time]],10)*1</f>
        <v>41734</v>
      </c>
      <c r="G102" s="92">
        <f>tbl_Reservoir[[#This Row],[Surface Water Area (km2)]]</f>
        <v>57.65</v>
      </c>
    </row>
    <row r="103" spans="2:7" x14ac:dyDescent="0.2">
      <c r="B103" t="s">
        <v>230</v>
      </c>
      <c r="C103">
        <v>57.71</v>
      </c>
      <c r="D103" s="83"/>
      <c r="E103" s="90">
        <f t="shared" si="2"/>
        <v>99</v>
      </c>
      <c r="F103" s="91">
        <f>LEFT(tbl_Reservoir[[#This Row],[time]],10)*1</f>
        <v>41742</v>
      </c>
      <c r="G103" s="92">
        <f>tbl_Reservoir[[#This Row],[Surface Water Area (km2)]]</f>
        <v>57.71</v>
      </c>
    </row>
    <row r="104" spans="2:7" x14ac:dyDescent="0.2">
      <c r="B104" t="s">
        <v>231</v>
      </c>
      <c r="C104">
        <v>57.35</v>
      </c>
      <c r="D104" s="83"/>
      <c r="E104" s="90">
        <f t="shared" si="2"/>
        <v>100</v>
      </c>
      <c r="F104" s="91">
        <f>LEFT(tbl_Reservoir[[#This Row],[time]],10)*1</f>
        <v>41750</v>
      </c>
      <c r="G104" s="92">
        <f>tbl_Reservoir[[#This Row],[Surface Water Area (km2)]]</f>
        <v>57.35</v>
      </c>
    </row>
    <row r="105" spans="2:7" x14ac:dyDescent="0.2">
      <c r="B105" t="s">
        <v>232</v>
      </c>
      <c r="C105">
        <v>56.75</v>
      </c>
      <c r="D105" s="83"/>
      <c r="E105" s="90">
        <f t="shared" si="2"/>
        <v>101</v>
      </c>
      <c r="F105" s="91">
        <f>LEFT(tbl_Reservoir[[#This Row],[time]],10)*1</f>
        <v>41766</v>
      </c>
      <c r="G105" s="92">
        <f>tbl_Reservoir[[#This Row],[Surface Water Area (km2)]]</f>
        <v>56.75</v>
      </c>
    </row>
    <row r="106" spans="2:7" x14ac:dyDescent="0.2">
      <c r="B106" t="s">
        <v>233</v>
      </c>
      <c r="C106">
        <v>58.44</v>
      </c>
      <c r="D106" s="83"/>
      <c r="E106" s="90">
        <f t="shared" si="2"/>
        <v>102</v>
      </c>
      <c r="F106" s="91">
        <f>LEFT(tbl_Reservoir[[#This Row],[time]],10)*1</f>
        <v>41782</v>
      </c>
      <c r="G106" s="92">
        <f>tbl_Reservoir[[#This Row],[Surface Water Area (km2)]]</f>
        <v>58.44</v>
      </c>
    </row>
    <row r="107" spans="2:7" x14ac:dyDescent="0.2">
      <c r="B107" t="s">
        <v>234</v>
      </c>
      <c r="C107">
        <v>58.27</v>
      </c>
      <c r="D107" s="83"/>
      <c r="E107" s="90">
        <f t="shared" si="2"/>
        <v>103</v>
      </c>
      <c r="F107" s="91">
        <f>LEFT(tbl_Reservoir[[#This Row],[time]],10)*1</f>
        <v>41790</v>
      </c>
      <c r="G107" s="92">
        <f>tbl_Reservoir[[#This Row],[Surface Water Area (km2)]]</f>
        <v>58.27</v>
      </c>
    </row>
    <row r="108" spans="2:7" x14ac:dyDescent="0.2">
      <c r="B108" t="s">
        <v>235</v>
      </c>
      <c r="C108">
        <v>56.47</v>
      </c>
      <c r="D108" s="83"/>
      <c r="E108" s="90">
        <f t="shared" si="2"/>
        <v>104</v>
      </c>
      <c r="F108" s="91">
        <f>LEFT(tbl_Reservoir[[#This Row],[time]],10)*1</f>
        <v>41798</v>
      </c>
      <c r="G108" s="92">
        <f>tbl_Reservoir[[#This Row],[Surface Water Area (km2)]]</f>
        <v>56.47</v>
      </c>
    </row>
    <row r="109" spans="2:7" x14ac:dyDescent="0.2">
      <c r="B109" t="s">
        <v>236</v>
      </c>
      <c r="C109">
        <v>58.18</v>
      </c>
      <c r="D109" s="83"/>
      <c r="E109" s="90">
        <f t="shared" si="2"/>
        <v>105</v>
      </c>
      <c r="F109" s="91">
        <f>LEFT(tbl_Reservoir[[#This Row],[time]],10)*1</f>
        <v>41806</v>
      </c>
      <c r="G109" s="92">
        <f>tbl_Reservoir[[#This Row],[Surface Water Area (km2)]]</f>
        <v>58.18</v>
      </c>
    </row>
    <row r="110" spans="2:7" x14ac:dyDescent="0.2">
      <c r="B110" t="s">
        <v>237</v>
      </c>
      <c r="C110">
        <v>56.08</v>
      </c>
      <c r="D110" s="83"/>
      <c r="E110" s="90">
        <f t="shared" si="2"/>
        <v>106</v>
      </c>
      <c r="F110" s="91">
        <f>LEFT(tbl_Reservoir[[#This Row],[time]],10)*1</f>
        <v>41814</v>
      </c>
      <c r="G110" s="92">
        <f>tbl_Reservoir[[#This Row],[Surface Water Area (km2)]]</f>
        <v>56.08</v>
      </c>
    </row>
    <row r="111" spans="2:7" x14ac:dyDescent="0.2">
      <c r="B111" t="s">
        <v>238</v>
      </c>
      <c r="C111">
        <v>54.16</v>
      </c>
      <c r="D111" s="83"/>
      <c r="E111" s="90">
        <f t="shared" si="2"/>
        <v>107</v>
      </c>
      <c r="F111" s="91">
        <f>LEFT(tbl_Reservoir[[#This Row],[time]],10)*1</f>
        <v>41830</v>
      </c>
      <c r="G111" s="92">
        <f>tbl_Reservoir[[#This Row],[Surface Water Area (km2)]]</f>
        <v>54.16</v>
      </c>
    </row>
    <row r="112" spans="2:7" x14ac:dyDescent="0.2">
      <c r="B112" t="s">
        <v>239</v>
      </c>
      <c r="C112">
        <v>54.2</v>
      </c>
      <c r="D112" s="83"/>
      <c r="E112" s="90">
        <f t="shared" si="2"/>
        <v>108</v>
      </c>
      <c r="F112" s="91">
        <f>LEFT(tbl_Reservoir[[#This Row],[time]],10)*1</f>
        <v>41838</v>
      </c>
      <c r="G112" s="92">
        <f>tbl_Reservoir[[#This Row],[Surface Water Area (km2)]]</f>
        <v>54.2</v>
      </c>
    </row>
    <row r="113" spans="2:7" x14ac:dyDescent="0.2">
      <c r="B113" t="s">
        <v>240</v>
      </c>
      <c r="C113">
        <v>50.32</v>
      </c>
      <c r="D113" s="83"/>
      <c r="E113" s="90">
        <f t="shared" si="2"/>
        <v>109</v>
      </c>
      <c r="F113" s="91">
        <f>LEFT(tbl_Reservoir[[#This Row],[time]],10)*1</f>
        <v>41862</v>
      </c>
      <c r="G113" s="92">
        <f>tbl_Reservoir[[#This Row],[Surface Water Area (km2)]]</f>
        <v>50.32</v>
      </c>
    </row>
    <row r="114" spans="2:7" x14ac:dyDescent="0.2">
      <c r="B114" t="s">
        <v>241</v>
      </c>
      <c r="C114">
        <v>48.95</v>
      </c>
      <c r="D114" s="83"/>
      <c r="E114" s="90">
        <f t="shared" si="2"/>
        <v>110</v>
      </c>
      <c r="F114" s="91">
        <f>LEFT(tbl_Reservoir[[#This Row],[time]],10)*1</f>
        <v>41870</v>
      </c>
      <c r="G114" s="92">
        <f>tbl_Reservoir[[#This Row],[Surface Water Area (km2)]]</f>
        <v>48.95</v>
      </c>
    </row>
    <row r="115" spans="2:7" x14ac:dyDescent="0.2">
      <c r="B115" t="s">
        <v>242</v>
      </c>
      <c r="C115">
        <v>46.41</v>
      </c>
      <c r="D115" s="83"/>
      <c r="E115" s="90">
        <f t="shared" si="2"/>
        <v>111</v>
      </c>
      <c r="F115" s="91">
        <f>LEFT(tbl_Reservoir[[#This Row],[time]],10)*1</f>
        <v>41878</v>
      </c>
      <c r="G115" s="92">
        <f>tbl_Reservoir[[#This Row],[Surface Water Area (km2)]]</f>
        <v>46.41</v>
      </c>
    </row>
    <row r="116" spans="2:7" x14ac:dyDescent="0.2">
      <c r="B116" t="s">
        <v>243</v>
      </c>
      <c r="C116">
        <v>46.54</v>
      </c>
      <c r="D116" s="83"/>
      <c r="E116" s="90">
        <f t="shared" si="2"/>
        <v>112</v>
      </c>
      <c r="F116" s="91">
        <f>LEFT(tbl_Reservoir[[#This Row],[time]],10)*1</f>
        <v>41886</v>
      </c>
      <c r="G116" s="92">
        <f>tbl_Reservoir[[#This Row],[Surface Water Area (km2)]]</f>
        <v>46.54</v>
      </c>
    </row>
    <row r="117" spans="2:7" x14ac:dyDescent="0.2">
      <c r="B117" t="s">
        <v>244</v>
      </c>
      <c r="C117">
        <v>43.54</v>
      </c>
      <c r="D117" s="83"/>
      <c r="E117" s="90">
        <f t="shared" si="2"/>
        <v>113</v>
      </c>
      <c r="F117" s="91">
        <f>LEFT(tbl_Reservoir[[#This Row],[time]],10)*1</f>
        <v>41894</v>
      </c>
      <c r="G117" s="92">
        <f>tbl_Reservoir[[#This Row],[Surface Water Area (km2)]]</f>
        <v>43.54</v>
      </c>
    </row>
    <row r="118" spans="2:7" x14ac:dyDescent="0.2">
      <c r="B118" t="s">
        <v>245</v>
      </c>
      <c r="C118">
        <v>43.79</v>
      </c>
      <c r="D118" s="83"/>
      <c r="E118" s="90">
        <f t="shared" si="2"/>
        <v>114</v>
      </c>
      <c r="F118" s="91">
        <f>LEFT(tbl_Reservoir[[#This Row],[time]],10)*1</f>
        <v>41902</v>
      </c>
      <c r="G118" s="92">
        <f>tbl_Reservoir[[#This Row],[Surface Water Area (km2)]]</f>
        <v>43.79</v>
      </c>
    </row>
    <row r="119" spans="2:7" x14ac:dyDescent="0.2">
      <c r="B119" t="s">
        <v>246</v>
      </c>
      <c r="C119">
        <v>41.09</v>
      </c>
      <c r="D119" s="83"/>
      <c r="E119" s="90">
        <f t="shared" si="2"/>
        <v>115</v>
      </c>
      <c r="F119" s="91">
        <f>LEFT(tbl_Reservoir[[#This Row],[time]],10)*1</f>
        <v>41918</v>
      </c>
      <c r="G119" s="92">
        <f>tbl_Reservoir[[#This Row],[Surface Water Area (km2)]]</f>
        <v>41.09</v>
      </c>
    </row>
    <row r="120" spans="2:7" x14ac:dyDescent="0.2">
      <c r="B120" t="s">
        <v>247</v>
      </c>
      <c r="C120">
        <v>40.64</v>
      </c>
      <c r="D120" s="83"/>
      <c r="E120" s="90">
        <f t="shared" si="2"/>
        <v>116</v>
      </c>
      <c r="F120" s="91">
        <f>LEFT(tbl_Reservoir[[#This Row],[time]],10)*1</f>
        <v>41926</v>
      </c>
      <c r="G120" s="92">
        <f>tbl_Reservoir[[#This Row],[Surface Water Area (km2)]]</f>
        <v>40.64</v>
      </c>
    </row>
    <row r="121" spans="2:7" x14ac:dyDescent="0.2">
      <c r="B121" t="s">
        <v>248</v>
      </c>
      <c r="C121">
        <v>40.47</v>
      </c>
      <c r="D121" s="83"/>
      <c r="E121" s="90">
        <f t="shared" si="2"/>
        <v>117</v>
      </c>
      <c r="F121" s="91">
        <f>LEFT(tbl_Reservoir[[#This Row],[time]],10)*1</f>
        <v>41934</v>
      </c>
      <c r="G121" s="92">
        <f>tbl_Reservoir[[#This Row],[Surface Water Area (km2)]]</f>
        <v>40.47</v>
      </c>
    </row>
    <row r="122" spans="2:7" x14ac:dyDescent="0.2">
      <c r="B122" t="s">
        <v>249</v>
      </c>
      <c r="C122">
        <v>39.65</v>
      </c>
      <c r="D122" s="83"/>
      <c r="E122" s="90">
        <f t="shared" si="2"/>
        <v>118</v>
      </c>
      <c r="F122" s="91">
        <f>LEFT(tbl_Reservoir[[#This Row],[time]],10)*1</f>
        <v>41942</v>
      </c>
      <c r="G122" s="92">
        <f>tbl_Reservoir[[#This Row],[Surface Water Area (km2)]]</f>
        <v>39.65</v>
      </c>
    </row>
    <row r="123" spans="2:7" x14ac:dyDescent="0.2">
      <c r="B123" t="s">
        <v>250</v>
      </c>
      <c r="C123">
        <v>39.880000000000003</v>
      </c>
      <c r="D123" s="83"/>
      <c r="E123" s="90">
        <f t="shared" si="2"/>
        <v>119</v>
      </c>
      <c r="F123" s="91">
        <f>LEFT(tbl_Reservoir[[#This Row],[time]],10)*1</f>
        <v>41950</v>
      </c>
      <c r="G123" s="92">
        <f>tbl_Reservoir[[#This Row],[Surface Water Area (km2)]]</f>
        <v>39.880000000000003</v>
      </c>
    </row>
    <row r="124" spans="2:7" x14ac:dyDescent="0.2">
      <c r="B124" t="s">
        <v>251</v>
      </c>
      <c r="C124">
        <v>37.159999999999997</v>
      </c>
      <c r="D124" s="83"/>
      <c r="E124" s="90">
        <f t="shared" si="2"/>
        <v>120</v>
      </c>
      <c r="F124" s="91">
        <f>LEFT(tbl_Reservoir[[#This Row],[time]],10)*1</f>
        <v>41958</v>
      </c>
      <c r="G124" s="92">
        <f>tbl_Reservoir[[#This Row],[Surface Water Area (km2)]]</f>
        <v>37.159999999999997</v>
      </c>
    </row>
    <row r="125" spans="2:7" x14ac:dyDescent="0.2">
      <c r="B125" t="s">
        <v>252</v>
      </c>
      <c r="C125">
        <v>37.25</v>
      </c>
      <c r="D125" s="83"/>
      <c r="E125" s="90">
        <f t="shared" si="2"/>
        <v>121</v>
      </c>
      <c r="F125" s="91">
        <f>LEFT(tbl_Reservoir[[#This Row],[time]],10)*1</f>
        <v>41966</v>
      </c>
      <c r="G125" s="92">
        <f>tbl_Reservoir[[#This Row],[Surface Water Area (km2)]]</f>
        <v>37.25</v>
      </c>
    </row>
    <row r="126" spans="2:7" x14ac:dyDescent="0.2">
      <c r="B126" t="s">
        <v>253</v>
      </c>
      <c r="C126">
        <v>36.39</v>
      </c>
      <c r="D126" s="83"/>
      <c r="E126" s="90">
        <f t="shared" si="2"/>
        <v>122</v>
      </c>
      <c r="F126" s="91">
        <f>LEFT(tbl_Reservoir[[#This Row],[time]],10)*1</f>
        <v>41974</v>
      </c>
      <c r="G126" s="92">
        <f>tbl_Reservoir[[#This Row],[Surface Water Area (km2)]]</f>
        <v>36.39</v>
      </c>
    </row>
    <row r="127" spans="2:7" x14ac:dyDescent="0.2">
      <c r="B127" t="s">
        <v>254</v>
      </c>
      <c r="C127">
        <v>35.75</v>
      </c>
      <c r="D127" s="83"/>
      <c r="E127" s="90">
        <f t="shared" si="2"/>
        <v>123</v>
      </c>
      <c r="F127" s="91">
        <f>LEFT(tbl_Reservoir[[#This Row],[time]],10)*1</f>
        <v>41982</v>
      </c>
      <c r="G127" s="92">
        <f>tbl_Reservoir[[#This Row],[Surface Water Area (km2)]]</f>
        <v>35.75</v>
      </c>
    </row>
    <row r="128" spans="2:7" x14ac:dyDescent="0.2">
      <c r="B128" t="s">
        <v>255</v>
      </c>
      <c r="C128">
        <v>36.19</v>
      </c>
      <c r="D128" s="83"/>
      <c r="E128" s="90">
        <f t="shared" si="2"/>
        <v>124</v>
      </c>
      <c r="F128" s="91">
        <f>LEFT(tbl_Reservoir[[#This Row],[time]],10)*1</f>
        <v>41990</v>
      </c>
      <c r="G128" s="92">
        <f>tbl_Reservoir[[#This Row],[Surface Water Area (km2)]]</f>
        <v>36.19</v>
      </c>
    </row>
    <row r="129" spans="2:7" x14ac:dyDescent="0.2">
      <c r="B129" t="s">
        <v>256</v>
      </c>
      <c r="C129">
        <v>35.549999999999997</v>
      </c>
      <c r="D129" s="83"/>
      <c r="E129" s="90">
        <f t="shared" si="2"/>
        <v>125</v>
      </c>
      <c r="F129" s="91">
        <f>LEFT(tbl_Reservoir[[#This Row],[time]],10)*1</f>
        <v>41998</v>
      </c>
      <c r="G129" s="92">
        <f>tbl_Reservoir[[#This Row],[Surface Water Area (km2)]]</f>
        <v>35.549999999999997</v>
      </c>
    </row>
    <row r="130" spans="2:7" x14ac:dyDescent="0.2">
      <c r="B130" t="s">
        <v>257</v>
      </c>
      <c r="C130">
        <v>33.68</v>
      </c>
      <c r="D130" s="83"/>
      <c r="E130" s="90">
        <f t="shared" si="2"/>
        <v>126</v>
      </c>
      <c r="F130" s="91">
        <f>LEFT(tbl_Reservoir[[#This Row],[time]],10)*1</f>
        <v>42022</v>
      </c>
      <c r="G130" s="92">
        <f>tbl_Reservoir[[#This Row],[Surface Water Area (km2)]]</f>
        <v>33.68</v>
      </c>
    </row>
    <row r="131" spans="2:7" x14ac:dyDescent="0.2">
      <c r="B131" t="s">
        <v>258</v>
      </c>
      <c r="C131">
        <v>40.6</v>
      </c>
      <c r="D131" s="83"/>
      <c r="E131" s="90">
        <f t="shared" si="2"/>
        <v>127</v>
      </c>
      <c r="F131" s="91">
        <f>LEFT(tbl_Reservoir[[#This Row],[time]],10)*1</f>
        <v>42030</v>
      </c>
      <c r="G131" s="92">
        <f>tbl_Reservoir[[#This Row],[Surface Water Area (km2)]]</f>
        <v>40.6</v>
      </c>
    </row>
    <row r="132" spans="2:7" x14ac:dyDescent="0.2">
      <c r="B132" t="s">
        <v>259</v>
      </c>
      <c r="C132">
        <v>40.69</v>
      </c>
      <c r="D132" s="83"/>
      <c r="E132" s="90">
        <f t="shared" si="2"/>
        <v>128</v>
      </c>
      <c r="F132" s="91">
        <f>LEFT(tbl_Reservoir[[#This Row],[time]],10)*1</f>
        <v>42054</v>
      </c>
      <c r="G132" s="92">
        <f>tbl_Reservoir[[#This Row],[Surface Water Area (km2)]]</f>
        <v>40.69</v>
      </c>
    </row>
    <row r="133" spans="2:7" x14ac:dyDescent="0.2">
      <c r="B133" t="s">
        <v>260</v>
      </c>
      <c r="C133">
        <v>40.53</v>
      </c>
      <c r="D133" s="83"/>
      <c r="E133" s="90">
        <f t="shared" si="2"/>
        <v>129</v>
      </c>
      <c r="F133" s="91">
        <f>LEFT(tbl_Reservoir[[#This Row],[time]],10)*1</f>
        <v>42062</v>
      </c>
      <c r="G133" s="92">
        <f>tbl_Reservoir[[#This Row],[Surface Water Area (km2)]]</f>
        <v>40.53</v>
      </c>
    </row>
    <row r="134" spans="2:7" x14ac:dyDescent="0.2">
      <c r="B134" t="s">
        <v>261</v>
      </c>
      <c r="C134">
        <v>46.45</v>
      </c>
      <c r="D134" s="83"/>
      <c r="E134" s="90">
        <f t="shared" ref="E134:E197" si="3">ROW()-4</f>
        <v>130</v>
      </c>
      <c r="F134" s="91">
        <f>LEFT(tbl_Reservoir[[#This Row],[time]],10)*1</f>
        <v>42078</v>
      </c>
      <c r="G134" s="92">
        <f>tbl_Reservoir[[#This Row],[Surface Water Area (km2)]]</f>
        <v>46.45</v>
      </c>
    </row>
    <row r="135" spans="2:7" x14ac:dyDescent="0.2">
      <c r="B135" t="s">
        <v>262</v>
      </c>
      <c r="C135">
        <v>46.07</v>
      </c>
      <c r="D135" s="83"/>
      <c r="E135" s="90">
        <f t="shared" si="3"/>
        <v>131</v>
      </c>
      <c r="F135" s="91">
        <f>LEFT(tbl_Reservoir[[#This Row],[time]],10)*1</f>
        <v>42086</v>
      </c>
      <c r="G135" s="92">
        <f>tbl_Reservoir[[#This Row],[Surface Water Area (km2)]]</f>
        <v>46.07</v>
      </c>
    </row>
    <row r="136" spans="2:7" x14ac:dyDescent="0.2">
      <c r="B136" t="s">
        <v>263</v>
      </c>
      <c r="C136">
        <v>46.6</v>
      </c>
      <c r="D136" s="83"/>
      <c r="E136" s="90">
        <f t="shared" si="3"/>
        <v>132</v>
      </c>
      <c r="F136" s="91">
        <f>LEFT(tbl_Reservoir[[#This Row],[time]],10)*1</f>
        <v>42094</v>
      </c>
      <c r="G136" s="92">
        <f>tbl_Reservoir[[#This Row],[Surface Water Area (km2)]]</f>
        <v>46.6</v>
      </c>
    </row>
    <row r="137" spans="2:7" x14ac:dyDescent="0.2">
      <c r="B137" t="s">
        <v>264</v>
      </c>
      <c r="C137">
        <v>45.95</v>
      </c>
      <c r="D137" s="83"/>
      <c r="E137" s="90">
        <f t="shared" si="3"/>
        <v>133</v>
      </c>
      <c r="F137" s="91">
        <f>LEFT(tbl_Reservoir[[#This Row],[time]],10)*1</f>
        <v>42102</v>
      </c>
      <c r="G137" s="92">
        <f>tbl_Reservoir[[#This Row],[Surface Water Area (km2)]]</f>
        <v>45.95</v>
      </c>
    </row>
    <row r="138" spans="2:7" x14ac:dyDescent="0.2">
      <c r="B138" t="s">
        <v>265</v>
      </c>
      <c r="C138">
        <v>46.09</v>
      </c>
      <c r="D138" s="83"/>
      <c r="E138" s="90">
        <f t="shared" si="3"/>
        <v>134</v>
      </c>
      <c r="F138" s="91">
        <f>LEFT(tbl_Reservoir[[#This Row],[time]],10)*1</f>
        <v>42110</v>
      </c>
      <c r="G138" s="92">
        <f>tbl_Reservoir[[#This Row],[Surface Water Area (km2)]]</f>
        <v>46.09</v>
      </c>
    </row>
    <row r="139" spans="2:7" x14ac:dyDescent="0.2">
      <c r="B139" t="s">
        <v>266</v>
      </c>
      <c r="C139">
        <v>43.18</v>
      </c>
      <c r="D139" s="83"/>
      <c r="E139" s="90">
        <f t="shared" si="3"/>
        <v>135</v>
      </c>
      <c r="F139" s="91">
        <f>LEFT(tbl_Reservoir[[#This Row],[time]],10)*1</f>
        <v>42126</v>
      </c>
      <c r="G139" s="92">
        <f>tbl_Reservoir[[#This Row],[Surface Water Area (km2)]]</f>
        <v>43.18</v>
      </c>
    </row>
    <row r="140" spans="2:7" x14ac:dyDescent="0.2">
      <c r="B140" t="s">
        <v>267</v>
      </c>
      <c r="C140">
        <v>40.770000000000003</v>
      </c>
      <c r="D140" s="83"/>
      <c r="E140" s="90">
        <f t="shared" si="3"/>
        <v>136</v>
      </c>
      <c r="F140" s="91">
        <f>LEFT(tbl_Reservoir[[#This Row],[time]],10)*1</f>
        <v>42142</v>
      </c>
      <c r="G140" s="92">
        <f>tbl_Reservoir[[#This Row],[Surface Water Area (km2)]]</f>
        <v>40.770000000000003</v>
      </c>
    </row>
    <row r="141" spans="2:7" x14ac:dyDescent="0.2">
      <c r="B141" t="s">
        <v>268</v>
      </c>
      <c r="C141">
        <v>39.67</v>
      </c>
      <c r="D141" s="83"/>
      <c r="E141" s="90">
        <f t="shared" si="3"/>
        <v>137</v>
      </c>
      <c r="F141" s="91">
        <f>LEFT(tbl_Reservoir[[#This Row],[time]],10)*1</f>
        <v>42150</v>
      </c>
      <c r="G141" s="92">
        <f>tbl_Reservoir[[#This Row],[Surface Water Area (km2)]]</f>
        <v>39.67</v>
      </c>
    </row>
    <row r="142" spans="2:7" x14ac:dyDescent="0.2">
      <c r="B142" t="s">
        <v>269</v>
      </c>
      <c r="C142">
        <v>38.159999999999997</v>
      </c>
      <c r="D142" s="83"/>
      <c r="E142" s="90">
        <f t="shared" si="3"/>
        <v>138</v>
      </c>
      <c r="F142" s="91">
        <f>LEFT(tbl_Reservoir[[#This Row],[time]],10)*1</f>
        <v>42158</v>
      </c>
      <c r="G142" s="92">
        <f>tbl_Reservoir[[#This Row],[Surface Water Area (km2)]]</f>
        <v>38.159999999999997</v>
      </c>
    </row>
    <row r="143" spans="2:7" x14ac:dyDescent="0.2">
      <c r="B143" t="s">
        <v>270</v>
      </c>
      <c r="C143">
        <v>36.520000000000003</v>
      </c>
      <c r="D143" s="83"/>
      <c r="E143" s="90">
        <f t="shared" si="3"/>
        <v>139</v>
      </c>
      <c r="F143" s="91">
        <f>LEFT(tbl_Reservoir[[#This Row],[time]],10)*1</f>
        <v>42174</v>
      </c>
      <c r="G143" s="92">
        <f>tbl_Reservoir[[#This Row],[Surface Water Area (km2)]]</f>
        <v>36.520000000000003</v>
      </c>
    </row>
    <row r="144" spans="2:7" x14ac:dyDescent="0.2">
      <c r="B144" t="s">
        <v>271</v>
      </c>
      <c r="C144">
        <v>36.380000000000003</v>
      </c>
      <c r="D144" s="83"/>
      <c r="E144" s="90">
        <f t="shared" si="3"/>
        <v>140</v>
      </c>
      <c r="F144" s="91">
        <f>LEFT(tbl_Reservoir[[#This Row],[time]],10)*1</f>
        <v>42182</v>
      </c>
      <c r="G144" s="92">
        <f>tbl_Reservoir[[#This Row],[Surface Water Area (km2)]]</f>
        <v>36.380000000000003</v>
      </c>
    </row>
    <row r="145" spans="2:7" x14ac:dyDescent="0.2">
      <c r="B145" t="s">
        <v>272</v>
      </c>
      <c r="C145">
        <v>35.229999999999997</v>
      </c>
      <c r="D145" s="83"/>
      <c r="E145" s="90">
        <f t="shared" si="3"/>
        <v>141</v>
      </c>
      <c r="F145" s="91">
        <f>LEFT(tbl_Reservoir[[#This Row],[time]],10)*1</f>
        <v>42190</v>
      </c>
      <c r="G145" s="92">
        <f>tbl_Reservoir[[#This Row],[Surface Water Area (km2)]]</f>
        <v>35.229999999999997</v>
      </c>
    </row>
    <row r="146" spans="2:7" x14ac:dyDescent="0.2">
      <c r="B146" t="s">
        <v>273</v>
      </c>
      <c r="C146">
        <v>33.090000000000003</v>
      </c>
      <c r="D146" s="83"/>
      <c r="E146" s="90">
        <f t="shared" si="3"/>
        <v>142</v>
      </c>
      <c r="F146" s="91">
        <f>LEFT(tbl_Reservoir[[#This Row],[time]],10)*1</f>
        <v>42206</v>
      </c>
      <c r="G146" s="92">
        <f>tbl_Reservoir[[#This Row],[Surface Water Area (km2)]]</f>
        <v>33.090000000000003</v>
      </c>
    </row>
    <row r="147" spans="2:7" x14ac:dyDescent="0.2">
      <c r="B147" t="s">
        <v>274</v>
      </c>
      <c r="C147">
        <v>30.67</v>
      </c>
      <c r="D147" s="83"/>
      <c r="E147" s="90">
        <f t="shared" si="3"/>
        <v>143</v>
      </c>
      <c r="F147" s="91">
        <f>LEFT(tbl_Reservoir[[#This Row],[time]],10)*1</f>
        <v>42238</v>
      </c>
      <c r="G147" s="92">
        <f>tbl_Reservoir[[#This Row],[Surface Water Area (km2)]]</f>
        <v>30.67</v>
      </c>
    </row>
    <row r="148" spans="2:7" x14ac:dyDescent="0.2">
      <c r="B148" t="s">
        <v>275</v>
      </c>
      <c r="C148">
        <v>29.53</v>
      </c>
      <c r="D148" s="83"/>
      <c r="E148" s="90">
        <f t="shared" si="3"/>
        <v>144</v>
      </c>
      <c r="F148" s="91">
        <f>LEFT(tbl_Reservoir[[#This Row],[time]],10)*1</f>
        <v>42246</v>
      </c>
      <c r="G148" s="92">
        <f>tbl_Reservoir[[#This Row],[Surface Water Area (km2)]]</f>
        <v>29.53</v>
      </c>
    </row>
    <row r="149" spans="2:7" x14ac:dyDescent="0.2">
      <c r="B149" t="s">
        <v>276</v>
      </c>
      <c r="C149">
        <v>30</v>
      </c>
      <c r="D149" s="83"/>
      <c r="E149" s="90">
        <f t="shared" si="3"/>
        <v>145</v>
      </c>
      <c r="F149" s="91">
        <f>LEFT(tbl_Reservoir[[#This Row],[time]],10)*1</f>
        <v>42254</v>
      </c>
      <c r="G149" s="92">
        <f>tbl_Reservoir[[#This Row],[Surface Water Area (km2)]]</f>
        <v>30</v>
      </c>
    </row>
    <row r="150" spans="2:7" x14ac:dyDescent="0.2">
      <c r="B150" t="s">
        <v>277</v>
      </c>
      <c r="C150">
        <v>28.94</v>
      </c>
      <c r="D150" s="83"/>
      <c r="E150" s="90">
        <f t="shared" si="3"/>
        <v>146</v>
      </c>
      <c r="F150" s="91">
        <f>LEFT(tbl_Reservoir[[#This Row],[time]],10)*1</f>
        <v>42262</v>
      </c>
      <c r="G150" s="92">
        <f>tbl_Reservoir[[#This Row],[Surface Water Area (km2)]]</f>
        <v>28.94</v>
      </c>
    </row>
    <row r="151" spans="2:7" x14ac:dyDescent="0.2">
      <c r="B151" t="s">
        <v>278</v>
      </c>
      <c r="C151">
        <v>27.82</v>
      </c>
      <c r="D151" s="83"/>
      <c r="E151" s="90">
        <f t="shared" si="3"/>
        <v>147</v>
      </c>
      <c r="F151" s="91">
        <f>LEFT(tbl_Reservoir[[#This Row],[time]],10)*1</f>
        <v>42270</v>
      </c>
      <c r="G151" s="92">
        <f>tbl_Reservoir[[#This Row],[Surface Water Area (km2)]]</f>
        <v>27.82</v>
      </c>
    </row>
    <row r="152" spans="2:7" x14ac:dyDescent="0.2">
      <c r="B152" t="s">
        <v>279</v>
      </c>
      <c r="C152">
        <v>26.54</v>
      </c>
      <c r="D152" s="83"/>
      <c r="E152" s="90">
        <f t="shared" si="3"/>
        <v>148</v>
      </c>
      <c r="F152" s="91">
        <f>LEFT(tbl_Reservoir[[#This Row],[time]],10)*1</f>
        <v>42278</v>
      </c>
      <c r="G152" s="92">
        <f>tbl_Reservoir[[#This Row],[Surface Water Area (km2)]]</f>
        <v>26.54</v>
      </c>
    </row>
    <row r="153" spans="2:7" x14ac:dyDescent="0.2">
      <c r="B153" t="s">
        <v>280</v>
      </c>
      <c r="C153">
        <v>25.94</v>
      </c>
      <c r="D153" s="83"/>
      <c r="E153" s="90">
        <f t="shared" si="3"/>
        <v>149</v>
      </c>
      <c r="F153" s="91">
        <f>LEFT(tbl_Reservoir[[#This Row],[time]],10)*1</f>
        <v>42286</v>
      </c>
      <c r="G153" s="92">
        <f>tbl_Reservoir[[#This Row],[Surface Water Area (km2)]]</f>
        <v>25.94</v>
      </c>
    </row>
    <row r="154" spans="2:7" x14ac:dyDescent="0.2">
      <c r="B154" t="s">
        <v>281</v>
      </c>
      <c r="C154">
        <v>25.19</v>
      </c>
      <c r="D154" s="83"/>
      <c r="E154" s="90">
        <f t="shared" si="3"/>
        <v>150</v>
      </c>
      <c r="F154" s="91">
        <f>LEFT(tbl_Reservoir[[#This Row],[time]],10)*1</f>
        <v>42294</v>
      </c>
      <c r="G154" s="92">
        <f>tbl_Reservoir[[#This Row],[Surface Water Area (km2)]]</f>
        <v>25.19</v>
      </c>
    </row>
    <row r="155" spans="2:7" x14ac:dyDescent="0.2">
      <c r="B155" t="s">
        <v>282</v>
      </c>
      <c r="C155">
        <v>25.99</v>
      </c>
      <c r="D155" s="83"/>
      <c r="E155" s="90">
        <f t="shared" si="3"/>
        <v>151</v>
      </c>
      <c r="F155" s="91">
        <f>LEFT(tbl_Reservoir[[#This Row],[time]],10)*1</f>
        <v>42302</v>
      </c>
      <c r="G155" s="92">
        <f>tbl_Reservoir[[#This Row],[Surface Water Area (km2)]]</f>
        <v>25.99</v>
      </c>
    </row>
    <row r="156" spans="2:7" x14ac:dyDescent="0.2">
      <c r="B156" t="s">
        <v>283</v>
      </c>
      <c r="C156">
        <v>25.18</v>
      </c>
      <c r="D156" s="83"/>
      <c r="E156" s="90">
        <f t="shared" si="3"/>
        <v>152</v>
      </c>
      <c r="F156" s="91">
        <f>LEFT(tbl_Reservoir[[#This Row],[time]],10)*1</f>
        <v>42310</v>
      </c>
      <c r="G156" s="92">
        <f>tbl_Reservoir[[#This Row],[Surface Water Area (km2)]]</f>
        <v>25.18</v>
      </c>
    </row>
    <row r="157" spans="2:7" x14ac:dyDescent="0.2">
      <c r="B157" t="s">
        <v>284</v>
      </c>
      <c r="C157">
        <v>23.9</v>
      </c>
      <c r="D157" s="83"/>
      <c r="E157" s="90">
        <f t="shared" si="3"/>
        <v>153</v>
      </c>
      <c r="F157" s="91">
        <f>LEFT(tbl_Reservoir[[#This Row],[time]],10)*1</f>
        <v>42326</v>
      </c>
      <c r="G157" s="92">
        <f>tbl_Reservoir[[#This Row],[Surface Water Area (km2)]]</f>
        <v>23.9</v>
      </c>
    </row>
    <row r="158" spans="2:7" x14ac:dyDescent="0.2">
      <c r="B158" t="s">
        <v>285</v>
      </c>
      <c r="C158">
        <v>23.83</v>
      </c>
      <c r="D158" s="83"/>
      <c r="E158" s="90">
        <f t="shared" si="3"/>
        <v>154</v>
      </c>
      <c r="F158" s="91">
        <f>LEFT(tbl_Reservoir[[#This Row],[time]],10)*1</f>
        <v>42334</v>
      </c>
      <c r="G158" s="92">
        <f>tbl_Reservoir[[#This Row],[Surface Water Area (km2)]]</f>
        <v>23.83</v>
      </c>
    </row>
    <row r="159" spans="2:7" x14ac:dyDescent="0.2">
      <c r="B159" t="s">
        <v>286</v>
      </c>
      <c r="C159">
        <v>23.67</v>
      </c>
      <c r="D159" s="83"/>
      <c r="E159" s="90">
        <f t="shared" si="3"/>
        <v>155</v>
      </c>
      <c r="F159" s="91">
        <f>LEFT(tbl_Reservoir[[#This Row],[time]],10)*1</f>
        <v>42350</v>
      </c>
      <c r="G159" s="92">
        <f>tbl_Reservoir[[#This Row],[Surface Water Area (km2)]]</f>
        <v>23.67</v>
      </c>
    </row>
    <row r="160" spans="2:7" x14ac:dyDescent="0.2">
      <c r="B160" t="s">
        <v>287</v>
      </c>
      <c r="C160">
        <v>23.62</v>
      </c>
      <c r="D160" s="83"/>
      <c r="E160" s="90">
        <f t="shared" si="3"/>
        <v>156</v>
      </c>
      <c r="F160" s="91">
        <f>LEFT(tbl_Reservoir[[#This Row],[time]],10)*1</f>
        <v>42358</v>
      </c>
      <c r="G160" s="92">
        <f>tbl_Reservoir[[#This Row],[Surface Water Area (km2)]]</f>
        <v>23.62</v>
      </c>
    </row>
    <row r="161" spans="2:7" x14ac:dyDescent="0.2">
      <c r="B161" t="s">
        <v>288</v>
      </c>
      <c r="C161">
        <v>22.17</v>
      </c>
      <c r="D161" s="83"/>
      <c r="E161" s="90">
        <f t="shared" si="3"/>
        <v>157</v>
      </c>
      <c r="F161" s="91">
        <f>LEFT(tbl_Reservoir[[#This Row],[time]],10)*1</f>
        <v>42382</v>
      </c>
      <c r="G161" s="92">
        <f>tbl_Reservoir[[#This Row],[Surface Water Area (km2)]]</f>
        <v>22.17</v>
      </c>
    </row>
    <row r="162" spans="2:7" x14ac:dyDescent="0.2">
      <c r="B162" t="s">
        <v>289</v>
      </c>
      <c r="C162">
        <v>22.06</v>
      </c>
      <c r="D162" s="83"/>
      <c r="E162" s="90">
        <f t="shared" si="3"/>
        <v>158</v>
      </c>
      <c r="F162" s="91">
        <f>LEFT(tbl_Reservoir[[#This Row],[time]],10)*1</f>
        <v>42390</v>
      </c>
      <c r="G162" s="92">
        <f>tbl_Reservoir[[#This Row],[Surface Water Area (km2)]]</f>
        <v>22.06</v>
      </c>
    </row>
    <row r="163" spans="2:7" x14ac:dyDescent="0.2">
      <c r="B163" t="s">
        <v>290</v>
      </c>
      <c r="C163">
        <v>21.88</v>
      </c>
      <c r="D163" s="83"/>
      <c r="E163" s="90">
        <f t="shared" si="3"/>
        <v>159</v>
      </c>
      <c r="F163" s="91">
        <f>LEFT(tbl_Reservoir[[#This Row],[time]],10)*1</f>
        <v>42406</v>
      </c>
      <c r="G163" s="92">
        <f>tbl_Reservoir[[#This Row],[Surface Water Area (km2)]]</f>
        <v>21.88</v>
      </c>
    </row>
    <row r="164" spans="2:7" x14ac:dyDescent="0.2">
      <c r="B164" t="s">
        <v>291</v>
      </c>
      <c r="C164">
        <v>20.57</v>
      </c>
      <c r="D164" s="83"/>
      <c r="E164" s="90">
        <f t="shared" si="3"/>
        <v>160</v>
      </c>
      <c r="F164" s="91">
        <f>LEFT(tbl_Reservoir[[#This Row],[time]],10)*1</f>
        <v>42414</v>
      </c>
      <c r="G164" s="92">
        <f>tbl_Reservoir[[#This Row],[Surface Water Area (km2)]]</f>
        <v>20.57</v>
      </c>
    </row>
    <row r="165" spans="2:7" x14ac:dyDescent="0.2">
      <c r="B165" t="s">
        <v>292</v>
      </c>
      <c r="C165">
        <v>20.99</v>
      </c>
      <c r="D165" s="83"/>
      <c r="E165" s="90">
        <f t="shared" si="3"/>
        <v>161</v>
      </c>
      <c r="F165" s="91">
        <f>LEFT(tbl_Reservoir[[#This Row],[time]],10)*1</f>
        <v>42422</v>
      </c>
      <c r="G165" s="92">
        <f>tbl_Reservoir[[#This Row],[Surface Water Area (km2)]]</f>
        <v>20.99</v>
      </c>
    </row>
    <row r="166" spans="2:7" x14ac:dyDescent="0.2">
      <c r="B166" t="s">
        <v>293</v>
      </c>
      <c r="C166">
        <v>31.81</v>
      </c>
      <c r="D166" s="83"/>
      <c r="E166" s="90">
        <f t="shared" si="3"/>
        <v>162</v>
      </c>
      <c r="F166" s="91">
        <f>LEFT(tbl_Reservoir[[#This Row],[time]],10)*1</f>
        <v>42440</v>
      </c>
      <c r="G166" s="92">
        <f>tbl_Reservoir[[#This Row],[Surface Water Area (km2)]]</f>
        <v>31.81</v>
      </c>
    </row>
    <row r="167" spans="2:7" x14ac:dyDescent="0.2">
      <c r="B167" t="s">
        <v>294</v>
      </c>
      <c r="C167">
        <v>43.09</v>
      </c>
      <c r="D167" s="83"/>
      <c r="E167" s="90">
        <f t="shared" si="3"/>
        <v>163</v>
      </c>
      <c r="F167" s="91">
        <f>LEFT(tbl_Reservoir[[#This Row],[time]],10)*1</f>
        <v>42446</v>
      </c>
      <c r="G167" s="92">
        <f>tbl_Reservoir[[#This Row],[Surface Water Area (km2)]]</f>
        <v>43.09</v>
      </c>
    </row>
    <row r="168" spans="2:7" x14ac:dyDescent="0.2">
      <c r="B168" t="s">
        <v>295</v>
      </c>
      <c r="C168">
        <v>42.1</v>
      </c>
      <c r="D168" s="83"/>
      <c r="E168" s="90">
        <f t="shared" si="3"/>
        <v>164</v>
      </c>
      <c r="F168" s="91">
        <f>LEFT(tbl_Reservoir[[#This Row],[time]],10)*1</f>
        <v>42454</v>
      </c>
      <c r="G168" s="92">
        <f>tbl_Reservoir[[#This Row],[Surface Water Area (km2)]]</f>
        <v>42.1</v>
      </c>
    </row>
    <row r="169" spans="2:7" x14ac:dyDescent="0.2">
      <c r="B169" t="s">
        <v>296</v>
      </c>
      <c r="C169">
        <v>40.33</v>
      </c>
      <c r="D169" s="83"/>
      <c r="E169" s="90">
        <f t="shared" si="3"/>
        <v>165</v>
      </c>
      <c r="F169" s="91">
        <f>LEFT(tbl_Reservoir[[#This Row],[time]],10)*1</f>
        <v>42470</v>
      </c>
      <c r="G169" s="92">
        <f>tbl_Reservoir[[#This Row],[Surface Water Area (km2)]]</f>
        <v>40.33</v>
      </c>
    </row>
    <row r="170" spans="2:7" x14ac:dyDescent="0.2">
      <c r="B170" t="s">
        <v>297</v>
      </c>
      <c r="C170">
        <v>40.74</v>
      </c>
      <c r="D170" s="83"/>
      <c r="E170" s="90">
        <f t="shared" si="3"/>
        <v>166</v>
      </c>
      <c r="F170" s="91">
        <f>LEFT(tbl_Reservoir[[#This Row],[time]],10)*1</f>
        <v>42470</v>
      </c>
      <c r="G170" s="92">
        <f>tbl_Reservoir[[#This Row],[Surface Water Area (km2)]]</f>
        <v>40.74</v>
      </c>
    </row>
    <row r="171" spans="2:7" x14ac:dyDescent="0.2">
      <c r="B171" t="s">
        <v>298</v>
      </c>
      <c r="C171">
        <v>40.28</v>
      </c>
      <c r="D171" s="83"/>
      <c r="E171" s="90">
        <f t="shared" si="3"/>
        <v>167</v>
      </c>
      <c r="F171" s="91">
        <f>LEFT(tbl_Reservoir[[#This Row],[time]],10)*1</f>
        <v>42478</v>
      </c>
      <c r="G171" s="92">
        <f>tbl_Reservoir[[#This Row],[Surface Water Area (km2)]]</f>
        <v>40.28</v>
      </c>
    </row>
    <row r="172" spans="2:7" x14ac:dyDescent="0.2">
      <c r="B172" t="s">
        <v>299</v>
      </c>
      <c r="C172">
        <v>38.76</v>
      </c>
      <c r="D172" s="83"/>
      <c r="E172" s="90">
        <f t="shared" si="3"/>
        <v>168</v>
      </c>
      <c r="F172" s="91">
        <f>LEFT(tbl_Reservoir[[#This Row],[time]],10)*1</f>
        <v>42486</v>
      </c>
      <c r="G172" s="92">
        <f>tbl_Reservoir[[#This Row],[Surface Water Area (km2)]]</f>
        <v>38.76</v>
      </c>
    </row>
    <row r="173" spans="2:7" x14ac:dyDescent="0.2">
      <c r="B173" t="s">
        <v>300</v>
      </c>
      <c r="C173">
        <v>37.799999999999997</v>
      </c>
      <c r="D173" s="83"/>
      <c r="E173" s="90">
        <f t="shared" si="3"/>
        <v>169</v>
      </c>
      <c r="F173" s="91">
        <f>LEFT(tbl_Reservoir[[#This Row],[time]],10)*1</f>
        <v>42494</v>
      </c>
      <c r="G173" s="92">
        <f>tbl_Reservoir[[#This Row],[Surface Water Area (km2)]]</f>
        <v>37.799999999999997</v>
      </c>
    </row>
    <row r="174" spans="2:7" x14ac:dyDescent="0.2">
      <c r="B174" t="s">
        <v>301</v>
      </c>
      <c r="C174">
        <v>36.340000000000003</v>
      </c>
      <c r="D174" s="83"/>
      <c r="E174" s="90">
        <f t="shared" si="3"/>
        <v>170</v>
      </c>
      <c r="F174" s="91">
        <f>LEFT(tbl_Reservoir[[#This Row],[time]],10)*1</f>
        <v>42502</v>
      </c>
      <c r="G174" s="92">
        <f>tbl_Reservoir[[#This Row],[Surface Water Area (km2)]]</f>
        <v>36.340000000000003</v>
      </c>
    </row>
    <row r="175" spans="2:7" x14ac:dyDescent="0.2">
      <c r="B175" t="s">
        <v>302</v>
      </c>
      <c r="C175">
        <v>35.67</v>
      </c>
      <c r="D175" s="83"/>
      <c r="E175" s="90">
        <f t="shared" si="3"/>
        <v>171</v>
      </c>
      <c r="F175" s="91">
        <f>LEFT(tbl_Reservoir[[#This Row],[time]],10)*1</f>
        <v>42510</v>
      </c>
      <c r="G175" s="92">
        <f>tbl_Reservoir[[#This Row],[Surface Water Area (km2)]]</f>
        <v>35.67</v>
      </c>
    </row>
    <row r="176" spans="2:7" x14ac:dyDescent="0.2">
      <c r="B176" t="s">
        <v>303</v>
      </c>
      <c r="C176">
        <v>36.18</v>
      </c>
      <c r="D176" s="83"/>
      <c r="E176" s="90">
        <f t="shared" si="3"/>
        <v>172</v>
      </c>
      <c r="F176" s="91">
        <f>LEFT(tbl_Reservoir[[#This Row],[time]],10)*1</f>
        <v>42510</v>
      </c>
      <c r="G176" s="92">
        <f>tbl_Reservoir[[#This Row],[Surface Water Area (km2)]]</f>
        <v>36.18</v>
      </c>
    </row>
    <row r="177" spans="2:7" x14ac:dyDescent="0.2">
      <c r="B177" t="s">
        <v>304</v>
      </c>
      <c r="C177">
        <v>35.99</v>
      </c>
      <c r="D177" s="83"/>
      <c r="E177" s="90">
        <f t="shared" si="3"/>
        <v>173</v>
      </c>
      <c r="F177" s="91">
        <f>LEFT(tbl_Reservoir[[#This Row],[time]],10)*1</f>
        <v>42518</v>
      </c>
      <c r="G177" s="92">
        <f>tbl_Reservoir[[#This Row],[Surface Water Area (km2)]]</f>
        <v>35.99</v>
      </c>
    </row>
    <row r="178" spans="2:7" x14ac:dyDescent="0.2">
      <c r="B178" t="s">
        <v>305</v>
      </c>
      <c r="C178">
        <v>33.950000000000003</v>
      </c>
      <c r="D178" s="83"/>
      <c r="E178" s="90">
        <f t="shared" si="3"/>
        <v>174</v>
      </c>
      <c r="F178" s="91">
        <f>LEFT(tbl_Reservoir[[#This Row],[time]],10)*1</f>
        <v>42526</v>
      </c>
      <c r="G178" s="92">
        <f>tbl_Reservoir[[#This Row],[Surface Water Area (km2)]]</f>
        <v>33.950000000000003</v>
      </c>
    </row>
    <row r="179" spans="2:7" x14ac:dyDescent="0.2">
      <c r="B179" t="s">
        <v>306</v>
      </c>
      <c r="C179">
        <v>33.29</v>
      </c>
      <c r="D179" s="83"/>
      <c r="E179" s="90">
        <f t="shared" si="3"/>
        <v>175</v>
      </c>
      <c r="F179" s="91">
        <f>LEFT(tbl_Reservoir[[#This Row],[time]],10)*1</f>
        <v>42530</v>
      </c>
      <c r="G179" s="92">
        <f>tbl_Reservoir[[#This Row],[Surface Water Area (km2)]]</f>
        <v>33.29</v>
      </c>
    </row>
    <row r="180" spans="2:7" x14ac:dyDescent="0.2">
      <c r="B180" t="s">
        <v>307</v>
      </c>
      <c r="C180">
        <v>32.83</v>
      </c>
      <c r="D180" s="83"/>
      <c r="E180" s="90">
        <f t="shared" si="3"/>
        <v>176</v>
      </c>
      <c r="F180" s="91">
        <f>LEFT(tbl_Reservoir[[#This Row],[time]],10)*1</f>
        <v>42534</v>
      </c>
      <c r="G180" s="92">
        <f>tbl_Reservoir[[#This Row],[Surface Water Area (km2)]]</f>
        <v>32.83</v>
      </c>
    </row>
    <row r="181" spans="2:7" x14ac:dyDescent="0.2">
      <c r="B181" t="s">
        <v>308</v>
      </c>
      <c r="C181">
        <v>32.58</v>
      </c>
      <c r="D181" s="83"/>
      <c r="E181" s="90">
        <f t="shared" si="3"/>
        <v>177</v>
      </c>
      <c r="F181" s="91">
        <f>LEFT(tbl_Reservoir[[#This Row],[time]],10)*1</f>
        <v>42542</v>
      </c>
      <c r="G181" s="92">
        <f>tbl_Reservoir[[#This Row],[Surface Water Area (km2)]]</f>
        <v>32.58</v>
      </c>
    </row>
    <row r="182" spans="2:7" x14ac:dyDescent="0.2">
      <c r="B182" t="s">
        <v>309</v>
      </c>
      <c r="C182">
        <v>35.729999999999997</v>
      </c>
      <c r="D182" s="83"/>
      <c r="E182" s="90">
        <f t="shared" si="3"/>
        <v>178</v>
      </c>
      <c r="F182" s="91">
        <f>LEFT(tbl_Reservoir[[#This Row],[time]],10)*1</f>
        <v>42558</v>
      </c>
      <c r="G182" s="92">
        <f>tbl_Reservoir[[#This Row],[Surface Water Area (km2)]]</f>
        <v>35.729999999999997</v>
      </c>
    </row>
    <row r="183" spans="2:7" x14ac:dyDescent="0.2">
      <c r="B183" t="s">
        <v>310</v>
      </c>
      <c r="C183">
        <v>35.64</v>
      </c>
      <c r="D183" s="83"/>
      <c r="E183" s="90">
        <f t="shared" si="3"/>
        <v>179</v>
      </c>
      <c r="F183" s="91">
        <f>LEFT(tbl_Reservoir[[#This Row],[time]],10)*1</f>
        <v>42566</v>
      </c>
      <c r="G183" s="92">
        <f>tbl_Reservoir[[#This Row],[Surface Water Area (km2)]]</f>
        <v>35.64</v>
      </c>
    </row>
    <row r="184" spans="2:7" x14ac:dyDescent="0.2">
      <c r="B184" t="s">
        <v>311</v>
      </c>
      <c r="C184">
        <v>32.78</v>
      </c>
      <c r="D184" s="83"/>
      <c r="E184" s="90">
        <f t="shared" si="3"/>
        <v>180</v>
      </c>
      <c r="F184" s="91">
        <f>LEFT(tbl_Reservoir[[#This Row],[time]],10)*1</f>
        <v>42582</v>
      </c>
      <c r="G184" s="92">
        <f>tbl_Reservoir[[#This Row],[Surface Water Area (km2)]]</f>
        <v>32.78</v>
      </c>
    </row>
    <row r="185" spans="2:7" x14ac:dyDescent="0.2">
      <c r="B185" t="s">
        <v>312</v>
      </c>
      <c r="C185">
        <v>30.91</v>
      </c>
      <c r="D185" s="83"/>
      <c r="E185" s="90">
        <f t="shared" si="3"/>
        <v>181</v>
      </c>
      <c r="F185" s="91">
        <f>LEFT(tbl_Reservoir[[#This Row],[time]],10)*1</f>
        <v>42598</v>
      </c>
      <c r="G185" s="92">
        <f>tbl_Reservoir[[#This Row],[Surface Water Area (km2)]]</f>
        <v>30.91</v>
      </c>
    </row>
    <row r="186" spans="2:7" x14ac:dyDescent="0.2">
      <c r="B186" t="s">
        <v>313</v>
      </c>
      <c r="C186">
        <v>30.82</v>
      </c>
      <c r="D186" s="83"/>
      <c r="E186" s="90">
        <f t="shared" si="3"/>
        <v>182</v>
      </c>
      <c r="F186" s="91">
        <f>LEFT(tbl_Reservoir[[#This Row],[time]],10)*1</f>
        <v>42606</v>
      </c>
      <c r="G186" s="92">
        <f>tbl_Reservoir[[#This Row],[Surface Water Area (km2)]]</f>
        <v>30.82</v>
      </c>
    </row>
    <row r="187" spans="2:7" x14ac:dyDescent="0.2">
      <c r="B187" t="s">
        <v>314</v>
      </c>
      <c r="C187">
        <v>30.13</v>
      </c>
      <c r="D187" s="83"/>
      <c r="E187" s="90">
        <f t="shared" si="3"/>
        <v>183</v>
      </c>
      <c r="F187" s="91">
        <f>LEFT(tbl_Reservoir[[#This Row],[time]],10)*1</f>
        <v>42610</v>
      </c>
      <c r="G187" s="92">
        <f>tbl_Reservoir[[#This Row],[Surface Water Area (km2)]]</f>
        <v>30.13</v>
      </c>
    </row>
    <row r="188" spans="2:7" x14ac:dyDescent="0.2">
      <c r="B188" t="s">
        <v>315</v>
      </c>
      <c r="C188">
        <v>29.9</v>
      </c>
      <c r="D188" s="83"/>
      <c r="E188" s="90">
        <f t="shared" si="3"/>
        <v>184</v>
      </c>
      <c r="F188" s="91">
        <f>LEFT(tbl_Reservoir[[#This Row],[time]],10)*1</f>
        <v>42614</v>
      </c>
      <c r="G188" s="92">
        <f>tbl_Reservoir[[#This Row],[Surface Water Area (km2)]]</f>
        <v>29.9</v>
      </c>
    </row>
    <row r="189" spans="2:7" x14ac:dyDescent="0.2">
      <c r="B189" t="s">
        <v>316</v>
      </c>
      <c r="C189">
        <v>29.67</v>
      </c>
      <c r="D189" s="83"/>
      <c r="E189" s="90">
        <f t="shared" si="3"/>
        <v>185</v>
      </c>
      <c r="F189" s="91">
        <f>LEFT(tbl_Reservoir[[#This Row],[time]],10)*1</f>
        <v>42622</v>
      </c>
      <c r="G189" s="92">
        <f>tbl_Reservoir[[#This Row],[Surface Water Area (km2)]]</f>
        <v>29.67</v>
      </c>
    </row>
    <row r="190" spans="2:7" x14ac:dyDescent="0.2">
      <c r="B190" t="s">
        <v>317</v>
      </c>
      <c r="C190">
        <v>28.05</v>
      </c>
      <c r="D190" s="83"/>
      <c r="E190" s="90">
        <f t="shared" si="3"/>
        <v>186</v>
      </c>
      <c r="F190" s="91">
        <f>LEFT(tbl_Reservoir[[#This Row],[time]],10)*1</f>
        <v>42638</v>
      </c>
      <c r="G190" s="92">
        <f>tbl_Reservoir[[#This Row],[Surface Water Area (km2)]]</f>
        <v>28.05</v>
      </c>
    </row>
    <row r="191" spans="2:7" x14ac:dyDescent="0.2">
      <c r="B191" t="s">
        <v>318</v>
      </c>
      <c r="C191">
        <v>27.02</v>
      </c>
      <c r="D191" s="83"/>
      <c r="E191" s="90">
        <f t="shared" si="3"/>
        <v>187</v>
      </c>
      <c r="F191" s="91">
        <f>LEFT(tbl_Reservoir[[#This Row],[time]],10)*1</f>
        <v>42650</v>
      </c>
      <c r="G191" s="92">
        <f>tbl_Reservoir[[#This Row],[Surface Water Area (km2)]]</f>
        <v>27.02</v>
      </c>
    </row>
    <row r="192" spans="2:7" x14ac:dyDescent="0.2">
      <c r="B192" t="s">
        <v>319</v>
      </c>
      <c r="C192">
        <v>26.68</v>
      </c>
      <c r="D192" s="83"/>
      <c r="E192" s="90">
        <f t="shared" si="3"/>
        <v>188</v>
      </c>
      <c r="F192" s="91">
        <f>LEFT(tbl_Reservoir[[#This Row],[time]],10)*1</f>
        <v>42654</v>
      </c>
      <c r="G192" s="92">
        <f>tbl_Reservoir[[#This Row],[Surface Water Area (km2)]]</f>
        <v>26.68</v>
      </c>
    </row>
    <row r="193" spans="2:7" x14ac:dyDescent="0.2">
      <c r="B193" t="s">
        <v>320</v>
      </c>
      <c r="C193">
        <v>26.09</v>
      </c>
      <c r="D193" s="83"/>
      <c r="E193" s="90">
        <f t="shared" si="3"/>
        <v>189</v>
      </c>
      <c r="F193" s="91">
        <f>LEFT(tbl_Reservoir[[#This Row],[time]],10)*1</f>
        <v>42662</v>
      </c>
      <c r="G193" s="92">
        <f>tbl_Reservoir[[#This Row],[Surface Water Area (km2)]]</f>
        <v>26.09</v>
      </c>
    </row>
    <row r="194" spans="2:7" x14ac:dyDescent="0.2">
      <c r="B194" t="s">
        <v>321</v>
      </c>
      <c r="C194">
        <v>25.93</v>
      </c>
      <c r="D194" s="83"/>
      <c r="E194" s="90">
        <f t="shared" si="3"/>
        <v>190</v>
      </c>
      <c r="F194" s="91">
        <f>LEFT(tbl_Reservoir[[#This Row],[time]],10)*1</f>
        <v>42670</v>
      </c>
      <c r="G194" s="92">
        <f>tbl_Reservoir[[#This Row],[Surface Water Area (km2)]]</f>
        <v>25.93</v>
      </c>
    </row>
    <row r="195" spans="2:7" x14ac:dyDescent="0.2">
      <c r="B195" t="s">
        <v>322</v>
      </c>
      <c r="C195">
        <v>25.94</v>
      </c>
      <c r="D195" s="83"/>
      <c r="E195" s="90">
        <f t="shared" si="3"/>
        <v>191</v>
      </c>
      <c r="F195" s="91">
        <f>LEFT(tbl_Reservoir[[#This Row],[time]],10)*1</f>
        <v>42670</v>
      </c>
      <c r="G195" s="92">
        <f>tbl_Reservoir[[#This Row],[Surface Water Area (km2)]]</f>
        <v>25.94</v>
      </c>
    </row>
    <row r="196" spans="2:7" x14ac:dyDescent="0.2">
      <c r="B196" t="s">
        <v>323</v>
      </c>
      <c r="C196">
        <v>26.45</v>
      </c>
      <c r="D196" s="83"/>
      <c r="E196" s="90">
        <f t="shared" si="3"/>
        <v>192</v>
      </c>
      <c r="F196" s="91">
        <f>LEFT(tbl_Reservoir[[#This Row],[time]],10)*1</f>
        <v>42678</v>
      </c>
      <c r="G196" s="92">
        <f>tbl_Reservoir[[#This Row],[Surface Water Area (km2)]]</f>
        <v>26.45</v>
      </c>
    </row>
    <row r="197" spans="2:7" x14ac:dyDescent="0.2">
      <c r="B197" t="s">
        <v>324</v>
      </c>
      <c r="C197">
        <v>24.73</v>
      </c>
      <c r="D197" s="83"/>
      <c r="E197" s="90">
        <f t="shared" si="3"/>
        <v>193</v>
      </c>
      <c r="F197" s="91">
        <f>LEFT(tbl_Reservoir[[#This Row],[time]],10)*1</f>
        <v>42686</v>
      </c>
      <c r="G197" s="92">
        <f>tbl_Reservoir[[#This Row],[Surface Water Area (km2)]]</f>
        <v>24.73</v>
      </c>
    </row>
    <row r="198" spans="2:7" x14ac:dyDescent="0.2">
      <c r="B198" t="s">
        <v>325</v>
      </c>
      <c r="C198">
        <v>24.14</v>
      </c>
      <c r="D198" s="83"/>
      <c r="E198" s="90">
        <f t="shared" ref="E198:E261" si="4">ROW()-4</f>
        <v>194</v>
      </c>
      <c r="F198" s="91">
        <f>LEFT(tbl_Reservoir[[#This Row],[time]],10)*1</f>
        <v>42690</v>
      </c>
      <c r="G198" s="92">
        <f>tbl_Reservoir[[#This Row],[Surface Water Area (km2)]]</f>
        <v>24.14</v>
      </c>
    </row>
    <row r="199" spans="2:7" x14ac:dyDescent="0.2">
      <c r="B199" t="s">
        <v>326</v>
      </c>
      <c r="C199">
        <v>24.48</v>
      </c>
      <c r="D199" s="83"/>
      <c r="E199" s="90">
        <f t="shared" si="4"/>
        <v>195</v>
      </c>
      <c r="F199" s="91">
        <f>LEFT(tbl_Reservoir[[#This Row],[time]],10)*1</f>
        <v>42694</v>
      </c>
      <c r="G199" s="92">
        <f>tbl_Reservoir[[#This Row],[Surface Water Area (km2)]]</f>
        <v>24.48</v>
      </c>
    </row>
    <row r="200" spans="2:7" x14ac:dyDescent="0.2">
      <c r="B200" t="s">
        <v>327</v>
      </c>
      <c r="C200">
        <v>23.98</v>
      </c>
      <c r="D200" s="83"/>
      <c r="E200" s="90">
        <f t="shared" si="4"/>
        <v>196</v>
      </c>
      <c r="F200" s="91">
        <f>LEFT(tbl_Reservoir[[#This Row],[time]],10)*1</f>
        <v>42700</v>
      </c>
      <c r="G200" s="92">
        <f>tbl_Reservoir[[#This Row],[Surface Water Area (km2)]]</f>
        <v>23.98</v>
      </c>
    </row>
    <row r="201" spans="2:7" x14ac:dyDescent="0.2">
      <c r="B201" t="s">
        <v>328</v>
      </c>
      <c r="C201">
        <v>23.96</v>
      </c>
      <c r="D201" s="83"/>
      <c r="E201" s="90">
        <f t="shared" si="4"/>
        <v>197</v>
      </c>
      <c r="F201" s="91">
        <f>LEFT(tbl_Reservoir[[#This Row],[time]],10)*1</f>
        <v>42702</v>
      </c>
      <c r="G201" s="92">
        <f>tbl_Reservoir[[#This Row],[Surface Water Area (km2)]]</f>
        <v>23.96</v>
      </c>
    </row>
    <row r="202" spans="2:7" x14ac:dyDescent="0.2">
      <c r="B202" t="s">
        <v>329</v>
      </c>
      <c r="C202">
        <v>24.44</v>
      </c>
      <c r="D202" s="83"/>
      <c r="E202" s="90">
        <f t="shared" si="4"/>
        <v>198</v>
      </c>
      <c r="F202" s="91">
        <f>LEFT(tbl_Reservoir[[#This Row],[time]],10)*1</f>
        <v>42710</v>
      </c>
      <c r="G202" s="92">
        <f>tbl_Reservoir[[#This Row],[Surface Water Area (km2)]]</f>
        <v>24.44</v>
      </c>
    </row>
    <row r="203" spans="2:7" x14ac:dyDescent="0.2">
      <c r="B203" t="s">
        <v>330</v>
      </c>
      <c r="C203">
        <v>23.9</v>
      </c>
      <c r="D203" s="83"/>
      <c r="E203" s="90">
        <f t="shared" si="4"/>
        <v>199</v>
      </c>
      <c r="F203" s="91">
        <f>LEFT(tbl_Reservoir[[#This Row],[time]],10)*1</f>
        <v>42710</v>
      </c>
      <c r="G203" s="92">
        <f>tbl_Reservoir[[#This Row],[Surface Water Area (km2)]]</f>
        <v>23.9</v>
      </c>
    </row>
    <row r="204" spans="2:7" x14ac:dyDescent="0.2">
      <c r="B204" t="s">
        <v>331</v>
      </c>
      <c r="C204">
        <v>23.83</v>
      </c>
      <c r="D204" s="83"/>
      <c r="E204" s="90">
        <f t="shared" si="4"/>
        <v>200</v>
      </c>
      <c r="F204" s="91">
        <f>LEFT(tbl_Reservoir[[#This Row],[time]],10)*1</f>
        <v>42718</v>
      </c>
      <c r="G204" s="92">
        <f>tbl_Reservoir[[#This Row],[Surface Water Area (km2)]]</f>
        <v>23.83</v>
      </c>
    </row>
    <row r="205" spans="2:7" x14ac:dyDescent="0.2">
      <c r="B205" t="s">
        <v>332</v>
      </c>
      <c r="C205">
        <v>24.39</v>
      </c>
      <c r="D205" s="83"/>
      <c r="E205" s="90">
        <f t="shared" si="4"/>
        <v>201</v>
      </c>
      <c r="F205" s="91">
        <f>LEFT(tbl_Reservoir[[#This Row],[time]],10)*1</f>
        <v>42726</v>
      </c>
      <c r="G205" s="92">
        <f>tbl_Reservoir[[#This Row],[Surface Water Area (km2)]]</f>
        <v>24.39</v>
      </c>
    </row>
    <row r="206" spans="2:7" x14ac:dyDescent="0.2">
      <c r="B206" t="s">
        <v>333</v>
      </c>
      <c r="C206">
        <v>23.63</v>
      </c>
      <c r="D206" s="83"/>
      <c r="E206" s="90">
        <f t="shared" si="4"/>
        <v>202</v>
      </c>
      <c r="F206" s="91">
        <f>LEFT(tbl_Reservoir[[#This Row],[time]],10)*1</f>
        <v>42730</v>
      </c>
      <c r="G206" s="92">
        <f>tbl_Reservoir[[#This Row],[Surface Water Area (km2)]]</f>
        <v>23.63</v>
      </c>
    </row>
    <row r="207" spans="2:7" x14ac:dyDescent="0.2">
      <c r="B207" t="s">
        <v>334</v>
      </c>
      <c r="C207">
        <v>23.69</v>
      </c>
      <c r="D207" s="83"/>
      <c r="E207" s="90">
        <f t="shared" si="4"/>
        <v>203</v>
      </c>
      <c r="F207" s="91">
        <f>LEFT(tbl_Reservoir[[#This Row],[time]],10)*1</f>
        <v>42734</v>
      </c>
      <c r="G207" s="92">
        <f>tbl_Reservoir[[#This Row],[Surface Water Area (km2)]]</f>
        <v>23.69</v>
      </c>
    </row>
    <row r="208" spans="2:7" x14ac:dyDescent="0.2">
      <c r="B208" t="s">
        <v>335</v>
      </c>
      <c r="C208">
        <v>24.61</v>
      </c>
      <c r="D208" s="83"/>
      <c r="E208" s="90">
        <f t="shared" si="4"/>
        <v>204</v>
      </c>
      <c r="F208" s="91">
        <f>LEFT(tbl_Reservoir[[#This Row],[time]],10)*1</f>
        <v>42740</v>
      </c>
      <c r="G208" s="92">
        <f>tbl_Reservoir[[#This Row],[Surface Water Area (km2)]]</f>
        <v>24.61</v>
      </c>
    </row>
    <row r="209" spans="2:7" x14ac:dyDescent="0.2">
      <c r="B209" t="s">
        <v>336</v>
      </c>
      <c r="C209">
        <v>23.48</v>
      </c>
      <c r="D209" s="83"/>
      <c r="E209" s="90">
        <f t="shared" si="4"/>
        <v>205</v>
      </c>
      <c r="F209" s="91">
        <f>LEFT(tbl_Reservoir[[#This Row],[time]],10)*1</f>
        <v>42742</v>
      </c>
      <c r="G209" s="92">
        <f>tbl_Reservoir[[#This Row],[Surface Water Area (km2)]]</f>
        <v>23.48</v>
      </c>
    </row>
    <row r="210" spans="2:7" x14ac:dyDescent="0.2">
      <c r="B210" t="s">
        <v>337</v>
      </c>
      <c r="C210">
        <v>23.67</v>
      </c>
      <c r="D210" s="83"/>
      <c r="E210" s="90">
        <f t="shared" si="4"/>
        <v>206</v>
      </c>
      <c r="F210" s="91">
        <f>LEFT(tbl_Reservoir[[#This Row],[time]],10)*1</f>
        <v>42750</v>
      </c>
      <c r="G210" s="92">
        <f>tbl_Reservoir[[#This Row],[Surface Water Area (km2)]]</f>
        <v>23.67</v>
      </c>
    </row>
    <row r="211" spans="2:7" x14ac:dyDescent="0.2">
      <c r="B211" t="s">
        <v>338</v>
      </c>
      <c r="C211">
        <v>22.45</v>
      </c>
      <c r="D211" s="83"/>
      <c r="E211" s="90">
        <f t="shared" si="4"/>
        <v>207</v>
      </c>
      <c r="F211" s="91">
        <f>LEFT(tbl_Reservoir[[#This Row],[time]],10)*1</f>
        <v>42750</v>
      </c>
      <c r="G211" s="92">
        <f>tbl_Reservoir[[#This Row],[Surface Water Area (km2)]]</f>
        <v>22.45</v>
      </c>
    </row>
    <row r="212" spans="2:7" x14ac:dyDescent="0.2">
      <c r="B212" t="s">
        <v>339</v>
      </c>
      <c r="C212">
        <v>23.88</v>
      </c>
      <c r="D212" s="83"/>
      <c r="E212" s="90">
        <f t="shared" si="4"/>
        <v>208</v>
      </c>
      <c r="F212" s="91">
        <f>LEFT(tbl_Reservoir[[#This Row],[time]],10)*1</f>
        <v>42766</v>
      </c>
      <c r="G212" s="92">
        <f>tbl_Reservoir[[#This Row],[Surface Water Area (km2)]]</f>
        <v>23.88</v>
      </c>
    </row>
    <row r="213" spans="2:7" x14ac:dyDescent="0.2">
      <c r="B213" t="s">
        <v>340</v>
      </c>
      <c r="C213">
        <v>23.79</v>
      </c>
      <c r="D213" s="83"/>
      <c r="E213" s="90">
        <f t="shared" si="4"/>
        <v>209</v>
      </c>
      <c r="F213" s="91">
        <f>LEFT(tbl_Reservoir[[#This Row],[time]],10)*1</f>
        <v>42770</v>
      </c>
      <c r="G213" s="92">
        <f>tbl_Reservoir[[#This Row],[Surface Water Area (km2)]]</f>
        <v>23.79</v>
      </c>
    </row>
    <row r="214" spans="2:7" x14ac:dyDescent="0.2">
      <c r="B214" t="s">
        <v>341</v>
      </c>
      <c r="C214">
        <v>23.54</v>
      </c>
      <c r="D214" s="83"/>
      <c r="E214" s="90">
        <f t="shared" si="4"/>
        <v>210</v>
      </c>
      <c r="F214" s="91">
        <f>LEFT(tbl_Reservoir[[#This Row],[time]],10)*1</f>
        <v>42782</v>
      </c>
      <c r="G214" s="92">
        <f>tbl_Reservoir[[#This Row],[Surface Water Area (km2)]]</f>
        <v>23.54</v>
      </c>
    </row>
    <row r="215" spans="2:7" x14ac:dyDescent="0.2">
      <c r="B215" t="s">
        <v>342</v>
      </c>
      <c r="C215">
        <v>22.06</v>
      </c>
      <c r="D215" s="83"/>
      <c r="E215" s="90">
        <f t="shared" si="4"/>
        <v>211</v>
      </c>
      <c r="F215" s="91">
        <f>LEFT(tbl_Reservoir[[#This Row],[time]],10)*1</f>
        <v>42790</v>
      </c>
      <c r="G215" s="92">
        <f>tbl_Reservoir[[#This Row],[Surface Water Area (km2)]]</f>
        <v>22.06</v>
      </c>
    </row>
    <row r="216" spans="2:7" x14ac:dyDescent="0.2">
      <c r="B216" t="s">
        <v>343</v>
      </c>
      <c r="C216">
        <v>22.03</v>
      </c>
      <c r="D216" s="83"/>
      <c r="E216" s="90">
        <f t="shared" si="4"/>
        <v>212</v>
      </c>
      <c r="F216" s="91">
        <f>LEFT(tbl_Reservoir[[#This Row],[time]],10)*1</f>
        <v>42798</v>
      </c>
      <c r="G216" s="92">
        <f>tbl_Reservoir[[#This Row],[Surface Water Area (km2)]]</f>
        <v>22.03</v>
      </c>
    </row>
    <row r="217" spans="2:7" x14ac:dyDescent="0.2">
      <c r="B217" t="s">
        <v>344</v>
      </c>
      <c r="C217">
        <v>22.06</v>
      </c>
      <c r="D217" s="83"/>
      <c r="E217" s="90">
        <f t="shared" si="4"/>
        <v>213</v>
      </c>
      <c r="F217" s="91">
        <f>LEFT(tbl_Reservoir[[#This Row],[time]],10)*1</f>
        <v>42800</v>
      </c>
      <c r="G217" s="92">
        <f>tbl_Reservoir[[#This Row],[Surface Water Area (km2)]]</f>
        <v>22.06</v>
      </c>
    </row>
    <row r="218" spans="2:7" x14ac:dyDescent="0.2">
      <c r="B218" t="s">
        <v>345</v>
      </c>
      <c r="C218">
        <v>23.89</v>
      </c>
      <c r="D218" s="83"/>
      <c r="E218" s="90">
        <f t="shared" si="4"/>
        <v>214</v>
      </c>
      <c r="F218" s="91">
        <f>LEFT(tbl_Reservoir[[#This Row],[time]],10)*1</f>
        <v>42814</v>
      </c>
      <c r="G218" s="92">
        <f>tbl_Reservoir[[#This Row],[Surface Water Area (km2)]]</f>
        <v>23.89</v>
      </c>
    </row>
    <row r="219" spans="2:7" x14ac:dyDescent="0.2">
      <c r="B219" t="s">
        <v>346</v>
      </c>
      <c r="C219">
        <v>23.77</v>
      </c>
      <c r="D219" s="83"/>
      <c r="E219" s="90">
        <f t="shared" si="4"/>
        <v>215</v>
      </c>
      <c r="F219" s="91">
        <f>LEFT(tbl_Reservoir[[#This Row],[time]],10)*1</f>
        <v>42820</v>
      </c>
      <c r="G219" s="92">
        <f>tbl_Reservoir[[#This Row],[Surface Water Area (km2)]]</f>
        <v>23.77</v>
      </c>
    </row>
    <row r="220" spans="2:7" x14ac:dyDescent="0.2">
      <c r="B220" t="s">
        <v>347</v>
      </c>
      <c r="C220">
        <v>23.44</v>
      </c>
      <c r="D220" s="83"/>
      <c r="E220" s="90">
        <f t="shared" si="4"/>
        <v>216</v>
      </c>
      <c r="F220" s="91">
        <f>LEFT(tbl_Reservoir[[#This Row],[time]],10)*1</f>
        <v>42822</v>
      </c>
      <c r="G220" s="92">
        <f>tbl_Reservoir[[#This Row],[Surface Water Area (km2)]]</f>
        <v>23.44</v>
      </c>
    </row>
    <row r="221" spans="2:7" x14ac:dyDescent="0.2">
      <c r="B221" t="s">
        <v>348</v>
      </c>
      <c r="C221">
        <v>22.2</v>
      </c>
      <c r="D221" s="83"/>
      <c r="E221" s="90">
        <f t="shared" si="4"/>
        <v>217</v>
      </c>
      <c r="F221" s="91">
        <f>LEFT(tbl_Reservoir[[#This Row],[time]],10)*1</f>
        <v>42830</v>
      </c>
      <c r="G221" s="92">
        <f>tbl_Reservoir[[#This Row],[Surface Water Area (km2)]]</f>
        <v>22.2</v>
      </c>
    </row>
    <row r="222" spans="2:7" x14ac:dyDescent="0.2">
      <c r="B222" t="s">
        <v>349</v>
      </c>
      <c r="C222">
        <v>21.93</v>
      </c>
      <c r="D222" s="83"/>
      <c r="E222" s="90">
        <f t="shared" si="4"/>
        <v>218</v>
      </c>
      <c r="F222" s="91">
        <f>LEFT(tbl_Reservoir[[#This Row],[time]],10)*1</f>
        <v>42838</v>
      </c>
      <c r="G222" s="92">
        <f>tbl_Reservoir[[#This Row],[Surface Water Area (km2)]]</f>
        <v>21.93</v>
      </c>
    </row>
    <row r="223" spans="2:7" x14ac:dyDescent="0.2">
      <c r="B223" t="s">
        <v>350</v>
      </c>
      <c r="C223">
        <v>22.06</v>
      </c>
      <c r="D223" s="83"/>
      <c r="E223" s="90">
        <f t="shared" si="4"/>
        <v>219</v>
      </c>
      <c r="F223" s="91">
        <f>LEFT(tbl_Reservoir[[#This Row],[time]],10)*1</f>
        <v>42840</v>
      </c>
      <c r="G223" s="92">
        <f>tbl_Reservoir[[#This Row],[Surface Water Area (km2)]]</f>
        <v>22.06</v>
      </c>
    </row>
    <row r="224" spans="2:7" x14ac:dyDescent="0.2">
      <c r="B224" t="s">
        <v>351</v>
      </c>
      <c r="C224">
        <v>21.94</v>
      </c>
      <c r="D224" s="83"/>
      <c r="E224" s="90">
        <f t="shared" si="4"/>
        <v>220</v>
      </c>
      <c r="F224" s="91">
        <f>LEFT(tbl_Reservoir[[#This Row],[time]],10)*1</f>
        <v>42846</v>
      </c>
      <c r="G224" s="92">
        <f>tbl_Reservoir[[#This Row],[Surface Water Area (km2)]]</f>
        <v>21.94</v>
      </c>
    </row>
    <row r="225" spans="2:7" x14ac:dyDescent="0.2">
      <c r="B225" t="s">
        <v>352</v>
      </c>
      <c r="C225">
        <v>21.09</v>
      </c>
      <c r="D225" s="83"/>
      <c r="E225" s="90">
        <f t="shared" si="4"/>
        <v>221</v>
      </c>
      <c r="F225" s="91">
        <f>LEFT(tbl_Reservoir[[#This Row],[time]],10)*1</f>
        <v>42854</v>
      </c>
      <c r="G225" s="92">
        <f>tbl_Reservoir[[#This Row],[Surface Water Area (km2)]]</f>
        <v>21.09</v>
      </c>
    </row>
    <row r="226" spans="2:7" x14ac:dyDescent="0.2">
      <c r="B226" t="s">
        <v>353</v>
      </c>
      <c r="C226">
        <v>20.71</v>
      </c>
      <c r="D226" s="83"/>
      <c r="E226" s="90">
        <f t="shared" si="4"/>
        <v>222</v>
      </c>
      <c r="F226" s="91">
        <f>LEFT(tbl_Reservoir[[#This Row],[time]],10)*1</f>
        <v>42860</v>
      </c>
      <c r="G226" s="92">
        <f>tbl_Reservoir[[#This Row],[Surface Water Area (km2)]]</f>
        <v>20.71</v>
      </c>
    </row>
    <row r="227" spans="2:7" x14ac:dyDescent="0.2">
      <c r="B227" t="s">
        <v>354</v>
      </c>
      <c r="C227">
        <v>20.51</v>
      </c>
      <c r="D227" s="83"/>
      <c r="E227" s="90">
        <f t="shared" si="4"/>
        <v>223</v>
      </c>
      <c r="F227" s="91">
        <f>LEFT(tbl_Reservoir[[#This Row],[time]],10)*1</f>
        <v>42862</v>
      </c>
      <c r="G227" s="92">
        <f>tbl_Reservoir[[#This Row],[Surface Water Area (km2)]]</f>
        <v>20.51</v>
      </c>
    </row>
    <row r="228" spans="2:7" x14ac:dyDescent="0.2">
      <c r="B228" t="s">
        <v>355</v>
      </c>
      <c r="C228">
        <v>23.69</v>
      </c>
      <c r="D228" s="83"/>
      <c r="E228" s="90">
        <f t="shared" si="4"/>
        <v>224</v>
      </c>
      <c r="F228" s="91">
        <f>LEFT(tbl_Reservoir[[#This Row],[time]],10)*1</f>
        <v>42870</v>
      </c>
      <c r="G228" s="92">
        <f>tbl_Reservoir[[#This Row],[Surface Water Area (km2)]]</f>
        <v>23.69</v>
      </c>
    </row>
    <row r="229" spans="2:7" x14ac:dyDescent="0.2">
      <c r="B229" t="s">
        <v>356</v>
      </c>
      <c r="C229">
        <v>23.51</v>
      </c>
      <c r="D229" s="83"/>
      <c r="E229" s="90">
        <f t="shared" si="4"/>
        <v>225</v>
      </c>
      <c r="F229" s="91">
        <f>LEFT(tbl_Reservoir[[#This Row],[time]],10)*1</f>
        <v>42878</v>
      </c>
      <c r="G229" s="92">
        <f>tbl_Reservoir[[#This Row],[Surface Water Area (km2)]]</f>
        <v>23.51</v>
      </c>
    </row>
    <row r="230" spans="2:7" x14ac:dyDescent="0.2">
      <c r="B230" t="s">
        <v>357</v>
      </c>
      <c r="C230">
        <v>22.62</v>
      </c>
      <c r="D230" s="83"/>
      <c r="E230" s="90">
        <f t="shared" si="4"/>
        <v>226</v>
      </c>
      <c r="F230" s="91">
        <f>LEFT(tbl_Reservoir[[#This Row],[time]],10)*1</f>
        <v>42880</v>
      </c>
      <c r="G230" s="92">
        <f>tbl_Reservoir[[#This Row],[Surface Water Area (km2)]]</f>
        <v>22.62</v>
      </c>
    </row>
    <row r="231" spans="2:7" x14ac:dyDescent="0.2">
      <c r="B231" t="s">
        <v>358</v>
      </c>
      <c r="C231">
        <v>22.09</v>
      </c>
      <c r="D231" s="83"/>
      <c r="E231" s="90">
        <f t="shared" si="4"/>
        <v>227</v>
      </c>
      <c r="F231" s="91">
        <f>LEFT(tbl_Reservoir[[#This Row],[time]],10)*1</f>
        <v>42886</v>
      </c>
      <c r="G231" s="92">
        <f>tbl_Reservoir[[#This Row],[Surface Water Area (km2)]]</f>
        <v>22.09</v>
      </c>
    </row>
    <row r="232" spans="2:7" x14ac:dyDescent="0.2">
      <c r="B232" t="s">
        <v>359</v>
      </c>
      <c r="C232">
        <v>22.03</v>
      </c>
      <c r="D232" s="83"/>
      <c r="E232" s="90">
        <f t="shared" si="4"/>
        <v>228</v>
      </c>
      <c r="F232" s="91">
        <f>LEFT(tbl_Reservoir[[#This Row],[time]],10)*1</f>
        <v>42894</v>
      </c>
      <c r="G232" s="92">
        <f>tbl_Reservoir[[#This Row],[Surface Water Area (km2)]]</f>
        <v>22.03</v>
      </c>
    </row>
    <row r="233" spans="2:7" x14ac:dyDescent="0.2">
      <c r="B233" t="s">
        <v>360</v>
      </c>
      <c r="C233">
        <v>22.08</v>
      </c>
      <c r="D233" s="83"/>
      <c r="E233" s="90">
        <f t="shared" si="4"/>
        <v>229</v>
      </c>
      <c r="F233" s="91">
        <f>LEFT(tbl_Reservoir[[#This Row],[time]],10)*1</f>
        <v>42900</v>
      </c>
      <c r="G233" s="92">
        <f>tbl_Reservoir[[#This Row],[Surface Water Area (km2)]]</f>
        <v>22.08</v>
      </c>
    </row>
    <row r="234" spans="2:7" x14ac:dyDescent="0.2">
      <c r="B234" t="s">
        <v>361</v>
      </c>
      <c r="C234">
        <v>21.8</v>
      </c>
      <c r="D234" s="83"/>
      <c r="E234" s="90">
        <f t="shared" si="4"/>
        <v>230</v>
      </c>
      <c r="F234" s="91">
        <f>LEFT(tbl_Reservoir[[#This Row],[time]],10)*1</f>
        <v>42910</v>
      </c>
      <c r="G234" s="92">
        <f>tbl_Reservoir[[#This Row],[Surface Water Area (km2)]]</f>
        <v>21.8</v>
      </c>
    </row>
    <row r="235" spans="2:7" x14ac:dyDescent="0.2">
      <c r="B235" t="s">
        <v>362</v>
      </c>
      <c r="C235">
        <v>21.05</v>
      </c>
      <c r="D235" s="83"/>
      <c r="E235" s="90">
        <f t="shared" si="4"/>
        <v>231</v>
      </c>
      <c r="F235" s="91">
        <f>LEFT(tbl_Reservoir[[#This Row],[time]],10)*1</f>
        <v>42918</v>
      </c>
      <c r="G235" s="92">
        <f>tbl_Reservoir[[#This Row],[Surface Water Area (km2)]]</f>
        <v>21.05</v>
      </c>
    </row>
    <row r="236" spans="2:7" x14ac:dyDescent="0.2">
      <c r="B236" t="s">
        <v>363</v>
      </c>
      <c r="C236">
        <v>20.309999999999999</v>
      </c>
      <c r="D236" s="83"/>
      <c r="E236" s="90">
        <f t="shared" si="4"/>
        <v>232</v>
      </c>
      <c r="F236" s="91">
        <f>LEFT(tbl_Reservoir[[#This Row],[time]],10)*1</f>
        <v>42920</v>
      </c>
      <c r="G236" s="92">
        <f>tbl_Reservoir[[#This Row],[Surface Water Area (km2)]]</f>
        <v>20.309999999999999</v>
      </c>
    </row>
    <row r="237" spans="2:7" x14ac:dyDescent="0.2">
      <c r="B237" t="s">
        <v>364</v>
      </c>
      <c r="C237">
        <v>20.56</v>
      </c>
      <c r="D237" s="83"/>
      <c r="E237" s="90">
        <f t="shared" si="4"/>
        <v>233</v>
      </c>
      <c r="F237" s="91">
        <f>LEFT(tbl_Reservoir[[#This Row],[time]],10)*1</f>
        <v>42934</v>
      </c>
      <c r="G237" s="92">
        <f>tbl_Reservoir[[#This Row],[Surface Water Area (km2)]]</f>
        <v>20.56</v>
      </c>
    </row>
    <row r="238" spans="2:7" x14ac:dyDescent="0.2">
      <c r="B238" t="s">
        <v>365</v>
      </c>
      <c r="C238">
        <v>18.98</v>
      </c>
      <c r="D238" s="83"/>
      <c r="E238" s="90">
        <f t="shared" si="4"/>
        <v>234</v>
      </c>
      <c r="F238" s="91">
        <f>LEFT(tbl_Reservoir[[#This Row],[time]],10)*1</f>
        <v>42942</v>
      </c>
      <c r="G238" s="92">
        <f>tbl_Reservoir[[#This Row],[Surface Water Area (km2)]]</f>
        <v>18.98</v>
      </c>
    </row>
    <row r="239" spans="2:7" x14ac:dyDescent="0.2">
      <c r="B239" t="s">
        <v>366</v>
      </c>
      <c r="C239">
        <v>18.54</v>
      </c>
      <c r="D239" s="83"/>
      <c r="E239" s="90">
        <f t="shared" si="4"/>
        <v>235</v>
      </c>
      <c r="F239" s="91">
        <f>LEFT(tbl_Reservoir[[#This Row],[time]],10)*1</f>
        <v>42950</v>
      </c>
      <c r="G239" s="92">
        <f>tbl_Reservoir[[#This Row],[Surface Water Area (km2)]]</f>
        <v>18.54</v>
      </c>
    </row>
    <row r="240" spans="2:7" x14ac:dyDescent="0.2">
      <c r="B240" t="s">
        <v>367</v>
      </c>
      <c r="C240">
        <v>18.5</v>
      </c>
      <c r="D240" s="83"/>
      <c r="E240" s="90">
        <f t="shared" si="4"/>
        <v>236</v>
      </c>
      <c r="F240" s="91">
        <f>LEFT(tbl_Reservoir[[#This Row],[time]],10)*1</f>
        <v>42960</v>
      </c>
      <c r="G240" s="92">
        <f>tbl_Reservoir[[#This Row],[Surface Water Area (km2)]]</f>
        <v>18.5</v>
      </c>
    </row>
    <row r="241" spans="2:7" x14ac:dyDescent="0.2">
      <c r="B241" t="s">
        <v>368</v>
      </c>
      <c r="C241">
        <v>18.21</v>
      </c>
      <c r="D241" s="83"/>
      <c r="E241" s="90">
        <f t="shared" si="4"/>
        <v>237</v>
      </c>
      <c r="F241" s="91">
        <f>LEFT(tbl_Reservoir[[#This Row],[time]],10)*1</f>
        <v>42966</v>
      </c>
      <c r="G241" s="92">
        <f>tbl_Reservoir[[#This Row],[Surface Water Area (km2)]]</f>
        <v>18.21</v>
      </c>
    </row>
    <row r="242" spans="2:7" x14ac:dyDescent="0.2">
      <c r="B242" t="s">
        <v>369</v>
      </c>
      <c r="C242">
        <v>18.059999999999999</v>
      </c>
      <c r="D242" s="83"/>
      <c r="E242" s="90">
        <f t="shared" si="4"/>
        <v>238</v>
      </c>
      <c r="F242" s="91">
        <f>LEFT(tbl_Reservoir[[#This Row],[time]],10)*1</f>
        <v>42974</v>
      </c>
      <c r="G242" s="92">
        <f>tbl_Reservoir[[#This Row],[Surface Water Area (km2)]]</f>
        <v>18.059999999999999</v>
      </c>
    </row>
    <row r="243" spans="2:7" x14ac:dyDescent="0.2">
      <c r="B243" t="s">
        <v>370</v>
      </c>
      <c r="C243">
        <v>18.03</v>
      </c>
      <c r="D243" s="83"/>
      <c r="E243" s="90">
        <f t="shared" si="4"/>
        <v>239</v>
      </c>
      <c r="F243" s="91">
        <f>LEFT(tbl_Reservoir[[#This Row],[time]],10)*1</f>
        <v>42975</v>
      </c>
      <c r="G243" s="92">
        <f>tbl_Reservoir[[#This Row],[Surface Water Area (km2)]]</f>
        <v>18.03</v>
      </c>
    </row>
    <row r="244" spans="2:7" x14ac:dyDescent="0.2">
      <c r="B244" t="s">
        <v>371</v>
      </c>
      <c r="C244">
        <v>17.98</v>
      </c>
      <c r="D244" s="83"/>
      <c r="E244" s="90">
        <f t="shared" si="4"/>
        <v>240</v>
      </c>
      <c r="F244" s="91">
        <f>LEFT(tbl_Reservoir[[#This Row],[time]],10)*1</f>
        <v>42982</v>
      </c>
      <c r="G244" s="92">
        <f>tbl_Reservoir[[#This Row],[Surface Water Area (km2)]]</f>
        <v>17.98</v>
      </c>
    </row>
    <row r="245" spans="2:7" x14ac:dyDescent="0.2">
      <c r="B245" t="s">
        <v>372</v>
      </c>
      <c r="C245">
        <v>17.73</v>
      </c>
      <c r="D245" s="83"/>
      <c r="E245" s="90">
        <f t="shared" si="4"/>
        <v>241</v>
      </c>
      <c r="F245" s="91">
        <f>LEFT(tbl_Reservoir[[#This Row],[time]],10)*1</f>
        <v>42990</v>
      </c>
      <c r="G245" s="92">
        <f>tbl_Reservoir[[#This Row],[Surface Water Area (km2)]]</f>
        <v>17.73</v>
      </c>
    </row>
    <row r="246" spans="2:7" x14ac:dyDescent="0.2">
      <c r="B246" t="s">
        <v>373</v>
      </c>
      <c r="C246">
        <v>17.04</v>
      </c>
      <c r="D246" s="83"/>
      <c r="E246" s="90">
        <f t="shared" si="4"/>
        <v>242</v>
      </c>
      <c r="F246" s="91">
        <f>LEFT(tbl_Reservoir[[#This Row],[time]],10)*1</f>
        <v>42995</v>
      </c>
      <c r="G246" s="92">
        <f>tbl_Reservoir[[#This Row],[Surface Water Area (km2)]]</f>
        <v>17.04</v>
      </c>
    </row>
    <row r="247" spans="2:7" x14ac:dyDescent="0.2">
      <c r="B247" t="s">
        <v>374</v>
      </c>
      <c r="C247">
        <v>16.89</v>
      </c>
      <c r="D247" s="83"/>
      <c r="E247" s="90">
        <f t="shared" si="4"/>
        <v>243</v>
      </c>
      <c r="F247" s="91">
        <f>LEFT(tbl_Reservoir[[#This Row],[time]],10)*1</f>
        <v>42998</v>
      </c>
      <c r="G247" s="92">
        <f>tbl_Reservoir[[#This Row],[Surface Water Area (km2)]]</f>
        <v>16.89</v>
      </c>
    </row>
    <row r="248" spans="2:7" x14ac:dyDescent="0.2">
      <c r="B248" t="s">
        <v>375</v>
      </c>
      <c r="C248">
        <v>16.89</v>
      </c>
      <c r="D248" s="83"/>
      <c r="E248" s="90">
        <f t="shared" si="4"/>
        <v>244</v>
      </c>
      <c r="F248" s="91">
        <f>LEFT(tbl_Reservoir[[#This Row],[time]],10)*1</f>
        <v>43000</v>
      </c>
      <c r="G248" s="92">
        <f>tbl_Reservoir[[#This Row],[Surface Water Area (km2)]]</f>
        <v>16.89</v>
      </c>
    </row>
    <row r="249" spans="2:7" x14ac:dyDescent="0.2">
      <c r="B249" t="s">
        <v>376</v>
      </c>
      <c r="C249">
        <v>16.82</v>
      </c>
      <c r="D249" s="83"/>
      <c r="E249" s="90">
        <f t="shared" si="4"/>
        <v>245</v>
      </c>
      <c r="F249" s="91">
        <f>LEFT(tbl_Reservoir[[#This Row],[time]],10)*1</f>
        <v>43006</v>
      </c>
      <c r="G249" s="92">
        <f>tbl_Reservoir[[#This Row],[Surface Water Area (km2)]]</f>
        <v>16.82</v>
      </c>
    </row>
    <row r="250" spans="2:7" x14ac:dyDescent="0.2">
      <c r="B250" t="s">
        <v>377</v>
      </c>
      <c r="C250">
        <v>16.86</v>
      </c>
      <c r="D250" s="83"/>
      <c r="E250" s="90">
        <f t="shared" si="4"/>
        <v>246</v>
      </c>
      <c r="F250" s="91">
        <f>LEFT(tbl_Reservoir[[#This Row],[time]],10)*1</f>
        <v>43014</v>
      </c>
      <c r="G250" s="92">
        <f>tbl_Reservoir[[#This Row],[Surface Water Area (km2)]]</f>
        <v>16.86</v>
      </c>
    </row>
    <row r="251" spans="2:7" x14ac:dyDescent="0.2">
      <c r="B251" t="s">
        <v>378</v>
      </c>
      <c r="C251">
        <v>16.79</v>
      </c>
      <c r="D251" s="83"/>
      <c r="E251" s="90">
        <f t="shared" si="4"/>
        <v>247</v>
      </c>
      <c r="F251" s="91">
        <f>LEFT(tbl_Reservoir[[#This Row],[time]],10)*1</f>
        <v>43015</v>
      </c>
      <c r="G251" s="92">
        <f>tbl_Reservoir[[#This Row],[Surface Water Area (km2)]]</f>
        <v>16.79</v>
      </c>
    </row>
    <row r="252" spans="2:7" x14ac:dyDescent="0.2">
      <c r="B252" t="s">
        <v>379</v>
      </c>
      <c r="C252">
        <v>16.77</v>
      </c>
      <c r="D252" s="83"/>
      <c r="E252" s="90">
        <f t="shared" si="4"/>
        <v>248</v>
      </c>
      <c r="F252" s="91">
        <f>LEFT(tbl_Reservoir[[#This Row],[time]],10)*1</f>
        <v>43020</v>
      </c>
      <c r="G252" s="92">
        <f>tbl_Reservoir[[#This Row],[Surface Water Area (km2)]]</f>
        <v>16.77</v>
      </c>
    </row>
    <row r="253" spans="2:7" x14ac:dyDescent="0.2">
      <c r="B253" t="s">
        <v>380</v>
      </c>
      <c r="C253">
        <v>16.72</v>
      </c>
      <c r="D253" s="83"/>
      <c r="E253" s="90">
        <f t="shared" si="4"/>
        <v>249</v>
      </c>
      <c r="F253" s="91">
        <f>LEFT(tbl_Reservoir[[#This Row],[time]],10)*1</f>
        <v>43022</v>
      </c>
      <c r="G253" s="92">
        <f>tbl_Reservoir[[#This Row],[Surface Water Area (km2)]]</f>
        <v>16.72</v>
      </c>
    </row>
    <row r="254" spans="2:7" x14ac:dyDescent="0.2">
      <c r="B254" t="s">
        <v>381</v>
      </c>
      <c r="C254">
        <v>15.88</v>
      </c>
      <c r="D254" s="83"/>
      <c r="E254" s="90">
        <f t="shared" si="4"/>
        <v>250</v>
      </c>
      <c r="F254" s="91">
        <f>LEFT(tbl_Reservoir[[#This Row],[time]],10)*1</f>
        <v>43030</v>
      </c>
      <c r="G254" s="92">
        <f>tbl_Reservoir[[#This Row],[Surface Water Area (km2)]]</f>
        <v>15.88</v>
      </c>
    </row>
    <row r="255" spans="2:7" x14ac:dyDescent="0.2">
      <c r="B255" t="s">
        <v>382</v>
      </c>
      <c r="C255">
        <v>15.9</v>
      </c>
      <c r="D255" s="83"/>
      <c r="E255" s="90">
        <f t="shared" si="4"/>
        <v>251</v>
      </c>
      <c r="F255" s="91">
        <f>LEFT(tbl_Reservoir[[#This Row],[time]],10)*1</f>
        <v>43035</v>
      </c>
      <c r="G255" s="92">
        <f>tbl_Reservoir[[#This Row],[Surface Water Area (km2)]]</f>
        <v>15.9</v>
      </c>
    </row>
    <row r="256" spans="2:7" x14ac:dyDescent="0.2">
      <c r="B256" t="s">
        <v>383</v>
      </c>
      <c r="C256">
        <v>15.89</v>
      </c>
      <c r="D256" s="83"/>
      <c r="E256" s="90">
        <f t="shared" si="4"/>
        <v>252</v>
      </c>
      <c r="F256" s="91">
        <f>LEFT(tbl_Reservoir[[#This Row],[time]],10)*1</f>
        <v>43038</v>
      </c>
      <c r="G256" s="92">
        <f>tbl_Reservoir[[#This Row],[Surface Water Area (km2)]]</f>
        <v>15.89</v>
      </c>
    </row>
    <row r="257" spans="2:7" x14ac:dyDescent="0.2">
      <c r="B257" t="s">
        <v>384</v>
      </c>
      <c r="C257">
        <v>15.83</v>
      </c>
      <c r="D257" s="83"/>
      <c r="E257" s="90">
        <f t="shared" si="4"/>
        <v>253</v>
      </c>
      <c r="F257" s="91">
        <f>LEFT(tbl_Reservoir[[#This Row],[time]],10)*1</f>
        <v>43040</v>
      </c>
      <c r="G257" s="92">
        <f>tbl_Reservoir[[#This Row],[Surface Water Area (km2)]]</f>
        <v>15.83</v>
      </c>
    </row>
    <row r="258" spans="2:7" x14ac:dyDescent="0.2">
      <c r="B258" t="s">
        <v>385</v>
      </c>
      <c r="C258">
        <v>15.77</v>
      </c>
      <c r="D258" s="83"/>
      <c r="E258" s="90">
        <f t="shared" si="4"/>
        <v>254</v>
      </c>
      <c r="F258" s="91">
        <f>LEFT(tbl_Reservoir[[#This Row],[time]],10)*1</f>
        <v>43045</v>
      </c>
      <c r="G258" s="92">
        <f>tbl_Reservoir[[#This Row],[Surface Water Area (km2)]]</f>
        <v>15.77</v>
      </c>
    </row>
    <row r="259" spans="2:7" x14ac:dyDescent="0.2">
      <c r="B259" t="s">
        <v>386</v>
      </c>
      <c r="C259">
        <v>15.75</v>
      </c>
      <c r="D259" s="83"/>
      <c r="E259" s="90">
        <f t="shared" si="4"/>
        <v>255</v>
      </c>
      <c r="F259" s="91">
        <f>LEFT(tbl_Reservoir[[#This Row],[time]],10)*1</f>
        <v>43046</v>
      </c>
      <c r="G259" s="92">
        <f>tbl_Reservoir[[#This Row],[Surface Water Area (km2)]]</f>
        <v>15.75</v>
      </c>
    </row>
    <row r="260" spans="2:7" x14ac:dyDescent="0.2">
      <c r="B260" t="s">
        <v>387</v>
      </c>
      <c r="C260">
        <v>15.72</v>
      </c>
      <c r="D260" s="83"/>
      <c r="E260" s="90">
        <f t="shared" si="4"/>
        <v>256</v>
      </c>
      <c r="F260" s="91">
        <f>LEFT(tbl_Reservoir[[#This Row],[time]],10)*1</f>
        <v>43054</v>
      </c>
      <c r="G260" s="92">
        <f>tbl_Reservoir[[#This Row],[Surface Water Area (km2)]]</f>
        <v>15.72</v>
      </c>
    </row>
    <row r="261" spans="2:7" x14ac:dyDescent="0.2">
      <c r="B261" t="s">
        <v>388</v>
      </c>
      <c r="C261">
        <v>15.65</v>
      </c>
      <c r="D261" s="83"/>
      <c r="E261" s="90">
        <f t="shared" si="4"/>
        <v>257</v>
      </c>
      <c r="F261" s="91">
        <f>LEFT(tbl_Reservoir[[#This Row],[time]],10)*1</f>
        <v>43055</v>
      </c>
      <c r="G261" s="92">
        <f>tbl_Reservoir[[#This Row],[Surface Water Area (km2)]]</f>
        <v>15.65</v>
      </c>
    </row>
    <row r="262" spans="2:7" x14ac:dyDescent="0.2">
      <c r="B262" t="s">
        <v>389</v>
      </c>
      <c r="C262">
        <v>15.67</v>
      </c>
      <c r="D262" s="83"/>
      <c r="E262" s="90">
        <f t="shared" ref="E262:E325" si="5">ROW()-4</f>
        <v>258</v>
      </c>
      <c r="F262" s="91">
        <f>LEFT(tbl_Reservoir[[#This Row],[time]],10)*1</f>
        <v>43060</v>
      </c>
      <c r="G262" s="92">
        <f>tbl_Reservoir[[#This Row],[Surface Water Area (km2)]]</f>
        <v>15.67</v>
      </c>
    </row>
    <row r="263" spans="2:7" x14ac:dyDescent="0.2">
      <c r="B263" t="s">
        <v>390</v>
      </c>
      <c r="C263">
        <v>16.53</v>
      </c>
      <c r="D263" s="83"/>
      <c r="E263" s="90">
        <f t="shared" si="5"/>
        <v>259</v>
      </c>
      <c r="F263" s="91">
        <f>LEFT(tbl_Reservoir[[#This Row],[time]],10)*1</f>
        <v>43062</v>
      </c>
      <c r="G263" s="92">
        <f>tbl_Reservoir[[#This Row],[Surface Water Area (km2)]]</f>
        <v>16.53</v>
      </c>
    </row>
    <row r="264" spans="2:7" x14ac:dyDescent="0.2">
      <c r="B264" t="s">
        <v>391</v>
      </c>
      <c r="C264">
        <v>15.63</v>
      </c>
      <c r="D264" s="83"/>
      <c r="E264" s="90">
        <f t="shared" si="5"/>
        <v>260</v>
      </c>
      <c r="F264" s="91">
        <f>LEFT(tbl_Reservoir[[#This Row],[time]],10)*1</f>
        <v>43065</v>
      </c>
      <c r="G264" s="92">
        <f>tbl_Reservoir[[#This Row],[Surface Water Area (km2)]]</f>
        <v>15.63</v>
      </c>
    </row>
    <row r="265" spans="2:7" x14ac:dyDescent="0.2">
      <c r="B265" t="s">
        <v>392</v>
      </c>
      <c r="C265">
        <v>15.62</v>
      </c>
      <c r="D265" s="83"/>
      <c r="E265" s="90">
        <f t="shared" si="5"/>
        <v>261</v>
      </c>
      <c r="F265" s="91">
        <f>LEFT(tbl_Reservoir[[#This Row],[time]],10)*1</f>
        <v>43070</v>
      </c>
      <c r="G265" s="92">
        <f>tbl_Reservoir[[#This Row],[Surface Water Area (km2)]]</f>
        <v>15.62</v>
      </c>
    </row>
    <row r="266" spans="2:7" x14ac:dyDescent="0.2">
      <c r="B266" t="s">
        <v>393</v>
      </c>
      <c r="C266">
        <v>15.5</v>
      </c>
      <c r="D266" s="83"/>
      <c r="E266" s="90">
        <f t="shared" si="5"/>
        <v>262</v>
      </c>
      <c r="F266" s="91">
        <f>LEFT(tbl_Reservoir[[#This Row],[time]],10)*1</f>
        <v>43075</v>
      </c>
      <c r="G266" s="92">
        <f>tbl_Reservoir[[#This Row],[Surface Water Area (km2)]]</f>
        <v>15.5</v>
      </c>
    </row>
    <row r="267" spans="2:7" x14ac:dyDescent="0.2">
      <c r="B267" t="s">
        <v>394</v>
      </c>
      <c r="C267">
        <v>16.16</v>
      </c>
      <c r="D267" s="83"/>
      <c r="E267" s="90">
        <f t="shared" si="5"/>
        <v>263</v>
      </c>
      <c r="F267" s="91">
        <f>LEFT(tbl_Reservoir[[#This Row],[time]],10)*1</f>
        <v>43078</v>
      </c>
      <c r="G267" s="92">
        <f>tbl_Reservoir[[#This Row],[Surface Water Area (km2)]]</f>
        <v>16.16</v>
      </c>
    </row>
    <row r="268" spans="2:7" x14ac:dyDescent="0.2">
      <c r="B268" t="s">
        <v>395</v>
      </c>
      <c r="C268">
        <v>15.14</v>
      </c>
      <c r="D268" s="83"/>
      <c r="E268" s="90">
        <f t="shared" si="5"/>
        <v>264</v>
      </c>
      <c r="F268" s="91">
        <f>LEFT(tbl_Reservoir[[#This Row],[time]],10)*1</f>
        <v>43080</v>
      </c>
      <c r="G268" s="92">
        <f>tbl_Reservoir[[#This Row],[Surface Water Area (km2)]]</f>
        <v>15.14</v>
      </c>
    </row>
    <row r="269" spans="2:7" x14ac:dyDescent="0.2">
      <c r="B269" t="s">
        <v>396</v>
      </c>
      <c r="C269">
        <v>15.49</v>
      </c>
      <c r="D269" s="83"/>
      <c r="E269" s="90">
        <f t="shared" si="5"/>
        <v>265</v>
      </c>
      <c r="F269" s="91">
        <f>LEFT(tbl_Reservoir[[#This Row],[time]],10)*1</f>
        <v>43085</v>
      </c>
      <c r="G269" s="92">
        <f>tbl_Reservoir[[#This Row],[Surface Water Area (km2)]]</f>
        <v>15.49</v>
      </c>
    </row>
    <row r="270" spans="2:7" x14ac:dyDescent="0.2">
      <c r="B270" t="s">
        <v>397</v>
      </c>
      <c r="C270">
        <v>16.27</v>
      </c>
      <c r="D270" s="83"/>
      <c r="E270" s="90">
        <f t="shared" si="5"/>
        <v>266</v>
      </c>
      <c r="F270" s="91">
        <f>LEFT(tbl_Reservoir[[#This Row],[time]],10)*1</f>
        <v>43086</v>
      </c>
      <c r="G270" s="92">
        <f>tbl_Reservoir[[#This Row],[Surface Water Area (km2)]]</f>
        <v>16.27</v>
      </c>
    </row>
    <row r="271" spans="2:7" x14ac:dyDescent="0.2">
      <c r="B271" t="s">
        <v>398</v>
      </c>
      <c r="C271">
        <v>15.11</v>
      </c>
      <c r="D271" s="83"/>
      <c r="E271" s="90">
        <f t="shared" si="5"/>
        <v>267</v>
      </c>
      <c r="F271" s="91">
        <f>LEFT(tbl_Reservoir[[#This Row],[time]],10)*1</f>
        <v>43095</v>
      </c>
      <c r="G271" s="92">
        <f>tbl_Reservoir[[#This Row],[Surface Water Area (km2)]]</f>
        <v>15.11</v>
      </c>
    </row>
    <row r="272" spans="2:7" x14ac:dyDescent="0.2">
      <c r="B272" t="s">
        <v>399</v>
      </c>
      <c r="C272">
        <v>15.9</v>
      </c>
      <c r="D272" s="83"/>
      <c r="E272" s="90">
        <f t="shared" si="5"/>
        <v>268</v>
      </c>
      <c r="F272" s="91">
        <f>LEFT(tbl_Reservoir[[#This Row],[time]],10)*1</f>
        <v>43102</v>
      </c>
      <c r="G272" s="92">
        <f>tbl_Reservoir[[#This Row],[Surface Water Area (km2)]]</f>
        <v>15.9</v>
      </c>
    </row>
    <row r="273" spans="2:7" x14ac:dyDescent="0.2">
      <c r="B273" t="s">
        <v>400</v>
      </c>
      <c r="C273">
        <v>15.03</v>
      </c>
      <c r="D273" s="83"/>
      <c r="E273" s="90">
        <f t="shared" si="5"/>
        <v>269</v>
      </c>
      <c r="F273" s="91">
        <f>LEFT(tbl_Reservoir[[#This Row],[time]],10)*1</f>
        <v>43105</v>
      </c>
      <c r="G273" s="92">
        <f>tbl_Reservoir[[#This Row],[Surface Water Area (km2)]]</f>
        <v>15.03</v>
      </c>
    </row>
    <row r="274" spans="2:7" x14ac:dyDescent="0.2">
      <c r="B274" t="s">
        <v>401</v>
      </c>
      <c r="C274">
        <v>15.93</v>
      </c>
      <c r="D274" s="83"/>
      <c r="E274" s="90">
        <f t="shared" si="5"/>
        <v>270</v>
      </c>
      <c r="F274" s="91">
        <f>LEFT(tbl_Reservoir[[#This Row],[time]],10)*1</f>
        <v>43110</v>
      </c>
      <c r="G274" s="92">
        <f>tbl_Reservoir[[#This Row],[Surface Water Area (km2)]]</f>
        <v>15.93</v>
      </c>
    </row>
    <row r="275" spans="2:7" x14ac:dyDescent="0.2">
      <c r="B275" t="s">
        <v>402</v>
      </c>
      <c r="C275">
        <v>14.93</v>
      </c>
      <c r="D275" s="83"/>
      <c r="E275" s="90">
        <f t="shared" si="5"/>
        <v>271</v>
      </c>
      <c r="F275" s="91">
        <f>LEFT(tbl_Reservoir[[#This Row],[time]],10)*1</f>
        <v>43115</v>
      </c>
      <c r="G275" s="92">
        <f>tbl_Reservoir[[#This Row],[Surface Water Area (km2)]]</f>
        <v>14.93</v>
      </c>
    </row>
    <row r="276" spans="2:7" x14ac:dyDescent="0.2">
      <c r="B276" t="s">
        <v>403</v>
      </c>
      <c r="C276">
        <v>15.81</v>
      </c>
      <c r="D276" s="83"/>
      <c r="E276" s="90">
        <f t="shared" si="5"/>
        <v>272</v>
      </c>
      <c r="F276" s="91">
        <f>LEFT(tbl_Reservoir[[#This Row],[time]],10)*1</f>
        <v>43118</v>
      </c>
      <c r="G276" s="92">
        <f>tbl_Reservoir[[#This Row],[Surface Water Area (km2)]]</f>
        <v>15.81</v>
      </c>
    </row>
    <row r="277" spans="2:7" x14ac:dyDescent="0.2">
      <c r="B277" t="s">
        <v>404</v>
      </c>
      <c r="C277">
        <v>14.95</v>
      </c>
      <c r="D277" s="83"/>
      <c r="E277" s="90">
        <f t="shared" si="5"/>
        <v>273</v>
      </c>
      <c r="F277" s="91">
        <f>LEFT(tbl_Reservoir[[#This Row],[time]],10)*1</f>
        <v>43120</v>
      </c>
      <c r="G277" s="92">
        <f>tbl_Reservoir[[#This Row],[Surface Water Area (km2)]]</f>
        <v>14.95</v>
      </c>
    </row>
    <row r="278" spans="2:7" x14ac:dyDescent="0.2">
      <c r="B278" t="s">
        <v>405</v>
      </c>
      <c r="C278">
        <v>14.62</v>
      </c>
      <c r="D278" s="83"/>
      <c r="E278" s="90">
        <f t="shared" si="5"/>
        <v>274</v>
      </c>
      <c r="F278" s="91">
        <f>LEFT(tbl_Reservoir[[#This Row],[time]],10)*1</f>
        <v>43125</v>
      </c>
      <c r="G278" s="92">
        <f>tbl_Reservoir[[#This Row],[Surface Water Area (km2)]]</f>
        <v>14.62</v>
      </c>
    </row>
    <row r="279" spans="2:7" x14ac:dyDescent="0.2">
      <c r="B279" t="s">
        <v>406</v>
      </c>
      <c r="C279">
        <v>14.95</v>
      </c>
      <c r="D279" s="83"/>
      <c r="E279" s="90">
        <f t="shared" si="5"/>
        <v>275</v>
      </c>
      <c r="F279" s="91">
        <f>LEFT(tbl_Reservoir[[#This Row],[time]],10)*1</f>
        <v>43126</v>
      </c>
      <c r="G279" s="92">
        <f>tbl_Reservoir[[#This Row],[Surface Water Area (km2)]]</f>
        <v>14.95</v>
      </c>
    </row>
    <row r="280" spans="2:7" x14ac:dyDescent="0.2">
      <c r="B280" t="s">
        <v>407</v>
      </c>
      <c r="C280">
        <v>14.83</v>
      </c>
      <c r="D280" s="83"/>
      <c r="E280" s="90">
        <f t="shared" si="5"/>
        <v>276</v>
      </c>
      <c r="F280" s="91">
        <f>LEFT(tbl_Reservoir[[#This Row],[time]],10)*1</f>
        <v>43134</v>
      </c>
      <c r="G280" s="92">
        <f>tbl_Reservoir[[#This Row],[Surface Water Area (km2)]]</f>
        <v>14.83</v>
      </c>
    </row>
    <row r="281" spans="2:7" x14ac:dyDescent="0.2">
      <c r="B281" t="s">
        <v>408</v>
      </c>
      <c r="C281">
        <v>14.46</v>
      </c>
      <c r="D281" s="83"/>
      <c r="E281" s="90">
        <f t="shared" si="5"/>
        <v>277</v>
      </c>
      <c r="F281" s="91">
        <f>LEFT(tbl_Reservoir[[#This Row],[time]],10)*1</f>
        <v>43135</v>
      </c>
      <c r="G281" s="92">
        <f>tbl_Reservoir[[#This Row],[Surface Water Area (km2)]]</f>
        <v>14.46</v>
      </c>
    </row>
    <row r="282" spans="2:7" x14ac:dyDescent="0.2">
      <c r="B282" t="s">
        <v>409</v>
      </c>
      <c r="C282">
        <v>14.47</v>
      </c>
      <c r="D282" s="83"/>
      <c r="E282" s="90">
        <f t="shared" si="5"/>
        <v>278</v>
      </c>
      <c r="F282" s="91">
        <f>LEFT(tbl_Reservoir[[#This Row],[time]],10)*1</f>
        <v>43140</v>
      </c>
      <c r="G282" s="92">
        <f>tbl_Reservoir[[#This Row],[Surface Water Area (km2)]]</f>
        <v>14.47</v>
      </c>
    </row>
    <row r="283" spans="2:7" x14ac:dyDescent="0.2">
      <c r="B283" t="s">
        <v>410</v>
      </c>
      <c r="C283">
        <v>14.47</v>
      </c>
      <c r="D283" s="83"/>
      <c r="E283" s="90">
        <f t="shared" si="5"/>
        <v>279</v>
      </c>
      <c r="F283" s="91">
        <f>LEFT(tbl_Reservoir[[#This Row],[time]],10)*1</f>
        <v>43150</v>
      </c>
      <c r="G283" s="92">
        <f>tbl_Reservoir[[#This Row],[Surface Water Area (km2)]]</f>
        <v>14.47</v>
      </c>
    </row>
    <row r="284" spans="2:7" x14ac:dyDescent="0.2">
      <c r="B284" t="s">
        <v>411</v>
      </c>
      <c r="C284">
        <v>14.49</v>
      </c>
      <c r="D284" s="83"/>
      <c r="E284" s="90">
        <f t="shared" si="5"/>
        <v>280</v>
      </c>
      <c r="F284" s="91">
        <f>LEFT(tbl_Reservoir[[#This Row],[time]],10)*1</f>
        <v>43150</v>
      </c>
      <c r="G284" s="92">
        <f>tbl_Reservoir[[#This Row],[Surface Water Area (km2)]]</f>
        <v>14.49</v>
      </c>
    </row>
    <row r="285" spans="2:7" x14ac:dyDescent="0.2">
      <c r="B285" t="s">
        <v>412</v>
      </c>
      <c r="C285">
        <v>15.59</v>
      </c>
      <c r="D285" s="83"/>
      <c r="E285" s="90">
        <f t="shared" si="5"/>
        <v>281</v>
      </c>
      <c r="F285" s="91">
        <f>LEFT(tbl_Reservoir[[#This Row],[time]],10)*1</f>
        <v>43158</v>
      </c>
      <c r="G285" s="92">
        <f>tbl_Reservoir[[#This Row],[Surface Water Area (km2)]]</f>
        <v>15.59</v>
      </c>
    </row>
    <row r="286" spans="2:7" x14ac:dyDescent="0.2">
      <c r="B286" t="s">
        <v>413</v>
      </c>
      <c r="C286">
        <v>14.44</v>
      </c>
      <c r="D286" s="83"/>
      <c r="E286" s="90">
        <f t="shared" si="5"/>
        <v>282</v>
      </c>
      <c r="F286" s="91">
        <f>LEFT(tbl_Reservoir[[#This Row],[time]],10)*1</f>
        <v>43160</v>
      </c>
      <c r="G286" s="92">
        <f>tbl_Reservoir[[#This Row],[Surface Water Area (km2)]]</f>
        <v>14.44</v>
      </c>
    </row>
    <row r="287" spans="2:7" x14ac:dyDescent="0.2">
      <c r="B287" t="s">
        <v>414</v>
      </c>
      <c r="C287">
        <v>15.03</v>
      </c>
      <c r="D287" s="83"/>
      <c r="E287" s="90">
        <f t="shared" si="5"/>
        <v>283</v>
      </c>
      <c r="F287" s="91">
        <f>LEFT(tbl_Reservoir[[#This Row],[time]],10)*1</f>
        <v>43165</v>
      </c>
      <c r="G287" s="92">
        <f>tbl_Reservoir[[#This Row],[Surface Water Area (km2)]]</f>
        <v>15.03</v>
      </c>
    </row>
    <row r="288" spans="2:7" x14ac:dyDescent="0.2">
      <c r="B288" t="s">
        <v>415</v>
      </c>
      <c r="C288">
        <v>15.81</v>
      </c>
      <c r="D288" s="83"/>
      <c r="E288" s="90">
        <f t="shared" si="5"/>
        <v>284</v>
      </c>
      <c r="F288" s="91">
        <f>LEFT(tbl_Reservoir[[#This Row],[time]],10)*1</f>
        <v>43166</v>
      </c>
      <c r="G288" s="92">
        <f>tbl_Reservoir[[#This Row],[Surface Water Area (km2)]]</f>
        <v>15.81</v>
      </c>
    </row>
    <row r="289" spans="2:7" x14ac:dyDescent="0.2">
      <c r="B289" t="s">
        <v>416</v>
      </c>
      <c r="C289">
        <v>14.68</v>
      </c>
      <c r="D289" s="83"/>
      <c r="E289" s="90">
        <f t="shared" si="5"/>
        <v>285</v>
      </c>
      <c r="F289" s="91">
        <f>LEFT(tbl_Reservoir[[#This Row],[time]],10)*1</f>
        <v>43170</v>
      </c>
      <c r="G289" s="92">
        <f>tbl_Reservoir[[#This Row],[Surface Water Area (km2)]]</f>
        <v>14.68</v>
      </c>
    </row>
    <row r="290" spans="2:7" x14ac:dyDescent="0.2">
      <c r="B290" t="s">
        <v>417</v>
      </c>
      <c r="C290">
        <v>14.93</v>
      </c>
      <c r="D290" s="83"/>
      <c r="E290" s="90">
        <f t="shared" si="5"/>
        <v>286</v>
      </c>
      <c r="F290" s="91">
        <f>LEFT(tbl_Reservoir[[#This Row],[time]],10)*1</f>
        <v>43174</v>
      </c>
      <c r="G290" s="92">
        <f>tbl_Reservoir[[#This Row],[Surface Water Area (km2)]]</f>
        <v>14.93</v>
      </c>
    </row>
    <row r="291" spans="2:7" x14ac:dyDescent="0.2">
      <c r="B291" t="s">
        <v>418</v>
      </c>
      <c r="C291">
        <v>14.63</v>
      </c>
      <c r="D291" s="83"/>
      <c r="E291" s="90">
        <f t="shared" si="5"/>
        <v>287</v>
      </c>
      <c r="F291" s="91">
        <f>LEFT(tbl_Reservoir[[#This Row],[time]],10)*1</f>
        <v>43175</v>
      </c>
      <c r="G291" s="92">
        <f>tbl_Reservoir[[#This Row],[Surface Water Area (km2)]]</f>
        <v>14.63</v>
      </c>
    </row>
    <row r="292" spans="2:7" x14ac:dyDescent="0.2">
      <c r="B292" t="s">
        <v>419</v>
      </c>
      <c r="C292">
        <v>14.56</v>
      </c>
      <c r="D292" s="83"/>
      <c r="E292" s="90">
        <f t="shared" si="5"/>
        <v>288</v>
      </c>
      <c r="F292" s="91">
        <f>LEFT(tbl_Reservoir[[#This Row],[time]],10)*1</f>
        <v>43180</v>
      </c>
      <c r="G292" s="92">
        <f>tbl_Reservoir[[#This Row],[Surface Water Area (km2)]]</f>
        <v>14.56</v>
      </c>
    </row>
    <row r="293" spans="2:7" x14ac:dyDescent="0.2">
      <c r="B293" t="s">
        <v>420</v>
      </c>
      <c r="C293">
        <v>14.53</v>
      </c>
      <c r="D293" s="83"/>
      <c r="E293" s="90">
        <f t="shared" si="5"/>
        <v>289</v>
      </c>
      <c r="F293" s="91">
        <f>LEFT(tbl_Reservoir[[#This Row],[time]],10)*1</f>
        <v>43182</v>
      </c>
      <c r="G293" s="92">
        <f>tbl_Reservoir[[#This Row],[Surface Water Area (km2)]]</f>
        <v>14.53</v>
      </c>
    </row>
    <row r="294" spans="2:7" x14ac:dyDescent="0.2">
      <c r="B294" t="s">
        <v>421</v>
      </c>
      <c r="C294">
        <v>14.24</v>
      </c>
      <c r="D294" s="83"/>
      <c r="E294" s="90">
        <f t="shared" si="5"/>
        <v>290</v>
      </c>
      <c r="F294" s="91">
        <f>LEFT(tbl_Reservoir[[#This Row],[time]],10)*1</f>
        <v>43185</v>
      </c>
      <c r="G294" s="92">
        <f>tbl_Reservoir[[#This Row],[Surface Water Area (km2)]]</f>
        <v>14.24</v>
      </c>
    </row>
    <row r="295" spans="2:7" x14ac:dyDescent="0.2">
      <c r="B295" t="s">
        <v>422</v>
      </c>
      <c r="C295">
        <v>14.47</v>
      </c>
      <c r="D295" s="83"/>
      <c r="E295" s="90">
        <f t="shared" si="5"/>
        <v>291</v>
      </c>
      <c r="F295" s="91">
        <f>LEFT(tbl_Reservoir[[#This Row],[time]],10)*1</f>
        <v>43190</v>
      </c>
      <c r="G295" s="92">
        <f>tbl_Reservoir[[#This Row],[Surface Water Area (km2)]]</f>
        <v>14.47</v>
      </c>
    </row>
    <row r="296" spans="2:7" x14ac:dyDescent="0.2">
      <c r="B296" t="s">
        <v>423</v>
      </c>
      <c r="C296">
        <v>14.44</v>
      </c>
      <c r="D296" s="83"/>
      <c r="E296" s="90">
        <f t="shared" si="5"/>
        <v>292</v>
      </c>
      <c r="F296" s="91">
        <f>LEFT(tbl_Reservoir[[#This Row],[time]],10)*1</f>
        <v>43190</v>
      </c>
      <c r="G296" s="92">
        <f>tbl_Reservoir[[#This Row],[Surface Water Area (km2)]]</f>
        <v>14.44</v>
      </c>
    </row>
    <row r="297" spans="2:7" x14ac:dyDescent="0.2">
      <c r="B297" t="s">
        <v>424</v>
      </c>
      <c r="C297">
        <v>14.32</v>
      </c>
      <c r="D297" s="83"/>
      <c r="E297" s="90">
        <f t="shared" si="5"/>
        <v>293</v>
      </c>
      <c r="F297" s="91">
        <f>LEFT(tbl_Reservoir[[#This Row],[time]],10)*1</f>
        <v>43195</v>
      </c>
      <c r="G297" s="92">
        <f>tbl_Reservoir[[#This Row],[Surface Water Area (km2)]]</f>
        <v>14.32</v>
      </c>
    </row>
    <row r="298" spans="2:7" x14ac:dyDescent="0.2">
      <c r="B298" t="s">
        <v>425</v>
      </c>
      <c r="C298">
        <v>14.35</v>
      </c>
      <c r="D298" s="83"/>
      <c r="E298" s="90">
        <f t="shared" si="5"/>
        <v>294</v>
      </c>
      <c r="F298" s="91">
        <f>LEFT(tbl_Reservoir[[#This Row],[time]],10)*1</f>
        <v>43198</v>
      </c>
      <c r="G298" s="92">
        <f>tbl_Reservoir[[#This Row],[Surface Water Area (km2)]]</f>
        <v>14.35</v>
      </c>
    </row>
    <row r="299" spans="2:7" x14ac:dyDescent="0.2">
      <c r="B299" t="s">
        <v>426</v>
      </c>
      <c r="C299">
        <v>14.01</v>
      </c>
      <c r="D299" s="83"/>
      <c r="E299" s="90">
        <f t="shared" si="5"/>
        <v>295</v>
      </c>
      <c r="F299" s="91">
        <f>LEFT(tbl_Reservoir[[#This Row],[time]],10)*1</f>
        <v>43205</v>
      </c>
      <c r="G299" s="92">
        <f>tbl_Reservoir[[#This Row],[Surface Water Area (km2)]]</f>
        <v>14.01</v>
      </c>
    </row>
    <row r="300" spans="2:7" x14ac:dyDescent="0.2">
      <c r="B300" t="s">
        <v>427</v>
      </c>
      <c r="C300">
        <v>14</v>
      </c>
      <c r="D300" s="83"/>
      <c r="E300" s="90">
        <f t="shared" si="5"/>
        <v>296</v>
      </c>
      <c r="F300" s="91">
        <f>LEFT(tbl_Reservoir[[#This Row],[time]],10)*1</f>
        <v>43206</v>
      </c>
      <c r="G300" s="92">
        <f>tbl_Reservoir[[#This Row],[Surface Water Area (km2)]]</f>
        <v>14</v>
      </c>
    </row>
    <row r="301" spans="2:7" x14ac:dyDescent="0.2">
      <c r="B301" t="s">
        <v>428</v>
      </c>
      <c r="C301">
        <v>15.87</v>
      </c>
      <c r="D301" s="83"/>
      <c r="E301" s="90">
        <f t="shared" si="5"/>
        <v>297</v>
      </c>
      <c r="F301" s="91">
        <f>LEFT(tbl_Reservoir[[#This Row],[time]],10)*1</f>
        <v>43210</v>
      </c>
      <c r="G301" s="92">
        <f>tbl_Reservoir[[#This Row],[Surface Water Area (km2)]]</f>
        <v>15.87</v>
      </c>
    </row>
    <row r="302" spans="2:7" x14ac:dyDescent="0.2">
      <c r="B302" t="s">
        <v>429</v>
      </c>
      <c r="C302">
        <v>15.07</v>
      </c>
      <c r="D302" s="83"/>
      <c r="E302" s="90">
        <f t="shared" si="5"/>
        <v>298</v>
      </c>
      <c r="F302" s="91">
        <f>LEFT(tbl_Reservoir[[#This Row],[time]],10)*1</f>
        <v>43214</v>
      </c>
      <c r="G302" s="92">
        <f>tbl_Reservoir[[#This Row],[Surface Water Area (km2)]]</f>
        <v>15.07</v>
      </c>
    </row>
    <row r="303" spans="2:7" x14ac:dyDescent="0.2">
      <c r="B303" t="s">
        <v>430</v>
      </c>
      <c r="C303">
        <v>14.68</v>
      </c>
      <c r="D303" s="83"/>
      <c r="E303" s="90">
        <f t="shared" si="5"/>
        <v>299</v>
      </c>
      <c r="F303" s="91">
        <f>LEFT(tbl_Reservoir[[#This Row],[time]],10)*1</f>
        <v>43215</v>
      </c>
      <c r="G303" s="92">
        <f>tbl_Reservoir[[#This Row],[Surface Water Area (km2)]]</f>
        <v>14.68</v>
      </c>
    </row>
    <row r="304" spans="2:7" x14ac:dyDescent="0.2">
      <c r="B304" t="s">
        <v>431</v>
      </c>
      <c r="C304">
        <v>14.75</v>
      </c>
      <c r="D304" s="83"/>
      <c r="E304" s="90">
        <f t="shared" si="5"/>
        <v>300</v>
      </c>
      <c r="F304" s="91">
        <f>LEFT(tbl_Reservoir[[#This Row],[time]],10)*1</f>
        <v>43220</v>
      </c>
      <c r="G304" s="92">
        <f>tbl_Reservoir[[#This Row],[Surface Water Area (km2)]]</f>
        <v>14.75</v>
      </c>
    </row>
    <row r="305" spans="2:7" x14ac:dyDescent="0.2">
      <c r="B305" t="s">
        <v>432</v>
      </c>
      <c r="C305">
        <v>14.6</v>
      </c>
      <c r="D305" s="83"/>
      <c r="E305" s="90">
        <f t="shared" si="5"/>
        <v>301</v>
      </c>
      <c r="F305" s="91">
        <f>LEFT(tbl_Reservoir[[#This Row],[time]],10)*1</f>
        <v>43222</v>
      </c>
      <c r="G305" s="92">
        <f>tbl_Reservoir[[#This Row],[Surface Water Area (km2)]]</f>
        <v>14.6</v>
      </c>
    </row>
    <row r="306" spans="2:7" x14ac:dyDescent="0.2">
      <c r="B306" t="s">
        <v>433</v>
      </c>
      <c r="C306">
        <v>14.41</v>
      </c>
      <c r="D306" s="83"/>
      <c r="E306" s="90">
        <f t="shared" si="5"/>
        <v>302</v>
      </c>
      <c r="F306" s="91">
        <f>LEFT(tbl_Reservoir[[#This Row],[time]],10)*1</f>
        <v>43230</v>
      </c>
      <c r="G306" s="92">
        <f>tbl_Reservoir[[#This Row],[Surface Water Area (km2)]]</f>
        <v>14.41</v>
      </c>
    </row>
    <row r="307" spans="2:7" x14ac:dyDescent="0.2">
      <c r="B307" t="s">
        <v>434</v>
      </c>
      <c r="C307">
        <v>14.38</v>
      </c>
      <c r="D307" s="83"/>
      <c r="E307" s="90">
        <f t="shared" si="5"/>
        <v>303</v>
      </c>
      <c r="F307" s="91">
        <f>LEFT(tbl_Reservoir[[#This Row],[time]],10)*1</f>
        <v>43235</v>
      </c>
      <c r="G307" s="92">
        <f>tbl_Reservoir[[#This Row],[Surface Water Area (km2)]]</f>
        <v>14.38</v>
      </c>
    </row>
    <row r="308" spans="2:7" x14ac:dyDescent="0.2">
      <c r="B308" t="s">
        <v>435</v>
      </c>
      <c r="C308">
        <v>13.28</v>
      </c>
      <c r="D308" s="83"/>
      <c r="E308" s="90">
        <f t="shared" si="5"/>
        <v>304</v>
      </c>
      <c r="F308" s="91">
        <f>LEFT(tbl_Reservoir[[#This Row],[time]],10)*1</f>
        <v>43270</v>
      </c>
      <c r="G308" s="92">
        <f>tbl_Reservoir[[#This Row],[Surface Water Area (km2)]]</f>
        <v>13.28</v>
      </c>
    </row>
    <row r="309" spans="2:7" x14ac:dyDescent="0.2">
      <c r="B309" t="s">
        <v>436</v>
      </c>
      <c r="C309">
        <v>13.3</v>
      </c>
      <c r="D309" s="83"/>
      <c r="E309" s="90">
        <f t="shared" si="5"/>
        <v>305</v>
      </c>
      <c r="F309" s="91">
        <f>LEFT(tbl_Reservoir[[#This Row],[time]],10)*1</f>
        <v>43278</v>
      </c>
      <c r="G309" s="92">
        <f>tbl_Reservoir[[#This Row],[Surface Water Area (km2)]]</f>
        <v>13.3</v>
      </c>
    </row>
    <row r="310" spans="2:7" x14ac:dyDescent="0.2">
      <c r="B310" t="s">
        <v>437</v>
      </c>
      <c r="C310">
        <v>12.97</v>
      </c>
      <c r="D310" s="83"/>
      <c r="E310" s="90">
        <f t="shared" si="5"/>
        <v>306</v>
      </c>
      <c r="F310" s="91">
        <f>LEFT(tbl_Reservoir[[#This Row],[time]],10)*1</f>
        <v>43294</v>
      </c>
      <c r="G310" s="92">
        <f>tbl_Reservoir[[#This Row],[Surface Water Area (km2)]]</f>
        <v>12.97</v>
      </c>
    </row>
    <row r="311" spans="2:7" x14ac:dyDescent="0.2">
      <c r="B311" t="s">
        <v>438</v>
      </c>
      <c r="C311">
        <v>13.18</v>
      </c>
      <c r="D311" s="83"/>
      <c r="E311" s="90">
        <f t="shared" si="5"/>
        <v>307</v>
      </c>
      <c r="F311" s="91">
        <f>LEFT(tbl_Reservoir[[#This Row],[time]],10)*1</f>
        <v>43302</v>
      </c>
      <c r="G311" s="92">
        <f>tbl_Reservoir[[#This Row],[Surface Water Area (km2)]]</f>
        <v>13.18</v>
      </c>
    </row>
    <row r="312" spans="2:7" x14ac:dyDescent="0.2">
      <c r="B312" t="s">
        <v>439</v>
      </c>
      <c r="C312">
        <v>14.36</v>
      </c>
      <c r="D312" s="83"/>
      <c r="E312" s="90">
        <f t="shared" si="5"/>
        <v>308</v>
      </c>
      <c r="F312" s="91">
        <f>LEFT(tbl_Reservoir[[#This Row],[time]],10)*1</f>
        <v>43310</v>
      </c>
      <c r="G312" s="92">
        <f>tbl_Reservoir[[#This Row],[Surface Water Area (km2)]]</f>
        <v>14.36</v>
      </c>
    </row>
    <row r="313" spans="2:7" x14ac:dyDescent="0.2">
      <c r="B313" t="s">
        <v>440</v>
      </c>
      <c r="C313">
        <v>14.18</v>
      </c>
      <c r="D313" s="83"/>
      <c r="E313" s="90">
        <f t="shared" si="5"/>
        <v>309</v>
      </c>
      <c r="F313" s="91">
        <f>LEFT(tbl_Reservoir[[#This Row],[time]],10)*1</f>
        <v>43310</v>
      </c>
      <c r="G313" s="92">
        <f>tbl_Reservoir[[#This Row],[Surface Water Area (km2)]]</f>
        <v>14.18</v>
      </c>
    </row>
    <row r="314" spans="2:7" x14ac:dyDescent="0.2">
      <c r="B314" t="s">
        <v>441</v>
      </c>
      <c r="C314">
        <v>14.68</v>
      </c>
      <c r="D314" s="83"/>
      <c r="E314" s="90">
        <f t="shared" si="5"/>
        <v>310</v>
      </c>
      <c r="F314" s="91">
        <f>LEFT(tbl_Reservoir[[#This Row],[time]],10)*1</f>
        <v>43330</v>
      </c>
      <c r="G314" s="92">
        <f>tbl_Reservoir[[#This Row],[Surface Water Area (km2)]]</f>
        <v>14.68</v>
      </c>
    </row>
    <row r="315" spans="2:7" x14ac:dyDescent="0.2">
      <c r="B315" t="s">
        <v>442</v>
      </c>
      <c r="C315">
        <v>14.65</v>
      </c>
      <c r="D315" s="83"/>
      <c r="E315" s="90">
        <f t="shared" si="5"/>
        <v>311</v>
      </c>
      <c r="F315" s="91">
        <f>LEFT(tbl_Reservoir[[#This Row],[time]],10)*1</f>
        <v>43334</v>
      </c>
      <c r="G315" s="92">
        <f>tbl_Reservoir[[#This Row],[Surface Water Area (km2)]]</f>
        <v>14.65</v>
      </c>
    </row>
    <row r="316" spans="2:7" x14ac:dyDescent="0.2">
      <c r="B316" t="s">
        <v>443</v>
      </c>
      <c r="C316">
        <v>14.04</v>
      </c>
      <c r="D316" s="83"/>
      <c r="E316" s="90">
        <f t="shared" si="5"/>
        <v>312</v>
      </c>
      <c r="F316" s="91">
        <f>LEFT(tbl_Reservoir[[#This Row],[time]],10)*1</f>
        <v>43345</v>
      </c>
      <c r="G316" s="92">
        <f>tbl_Reservoir[[#This Row],[Surface Water Area (km2)]]</f>
        <v>14.04</v>
      </c>
    </row>
    <row r="317" spans="2:7" x14ac:dyDescent="0.2">
      <c r="B317" t="s">
        <v>444</v>
      </c>
      <c r="C317">
        <v>13.94</v>
      </c>
      <c r="D317" s="83"/>
      <c r="E317" s="90">
        <f t="shared" si="5"/>
        <v>313</v>
      </c>
      <c r="F317" s="91">
        <f>LEFT(tbl_Reservoir[[#This Row],[time]],10)*1</f>
        <v>43350</v>
      </c>
      <c r="G317" s="92">
        <f>tbl_Reservoir[[#This Row],[Surface Water Area (km2)]]</f>
        <v>13.94</v>
      </c>
    </row>
    <row r="318" spans="2:7" x14ac:dyDescent="0.2">
      <c r="B318" t="s">
        <v>445</v>
      </c>
      <c r="C318">
        <v>13.96</v>
      </c>
      <c r="D318" s="83"/>
      <c r="E318" s="90">
        <f t="shared" si="5"/>
        <v>314</v>
      </c>
      <c r="F318" s="91">
        <f>LEFT(tbl_Reservoir[[#This Row],[time]],10)*1</f>
        <v>43350</v>
      </c>
      <c r="G318" s="92">
        <f>tbl_Reservoir[[#This Row],[Surface Water Area (km2)]]</f>
        <v>13.96</v>
      </c>
    </row>
    <row r="319" spans="2:7" x14ac:dyDescent="0.2">
      <c r="B319" t="s">
        <v>446</v>
      </c>
      <c r="C319">
        <v>13.95</v>
      </c>
      <c r="D319" s="83"/>
      <c r="E319" s="90">
        <f t="shared" si="5"/>
        <v>315</v>
      </c>
      <c r="F319" s="91">
        <f>LEFT(tbl_Reservoir[[#This Row],[time]],10)*1</f>
        <v>43358</v>
      </c>
      <c r="G319" s="92">
        <f>tbl_Reservoir[[#This Row],[Surface Water Area (km2)]]</f>
        <v>13.95</v>
      </c>
    </row>
    <row r="320" spans="2:7" x14ac:dyDescent="0.2">
      <c r="B320" t="s">
        <v>447</v>
      </c>
      <c r="C320">
        <v>13.5</v>
      </c>
      <c r="D320" s="83"/>
      <c r="E320" s="90">
        <f t="shared" si="5"/>
        <v>316</v>
      </c>
      <c r="F320" s="91">
        <f>LEFT(tbl_Reservoir[[#This Row],[time]],10)*1</f>
        <v>43360</v>
      </c>
      <c r="G320" s="92">
        <f>tbl_Reservoir[[#This Row],[Surface Water Area (km2)]]</f>
        <v>13.5</v>
      </c>
    </row>
    <row r="321" spans="2:7" x14ac:dyDescent="0.2">
      <c r="B321" t="s">
        <v>448</v>
      </c>
      <c r="C321">
        <v>13.46</v>
      </c>
      <c r="D321" s="83"/>
      <c r="E321" s="90">
        <f t="shared" si="5"/>
        <v>317</v>
      </c>
      <c r="F321" s="91">
        <f>LEFT(tbl_Reservoir[[#This Row],[time]],10)*1</f>
        <v>43365</v>
      </c>
      <c r="G321" s="92">
        <f>tbl_Reservoir[[#This Row],[Surface Water Area (km2)]]</f>
        <v>13.46</v>
      </c>
    </row>
    <row r="322" spans="2:7" x14ac:dyDescent="0.2">
      <c r="B322" t="s">
        <v>449</v>
      </c>
      <c r="C322">
        <v>13.36</v>
      </c>
      <c r="D322" s="83"/>
      <c r="E322" s="90">
        <f t="shared" si="5"/>
        <v>318</v>
      </c>
      <c r="F322" s="91">
        <f>LEFT(tbl_Reservoir[[#This Row],[time]],10)*1</f>
        <v>43366</v>
      </c>
      <c r="G322" s="92">
        <f>tbl_Reservoir[[#This Row],[Surface Water Area (km2)]]</f>
        <v>13.36</v>
      </c>
    </row>
    <row r="323" spans="2:7" x14ac:dyDescent="0.2">
      <c r="B323" t="s">
        <v>450</v>
      </c>
      <c r="C323">
        <v>13.44</v>
      </c>
      <c r="D323" s="83"/>
      <c r="E323" s="90">
        <f t="shared" si="5"/>
        <v>319</v>
      </c>
      <c r="F323" s="91">
        <f>LEFT(tbl_Reservoir[[#This Row],[time]],10)*1</f>
        <v>43370</v>
      </c>
      <c r="G323" s="92">
        <f>tbl_Reservoir[[#This Row],[Surface Water Area (km2)]]</f>
        <v>13.44</v>
      </c>
    </row>
    <row r="324" spans="2:7" x14ac:dyDescent="0.2">
      <c r="B324" t="s">
        <v>451</v>
      </c>
      <c r="C324">
        <v>14.43</v>
      </c>
      <c r="D324" s="83"/>
      <c r="E324" s="90">
        <f t="shared" si="5"/>
        <v>320</v>
      </c>
      <c r="F324" s="91">
        <f>LEFT(tbl_Reservoir[[#This Row],[time]],10)*1</f>
        <v>43374</v>
      </c>
      <c r="G324" s="92">
        <f>tbl_Reservoir[[#This Row],[Surface Water Area (km2)]]</f>
        <v>14.43</v>
      </c>
    </row>
    <row r="325" spans="2:7" x14ac:dyDescent="0.2">
      <c r="B325" t="s">
        <v>452</v>
      </c>
      <c r="C325">
        <v>14.34</v>
      </c>
      <c r="D325" s="83"/>
      <c r="E325" s="90">
        <f t="shared" si="5"/>
        <v>321</v>
      </c>
      <c r="F325" s="91">
        <f>LEFT(tbl_Reservoir[[#This Row],[time]],10)*1</f>
        <v>43375</v>
      </c>
      <c r="G325" s="92">
        <f>tbl_Reservoir[[#This Row],[Surface Water Area (km2)]]</f>
        <v>14.34</v>
      </c>
    </row>
    <row r="326" spans="2:7" x14ac:dyDescent="0.2">
      <c r="B326" t="s">
        <v>453</v>
      </c>
      <c r="C326">
        <v>14.03</v>
      </c>
      <c r="D326" s="83"/>
      <c r="E326" s="90">
        <f t="shared" ref="E326:E389" si="6">ROW()-4</f>
        <v>322</v>
      </c>
      <c r="F326" s="91">
        <f>LEFT(tbl_Reservoir[[#This Row],[time]],10)*1</f>
        <v>43380</v>
      </c>
      <c r="G326" s="92">
        <f>tbl_Reservoir[[#This Row],[Surface Water Area (km2)]]</f>
        <v>14.03</v>
      </c>
    </row>
    <row r="327" spans="2:7" x14ac:dyDescent="0.2">
      <c r="B327" t="s">
        <v>454</v>
      </c>
      <c r="C327">
        <v>14.42</v>
      </c>
      <c r="D327" s="83"/>
      <c r="E327" s="90">
        <f t="shared" si="6"/>
        <v>323</v>
      </c>
      <c r="F327" s="91">
        <f>LEFT(tbl_Reservoir[[#This Row],[time]],10)*1</f>
        <v>43382</v>
      </c>
      <c r="G327" s="92">
        <f>tbl_Reservoir[[#This Row],[Surface Water Area (km2)]]</f>
        <v>14.42</v>
      </c>
    </row>
    <row r="328" spans="2:7" x14ac:dyDescent="0.2">
      <c r="B328" t="s">
        <v>455</v>
      </c>
      <c r="C328">
        <v>14.16</v>
      </c>
      <c r="D328" s="83"/>
      <c r="E328" s="90">
        <f t="shared" si="6"/>
        <v>324</v>
      </c>
      <c r="F328" s="91">
        <f>LEFT(tbl_Reservoir[[#This Row],[time]],10)*1</f>
        <v>43385</v>
      </c>
      <c r="G328" s="92">
        <f>tbl_Reservoir[[#This Row],[Surface Water Area (km2)]]</f>
        <v>14.16</v>
      </c>
    </row>
    <row r="329" spans="2:7" x14ac:dyDescent="0.2">
      <c r="B329" t="s">
        <v>456</v>
      </c>
      <c r="C329">
        <v>14.85</v>
      </c>
      <c r="D329" s="83"/>
      <c r="E329" s="90">
        <f t="shared" si="6"/>
        <v>325</v>
      </c>
      <c r="F329" s="91">
        <f>LEFT(tbl_Reservoir[[#This Row],[time]],10)*1</f>
        <v>43390</v>
      </c>
      <c r="G329" s="92">
        <f>tbl_Reservoir[[#This Row],[Surface Water Area (km2)]]</f>
        <v>14.85</v>
      </c>
    </row>
    <row r="330" spans="2:7" x14ac:dyDescent="0.2">
      <c r="B330" t="s">
        <v>457</v>
      </c>
      <c r="C330">
        <v>14.34</v>
      </c>
      <c r="D330" s="83"/>
      <c r="E330" s="90">
        <f t="shared" si="6"/>
        <v>326</v>
      </c>
      <c r="F330" s="91">
        <f>LEFT(tbl_Reservoir[[#This Row],[time]],10)*1</f>
        <v>43390</v>
      </c>
      <c r="G330" s="92">
        <f>tbl_Reservoir[[#This Row],[Surface Water Area (km2)]]</f>
        <v>14.34</v>
      </c>
    </row>
    <row r="331" spans="2:7" x14ac:dyDescent="0.2">
      <c r="B331" t="s">
        <v>458</v>
      </c>
      <c r="C331">
        <v>13.94</v>
      </c>
      <c r="D331" s="83"/>
      <c r="E331" s="90">
        <f t="shared" si="6"/>
        <v>327</v>
      </c>
      <c r="F331" s="91">
        <f>LEFT(tbl_Reservoir[[#This Row],[time]],10)*1</f>
        <v>43395</v>
      </c>
      <c r="G331" s="92">
        <f>tbl_Reservoir[[#This Row],[Surface Water Area (km2)]]</f>
        <v>13.94</v>
      </c>
    </row>
    <row r="332" spans="2:7" x14ac:dyDescent="0.2">
      <c r="B332" t="s">
        <v>459</v>
      </c>
      <c r="C332">
        <v>14.23</v>
      </c>
      <c r="D332" s="83"/>
      <c r="E332" s="90">
        <f t="shared" si="6"/>
        <v>328</v>
      </c>
      <c r="F332" s="91">
        <f>LEFT(tbl_Reservoir[[#This Row],[time]],10)*1</f>
        <v>43398</v>
      </c>
      <c r="G332" s="92">
        <f>tbl_Reservoir[[#This Row],[Surface Water Area (km2)]]</f>
        <v>14.23</v>
      </c>
    </row>
    <row r="333" spans="2:7" x14ac:dyDescent="0.2">
      <c r="B333" t="s">
        <v>460</v>
      </c>
      <c r="C333">
        <v>14.17</v>
      </c>
      <c r="D333" s="83"/>
      <c r="E333" s="90">
        <f t="shared" si="6"/>
        <v>329</v>
      </c>
      <c r="F333" s="91">
        <f>LEFT(tbl_Reservoir[[#This Row],[time]],10)*1</f>
        <v>43400</v>
      </c>
      <c r="G333" s="92">
        <f>tbl_Reservoir[[#This Row],[Surface Water Area (km2)]]</f>
        <v>14.17</v>
      </c>
    </row>
    <row r="334" spans="2:7" x14ac:dyDescent="0.2">
      <c r="B334" t="s">
        <v>461</v>
      </c>
      <c r="C334">
        <v>13.95</v>
      </c>
      <c r="D334" s="83"/>
      <c r="E334" s="90">
        <f t="shared" si="6"/>
        <v>330</v>
      </c>
      <c r="F334" s="91">
        <f>LEFT(tbl_Reservoir[[#This Row],[time]],10)*1</f>
        <v>43405</v>
      </c>
      <c r="G334" s="92">
        <f>tbl_Reservoir[[#This Row],[Surface Water Area (km2)]]</f>
        <v>13.95</v>
      </c>
    </row>
    <row r="335" spans="2:7" x14ac:dyDescent="0.2">
      <c r="B335" t="s">
        <v>462</v>
      </c>
      <c r="C335">
        <v>14.09</v>
      </c>
      <c r="D335" s="83"/>
      <c r="E335" s="90">
        <f t="shared" si="6"/>
        <v>331</v>
      </c>
      <c r="F335" s="91">
        <f>LEFT(tbl_Reservoir[[#This Row],[time]],10)*1</f>
        <v>43406</v>
      </c>
      <c r="G335" s="92">
        <f>tbl_Reservoir[[#This Row],[Surface Water Area (km2)]]</f>
        <v>14.09</v>
      </c>
    </row>
    <row r="336" spans="2:7" x14ac:dyDescent="0.2">
      <c r="B336" t="s">
        <v>463</v>
      </c>
      <c r="C336">
        <v>13.42</v>
      </c>
      <c r="D336" s="83"/>
      <c r="E336" s="90">
        <f t="shared" si="6"/>
        <v>332</v>
      </c>
      <c r="F336" s="91">
        <f>LEFT(tbl_Reservoir[[#This Row],[time]],10)*1</f>
        <v>43410</v>
      </c>
      <c r="G336" s="92">
        <f>tbl_Reservoir[[#This Row],[Surface Water Area (km2)]]</f>
        <v>13.42</v>
      </c>
    </row>
    <row r="337" spans="2:7" x14ac:dyDescent="0.2">
      <c r="B337" t="s">
        <v>464</v>
      </c>
      <c r="C337">
        <v>13.64</v>
      </c>
      <c r="D337" s="83"/>
      <c r="E337" s="90">
        <f t="shared" si="6"/>
        <v>333</v>
      </c>
      <c r="F337" s="91">
        <f>LEFT(tbl_Reservoir[[#This Row],[time]],10)*1</f>
        <v>43414</v>
      </c>
      <c r="G337" s="92">
        <f>tbl_Reservoir[[#This Row],[Surface Water Area (km2)]]</f>
        <v>13.64</v>
      </c>
    </row>
    <row r="338" spans="2:7" x14ac:dyDescent="0.2">
      <c r="B338" t="s">
        <v>465</v>
      </c>
      <c r="C338">
        <v>13.85</v>
      </c>
      <c r="D338" s="83"/>
      <c r="E338" s="90">
        <f t="shared" si="6"/>
        <v>334</v>
      </c>
      <c r="F338" s="91">
        <f>LEFT(tbl_Reservoir[[#This Row],[time]],10)*1</f>
        <v>43415</v>
      </c>
      <c r="G338" s="92">
        <f>tbl_Reservoir[[#This Row],[Surface Water Area (km2)]]</f>
        <v>13.85</v>
      </c>
    </row>
    <row r="339" spans="2:7" x14ac:dyDescent="0.2">
      <c r="B339" t="s">
        <v>466</v>
      </c>
      <c r="C339">
        <v>13.35</v>
      </c>
      <c r="D339" s="83"/>
      <c r="E339" s="90">
        <f t="shared" si="6"/>
        <v>335</v>
      </c>
      <c r="F339" s="91">
        <f>LEFT(tbl_Reservoir[[#This Row],[time]],10)*1</f>
        <v>43420</v>
      </c>
      <c r="G339" s="92">
        <f>tbl_Reservoir[[#This Row],[Surface Water Area (km2)]]</f>
        <v>13.35</v>
      </c>
    </row>
    <row r="340" spans="2:7" x14ac:dyDescent="0.2">
      <c r="B340" t="s">
        <v>467</v>
      </c>
      <c r="C340">
        <v>13.75</v>
      </c>
      <c r="D340" s="83"/>
      <c r="E340" s="90">
        <f t="shared" si="6"/>
        <v>336</v>
      </c>
      <c r="F340" s="91">
        <f>LEFT(tbl_Reservoir[[#This Row],[time]],10)*1</f>
        <v>43425</v>
      </c>
      <c r="G340" s="92">
        <f>tbl_Reservoir[[#This Row],[Surface Water Area (km2)]]</f>
        <v>13.75</v>
      </c>
    </row>
    <row r="341" spans="2:7" x14ac:dyDescent="0.2">
      <c r="B341" t="s">
        <v>468</v>
      </c>
      <c r="C341">
        <v>14.49</v>
      </c>
      <c r="D341" s="83"/>
      <c r="E341" s="90">
        <f t="shared" si="6"/>
        <v>337</v>
      </c>
      <c r="F341" s="91">
        <f>LEFT(tbl_Reservoir[[#This Row],[time]],10)*1</f>
        <v>43430</v>
      </c>
      <c r="G341" s="92">
        <f>tbl_Reservoir[[#This Row],[Surface Water Area (km2)]]</f>
        <v>14.49</v>
      </c>
    </row>
    <row r="342" spans="2:7" x14ac:dyDescent="0.2">
      <c r="B342" t="s">
        <v>469</v>
      </c>
      <c r="C342">
        <v>14.09</v>
      </c>
      <c r="D342" s="83"/>
      <c r="E342" s="90">
        <f t="shared" si="6"/>
        <v>338</v>
      </c>
      <c r="F342" s="91">
        <f>LEFT(tbl_Reservoir[[#This Row],[time]],10)*1</f>
        <v>43430</v>
      </c>
      <c r="G342" s="92">
        <f>tbl_Reservoir[[#This Row],[Surface Water Area (km2)]]</f>
        <v>14.09</v>
      </c>
    </row>
    <row r="343" spans="2:7" x14ac:dyDescent="0.2">
      <c r="B343" t="s">
        <v>470</v>
      </c>
      <c r="C343">
        <v>13.92</v>
      </c>
      <c r="D343" s="83"/>
      <c r="E343" s="90">
        <f t="shared" si="6"/>
        <v>339</v>
      </c>
      <c r="F343" s="91">
        <f>LEFT(tbl_Reservoir[[#This Row],[time]],10)*1</f>
        <v>43435</v>
      </c>
      <c r="G343" s="92">
        <f>tbl_Reservoir[[#This Row],[Surface Water Area (km2)]]</f>
        <v>13.92</v>
      </c>
    </row>
    <row r="344" spans="2:7" x14ac:dyDescent="0.2">
      <c r="B344" t="s">
        <v>471</v>
      </c>
      <c r="C344">
        <v>14.37</v>
      </c>
      <c r="D344" s="83"/>
      <c r="E344" s="90">
        <f t="shared" si="6"/>
        <v>340</v>
      </c>
      <c r="F344" s="91">
        <f>LEFT(tbl_Reservoir[[#This Row],[time]],10)*1</f>
        <v>43438</v>
      </c>
      <c r="G344" s="92">
        <f>tbl_Reservoir[[#This Row],[Surface Water Area (km2)]]</f>
        <v>14.37</v>
      </c>
    </row>
    <row r="345" spans="2:7" x14ac:dyDescent="0.2">
      <c r="B345" t="s">
        <v>472</v>
      </c>
      <c r="C345">
        <v>13.76</v>
      </c>
      <c r="D345" s="83"/>
      <c r="E345" s="90">
        <f t="shared" si="6"/>
        <v>341</v>
      </c>
      <c r="F345" s="91">
        <f>LEFT(tbl_Reservoir[[#This Row],[time]],10)*1</f>
        <v>43440</v>
      </c>
      <c r="G345" s="92">
        <f>tbl_Reservoir[[#This Row],[Surface Water Area (km2)]]</f>
        <v>13.76</v>
      </c>
    </row>
    <row r="346" spans="2:7" x14ac:dyDescent="0.2">
      <c r="B346" t="s">
        <v>473</v>
      </c>
      <c r="C346">
        <v>13.85</v>
      </c>
      <c r="D346" s="83"/>
      <c r="E346" s="90">
        <f t="shared" si="6"/>
        <v>342</v>
      </c>
      <c r="F346" s="91">
        <f>LEFT(tbl_Reservoir[[#This Row],[time]],10)*1</f>
        <v>43445</v>
      </c>
      <c r="G346" s="92">
        <f>tbl_Reservoir[[#This Row],[Surface Water Area (km2)]]</f>
        <v>13.85</v>
      </c>
    </row>
    <row r="347" spans="2:7" x14ac:dyDescent="0.2">
      <c r="B347" t="s">
        <v>474</v>
      </c>
      <c r="C347">
        <v>13.89</v>
      </c>
      <c r="D347" s="83"/>
      <c r="E347" s="90">
        <f t="shared" si="6"/>
        <v>343</v>
      </c>
      <c r="F347" s="91">
        <f>LEFT(tbl_Reservoir[[#This Row],[time]],10)*1</f>
        <v>43450</v>
      </c>
      <c r="G347" s="92">
        <f>tbl_Reservoir[[#This Row],[Surface Water Area (km2)]]</f>
        <v>13.89</v>
      </c>
    </row>
    <row r="348" spans="2:7" x14ac:dyDescent="0.2">
      <c r="B348" t="s">
        <v>475</v>
      </c>
      <c r="C348">
        <v>14.16</v>
      </c>
      <c r="D348" s="83"/>
      <c r="E348" s="90">
        <f t="shared" si="6"/>
        <v>344</v>
      </c>
      <c r="F348" s="91">
        <f>LEFT(tbl_Reservoir[[#This Row],[time]],10)*1</f>
        <v>43454</v>
      </c>
      <c r="G348" s="92">
        <f>tbl_Reservoir[[#This Row],[Surface Water Area (km2)]]</f>
        <v>14.16</v>
      </c>
    </row>
    <row r="349" spans="2:7" x14ac:dyDescent="0.2">
      <c r="B349" t="s">
        <v>476</v>
      </c>
      <c r="C349">
        <v>13.72</v>
      </c>
      <c r="D349" s="83"/>
      <c r="E349" s="90">
        <f t="shared" si="6"/>
        <v>345</v>
      </c>
      <c r="F349" s="91">
        <f>LEFT(tbl_Reservoir[[#This Row],[time]],10)*1</f>
        <v>43455</v>
      </c>
      <c r="G349" s="92">
        <f>tbl_Reservoir[[#This Row],[Surface Water Area (km2)]]</f>
        <v>13.72</v>
      </c>
    </row>
    <row r="350" spans="2:7" x14ac:dyDescent="0.2">
      <c r="B350" t="s">
        <v>477</v>
      </c>
      <c r="C350">
        <v>13.26</v>
      </c>
      <c r="D350" s="83"/>
      <c r="E350" s="90">
        <f t="shared" si="6"/>
        <v>346</v>
      </c>
      <c r="F350" s="91">
        <f>LEFT(tbl_Reservoir[[#This Row],[time]],10)*1</f>
        <v>43460</v>
      </c>
      <c r="G350" s="92">
        <f>tbl_Reservoir[[#This Row],[Surface Water Area (km2)]]</f>
        <v>13.26</v>
      </c>
    </row>
    <row r="351" spans="2:7" x14ac:dyDescent="0.2">
      <c r="B351" t="s">
        <v>478</v>
      </c>
      <c r="C351">
        <v>14.17</v>
      </c>
      <c r="D351" s="83"/>
      <c r="E351" s="90">
        <f t="shared" si="6"/>
        <v>347</v>
      </c>
      <c r="F351" s="91">
        <f>LEFT(tbl_Reservoir[[#This Row],[time]],10)*1</f>
        <v>43462</v>
      </c>
      <c r="G351" s="92">
        <f>tbl_Reservoir[[#This Row],[Surface Water Area (km2)]]</f>
        <v>14.17</v>
      </c>
    </row>
    <row r="352" spans="2:7" x14ac:dyDescent="0.2">
      <c r="B352" t="s">
        <v>479</v>
      </c>
      <c r="C352">
        <v>14.11</v>
      </c>
      <c r="D352" s="83"/>
      <c r="E352" s="90">
        <f t="shared" si="6"/>
        <v>348</v>
      </c>
      <c r="F352" s="91">
        <f>LEFT(tbl_Reservoir[[#This Row],[time]],10)*1</f>
        <v>43465</v>
      </c>
      <c r="G352" s="92">
        <f>tbl_Reservoir[[#This Row],[Surface Water Area (km2)]]</f>
        <v>14.11</v>
      </c>
    </row>
    <row r="353" spans="2:7" x14ac:dyDescent="0.2">
      <c r="B353" t="s">
        <v>480</v>
      </c>
      <c r="C353">
        <v>13.8</v>
      </c>
      <c r="D353" s="83"/>
      <c r="E353" s="90">
        <f t="shared" si="6"/>
        <v>349</v>
      </c>
      <c r="F353" s="91">
        <f>LEFT(tbl_Reservoir[[#This Row],[time]],10)*1</f>
        <v>43470</v>
      </c>
      <c r="G353" s="92">
        <f>tbl_Reservoir[[#This Row],[Surface Water Area (km2)]]</f>
        <v>13.8</v>
      </c>
    </row>
    <row r="354" spans="2:7" x14ac:dyDescent="0.2">
      <c r="B354" t="s">
        <v>481</v>
      </c>
      <c r="C354">
        <v>13.17</v>
      </c>
      <c r="D354" s="83"/>
      <c r="E354" s="90">
        <f t="shared" si="6"/>
        <v>350</v>
      </c>
      <c r="F354" s="91">
        <f>LEFT(tbl_Reservoir[[#This Row],[time]],10)*1</f>
        <v>43470</v>
      </c>
      <c r="G354" s="92">
        <f>tbl_Reservoir[[#This Row],[Surface Water Area (km2)]]</f>
        <v>13.17</v>
      </c>
    </row>
    <row r="355" spans="2:7" x14ac:dyDescent="0.2">
      <c r="B355" t="s">
        <v>482</v>
      </c>
      <c r="C355">
        <v>13.82</v>
      </c>
      <c r="D355" s="83"/>
      <c r="E355" s="90">
        <f t="shared" si="6"/>
        <v>351</v>
      </c>
      <c r="F355" s="91">
        <f>LEFT(tbl_Reservoir[[#This Row],[time]],10)*1</f>
        <v>43478</v>
      </c>
      <c r="G355" s="92">
        <f>tbl_Reservoir[[#This Row],[Surface Water Area (km2)]]</f>
        <v>13.82</v>
      </c>
    </row>
    <row r="356" spans="2:7" x14ac:dyDescent="0.2">
      <c r="B356" t="s">
        <v>483</v>
      </c>
      <c r="C356">
        <v>14.85</v>
      </c>
      <c r="D356" s="83"/>
      <c r="E356" s="90">
        <f t="shared" si="6"/>
        <v>352</v>
      </c>
      <c r="F356" s="91">
        <f>LEFT(tbl_Reservoir[[#This Row],[time]],10)*1</f>
        <v>43480</v>
      </c>
      <c r="G356" s="92">
        <f>tbl_Reservoir[[#This Row],[Surface Water Area (km2)]]</f>
        <v>14.85</v>
      </c>
    </row>
    <row r="357" spans="2:7" x14ac:dyDescent="0.2">
      <c r="B357" t="s">
        <v>484</v>
      </c>
      <c r="C357">
        <v>12.92</v>
      </c>
      <c r="D357" s="83"/>
      <c r="E357" s="90">
        <f t="shared" si="6"/>
        <v>353</v>
      </c>
      <c r="F357" s="91">
        <f>LEFT(tbl_Reservoir[[#This Row],[time]],10)*1</f>
        <v>43485</v>
      </c>
      <c r="G357" s="92">
        <f>tbl_Reservoir[[#This Row],[Surface Water Area (km2)]]</f>
        <v>12.92</v>
      </c>
    </row>
    <row r="358" spans="2:7" x14ac:dyDescent="0.2">
      <c r="B358" t="s">
        <v>485</v>
      </c>
      <c r="C358">
        <v>13.3</v>
      </c>
      <c r="D358" s="83"/>
      <c r="E358" s="90">
        <f t="shared" si="6"/>
        <v>354</v>
      </c>
      <c r="F358" s="91">
        <f>LEFT(tbl_Reservoir[[#This Row],[time]],10)*1</f>
        <v>43486</v>
      </c>
      <c r="G358" s="92">
        <f>tbl_Reservoir[[#This Row],[Surface Water Area (km2)]]</f>
        <v>13.3</v>
      </c>
    </row>
    <row r="359" spans="2:7" x14ac:dyDescent="0.2">
      <c r="B359" t="s">
        <v>486</v>
      </c>
      <c r="C359">
        <v>13.13</v>
      </c>
      <c r="D359" s="83"/>
      <c r="E359" s="90">
        <f t="shared" si="6"/>
        <v>355</v>
      </c>
      <c r="F359" s="91">
        <f>LEFT(tbl_Reservoir[[#This Row],[time]],10)*1</f>
        <v>43490</v>
      </c>
      <c r="G359" s="92">
        <f>tbl_Reservoir[[#This Row],[Surface Water Area (km2)]]</f>
        <v>13.13</v>
      </c>
    </row>
    <row r="360" spans="2:7" x14ac:dyDescent="0.2">
      <c r="B360" t="s">
        <v>487</v>
      </c>
      <c r="C360">
        <v>14.32</v>
      </c>
      <c r="D360" s="83"/>
      <c r="E360" s="90">
        <f t="shared" si="6"/>
        <v>356</v>
      </c>
      <c r="F360" s="91">
        <f>LEFT(tbl_Reservoir[[#This Row],[time]],10)*1</f>
        <v>43493</v>
      </c>
      <c r="G360" s="92">
        <f>tbl_Reservoir[[#This Row],[Surface Water Area (km2)]]</f>
        <v>14.32</v>
      </c>
    </row>
    <row r="361" spans="2:7" x14ac:dyDescent="0.2">
      <c r="B361" t="s">
        <v>488</v>
      </c>
      <c r="C361">
        <v>27</v>
      </c>
      <c r="D361" s="83"/>
      <c r="E361" s="90">
        <f t="shared" si="6"/>
        <v>357</v>
      </c>
      <c r="F361" s="91">
        <f>LEFT(tbl_Reservoir[[#This Row],[time]],10)*1</f>
        <v>43502</v>
      </c>
      <c r="G361" s="92">
        <f>tbl_Reservoir[[#This Row],[Surface Water Area (km2)]]</f>
        <v>27</v>
      </c>
    </row>
    <row r="362" spans="2:7" x14ac:dyDescent="0.2">
      <c r="B362" t="s">
        <v>489</v>
      </c>
      <c r="C362">
        <v>26.16</v>
      </c>
      <c r="D362" s="83"/>
      <c r="E362" s="90">
        <f t="shared" si="6"/>
        <v>358</v>
      </c>
      <c r="F362" s="91">
        <f>LEFT(tbl_Reservoir[[#This Row],[time]],10)*1</f>
        <v>43505</v>
      </c>
      <c r="G362" s="92">
        <f>tbl_Reservoir[[#This Row],[Surface Water Area (km2)]]</f>
        <v>26.16</v>
      </c>
    </row>
    <row r="363" spans="2:7" x14ac:dyDescent="0.2">
      <c r="B363" t="s">
        <v>490</v>
      </c>
      <c r="C363">
        <v>26.69</v>
      </c>
      <c r="D363" s="83"/>
      <c r="E363" s="90">
        <f t="shared" si="6"/>
        <v>359</v>
      </c>
      <c r="F363" s="91">
        <f>LEFT(tbl_Reservoir[[#This Row],[time]],10)*1</f>
        <v>43510</v>
      </c>
      <c r="G363" s="92">
        <f>tbl_Reservoir[[#This Row],[Surface Water Area (km2)]]</f>
        <v>26.69</v>
      </c>
    </row>
    <row r="364" spans="2:7" x14ac:dyDescent="0.2">
      <c r="B364" t="s">
        <v>491</v>
      </c>
      <c r="C364">
        <v>26.45</v>
      </c>
      <c r="D364" s="83"/>
      <c r="E364" s="90">
        <f t="shared" si="6"/>
        <v>360</v>
      </c>
      <c r="F364" s="91">
        <f>LEFT(tbl_Reservoir[[#This Row],[time]],10)*1</f>
        <v>43510</v>
      </c>
      <c r="G364" s="92">
        <f>tbl_Reservoir[[#This Row],[Surface Water Area (km2)]]</f>
        <v>26.45</v>
      </c>
    </row>
    <row r="365" spans="2:7" x14ac:dyDescent="0.2">
      <c r="B365" t="s">
        <v>492</v>
      </c>
      <c r="C365">
        <v>46.64</v>
      </c>
      <c r="D365" s="83"/>
      <c r="E365" s="90">
        <f t="shared" si="6"/>
        <v>361</v>
      </c>
      <c r="F365" s="91">
        <f>LEFT(tbl_Reservoir[[#This Row],[time]],10)*1</f>
        <v>43520</v>
      </c>
      <c r="G365" s="92">
        <f>tbl_Reservoir[[#This Row],[Surface Water Area (km2)]]</f>
        <v>46.64</v>
      </c>
    </row>
    <row r="366" spans="2:7" x14ac:dyDescent="0.2">
      <c r="B366" t="s">
        <v>493</v>
      </c>
      <c r="C366">
        <v>49.97</v>
      </c>
      <c r="D366" s="83"/>
      <c r="E366" s="90">
        <f t="shared" si="6"/>
        <v>362</v>
      </c>
      <c r="F366" s="91">
        <f>LEFT(tbl_Reservoir[[#This Row],[time]],10)*1</f>
        <v>43526</v>
      </c>
      <c r="G366" s="92">
        <f>tbl_Reservoir[[#This Row],[Surface Water Area (km2)]]</f>
        <v>49.97</v>
      </c>
    </row>
    <row r="367" spans="2:7" x14ac:dyDescent="0.2">
      <c r="B367" t="s">
        <v>494</v>
      </c>
      <c r="C367">
        <v>63.01</v>
      </c>
      <c r="D367" s="83"/>
      <c r="E367" s="90">
        <f t="shared" si="6"/>
        <v>363</v>
      </c>
      <c r="F367" s="91">
        <f>LEFT(tbl_Reservoir[[#This Row],[time]],10)*1</f>
        <v>43530</v>
      </c>
      <c r="G367" s="92">
        <f>tbl_Reservoir[[#This Row],[Surface Water Area (km2)]]</f>
        <v>63.01</v>
      </c>
    </row>
    <row r="368" spans="2:7" x14ac:dyDescent="0.2">
      <c r="B368" t="s">
        <v>495</v>
      </c>
      <c r="C368">
        <v>60.42</v>
      </c>
      <c r="D368" s="83"/>
      <c r="E368" s="90">
        <f t="shared" si="6"/>
        <v>364</v>
      </c>
      <c r="F368" s="91">
        <f>LEFT(tbl_Reservoir[[#This Row],[time]],10)*1</f>
        <v>43534</v>
      </c>
      <c r="G368" s="92">
        <f>tbl_Reservoir[[#This Row],[Surface Water Area (km2)]]</f>
        <v>60.42</v>
      </c>
    </row>
    <row r="369" spans="2:7" x14ac:dyDescent="0.2">
      <c r="B369" t="s">
        <v>496</v>
      </c>
      <c r="C369">
        <v>59.85</v>
      </c>
      <c r="D369" s="83"/>
      <c r="E369" s="90">
        <f t="shared" si="6"/>
        <v>365</v>
      </c>
      <c r="F369" s="91">
        <f>LEFT(tbl_Reservoir[[#This Row],[time]],10)*1</f>
        <v>43535</v>
      </c>
      <c r="G369" s="92">
        <f>tbl_Reservoir[[#This Row],[Surface Water Area (km2)]]</f>
        <v>59.85</v>
      </c>
    </row>
    <row r="370" spans="2:7" x14ac:dyDescent="0.2">
      <c r="B370" t="s">
        <v>497</v>
      </c>
      <c r="C370">
        <v>58.17</v>
      </c>
      <c r="D370" s="83"/>
      <c r="E370" s="90">
        <f t="shared" si="6"/>
        <v>366</v>
      </c>
      <c r="F370" s="91">
        <f>LEFT(tbl_Reservoir[[#This Row],[time]],10)*1</f>
        <v>43545</v>
      </c>
      <c r="G370" s="92">
        <f>tbl_Reservoir[[#This Row],[Surface Water Area (km2)]]</f>
        <v>58.17</v>
      </c>
    </row>
    <row r="371" spans="2:7" x14ac:dyDescent="0.2">
      <c r="B371" t="s">
        <v>498</v>
      </c>
      <c r="C371">
        <v>62.91</v>
      </c>
      <c r="D371" s="83"/>
      <c r="E371" s="90">
        <f t="shared" si="6"/>
        <v>367</v>
      </c>
      <c r="F371" s="91">
        <f>LEFT(tbl_Reservoir[[#This Row],[time]],10)*1</f>
        <v>43550</v>
      </c>
      <c r="G371" s="92">
        <f>tbl_Reservoir[[#This Row],[Surface Water Area (km2)]]</f>
        <v>62.91</v>
      </c>
    </row>
    <row r="372" spans="2:7" x14ac:dyDescent="0.2">
      <c r="B372" t="s">
        <v>499</v>
      </c>
      <c r="C372">
        <v>55.99</v>
      </c>
      <c r="D372" s="83"/>
      <c r="E372" s="90">
        <f t="shared" si="6"/>
        <v>368</v>
      </c>
      <c r="F372" s="91">
        <f>LEFT(tbl_Reservoir[[#This Row],[time]],10)*1</f>
        <v>43555</v>
      </c>
      <c r="G372" s="92">
        <f>tbl_Reservoir[[#This Row],[Surface Water Area (km2)]]</f>
        <v>55.99</v>
      </c>
    </row>
    <row r="373" spans="2:7" x14ac:dyDescent="0.2">
      <c r="B373" t="s">
        <v>500</v>
      </c>
      <c r="C373">
        <v>55.16</v>
      </c>
      <c r="D373" s="83"/>
      <c r="E373" s="90">
        <f t="shared" si="6"/>
        <v>369</v>
      </c>
      <c r="F373" s="91">
        <f>LEFT(tbl_Reservoir[[#This Row],[time]],10)*1</f>
        <v>43558</v>
      </c>
      <c r="G373" s="92">
        <f>tbl_Reservoir[[#This Row],[Surface Water Area (km2)]]</f>
        <v>55.16</v>
      </c>
    </row>
    <row r="374" spans="2:7" x14ac:dyDescent="0.2">
      <c r="B374" t="s">
        <v>501</v>
      </c>
      <c r="C374">
        <v>55.99</v>
      </c>
      <c r="D374" s="83"/>
      <c r="E374" s="90">
        <f t="shared" si="6"/>
        <v>370</v>
      </c>
      <c r="F374" s="91">
        <f>LEFT(tbl_Reservoir[[#This Row],[time]],10)*1</f>
        <v>43560</v>
      </c>
      <c r="G374" s="92">
        <f>tbl_Reservoir[[#This Row],[Surface Water Area (km2)]]</f>
        <v>55.99</v>
      </c>
    </row>
    <row r="375" spans="2:7" x14ac:dyDescent="0.2">
      <c r="B375" t="s">
        <v>502</v>
      </c>
      <c r="C375">
        <v>55</v>
      </c>
      <c r="D375" s="83"/>
      <c r="E375" s="90">
        <f t="shared" si="6"/>
        <v>371</v>
      </c>
      <c r="F375" s="91">
        <f>LEFT(tbl_Reservoir[[#This Row],[time]],10)*1</f>
        <v>43566</v>
      </c>
      <c r="G375" s="92">
        <f>tbl_Reservoir[[#This Row],[Surface Water Area (km2)]]</f>
        <v>55</v>
      </c>
    </row>
    <row r="376" spans="2:7" x14ac:dyDescent="0.2">
      <c r="B376" t="s">
        <v>503</v>
      </c>
      <c r="C376">
        <v>56.55</v>
      </c>
      <c r="D376" s="83"/>
      <c r="E376" s="90">
        <f t="shared" si="6"/>
        <v>372</v>
      </c>
      <c r="F376" s="91">
        <f>LEFT(tbl_Reservoir[[#This Row],[time]],10)*1</f>
        <v>43570</v>
      </c>
      <c r="G376" s="92">
        <f>tbl_Reservoir[[#This Row],[Surface Water Area (km2)]]</f>
        <v>56.55</v>
      </c>
    </row>
    <row r="377" spans="2:7" x14ac:dyDescent="0.2">
      <c r="B377" t="s">
        <v>504</v>
      </c>
      <c r="C377">
        <v>58.79</v>
      </c>
      <c r="D377" s="83"/>
      <c r="E377" s="90">
        <f t="shared" si="6"/>
        <v>373</v>
      </c>
      <c r="F377" s="91">
        <f>LEFT(tbl_Reservoir[[#This Row],[time]],10)*1</f>
        <v>43574</v>
      </c>
      <c r="G377" s="92">
        <f>tbl_Reservoir[[#This Row],[Surface Water Area (km2)]]</f>
        <v>58.79</v>
      </c>
    </row>
    <row r="378" spans="2:7" x14ac:dyDescent="0.2">
      <c r="B378" t="s">
        <v>505</v>
      </c>
      <c r="C378">
        <v>59.32</v>
      </c>
      <c r="D378" s="83"/>
      <c r="E378" s="90">
        <f t="shared" si="6"/>
        <v>374</v>
      </c>
      <c r="F378" s="91">
        <f>LEFT(tbl_Reservoir[[#This Row],[time]],10)*1</f>
        <v>43575</v>
      </c>
      <c r="G378" s="92">
        <f>tbl_Reservoir[[#This Row],[Surface Water Area (km2)]]</f>
        <v>59.32</v>
      </c>
    </row>
    <row r="379" spans="2:7" x14ac:dyDescent="0.2">
      <c r="B379" t="s">
        <v>506</v>
      </c>
      <c r="C379">
        <v>59.82</v>
      </c>
      <c r="D379" s="83"/>
      <c r="E379" s="90">
        <f t="shared" si="6"/>
        <v>375</v>
      </c>
      <c r="F379" s="91">
        <f>LEFT(tbl_Reservoir[[#This Row],[time]],10)*1</f>
        <v>43580</v>
      </c>
      <c r="G379" s="92">
        <f>tbl_Reservoir[[#This Row],[Surface Water Area (km2)]]</f>
        <v>59.82</v>
      </c>
    </row>
    <row r="380" spans="2:7" x14ac:dyDescent="0.2">
      <c r="B380" t="s">
        <v>507</v>
      </c>
      <c r="C380">
        <v>59.24</v>
      </c>
      <c r="D380" s="83"/>
      <c r="E380" s="90">
        <f t="shared" si="6"/>
        <v>376</v>
      </c>
      <c r="F380" s="91">
        <f>LEFT(tbl_Reservoir[[#This Row],[time]],10)*1</f>
        <v>43582</v>
      </c>
      <c r="G380" s="92">
        <f>tbl_Reservoir[[#This Row],[Surface Water Area (km2)]]</f>
        <v>59.24</v>
      </c>
    </row>
    <row r="381" spans="2:7" x14ac:dyDescent="0.2">
      <c r="B381" t="s">
        <v>508</v>
      </c>
      <c r="C381">
        <v>58.54</v>
      </c>
      <c r="D381" s="83"/>
      <c r="E381" s="90">
        <f t="shared" si="6"/>
        <v>377</v>
      </c>
      <c r="F381" s="91">
        <f>LEFT(tbl_Reservoir[[#This Row],[time]],10)*1</f>
        <v>43585</v>
      </c>
      <c r="G381" s="92">
        <f>tbl_Reservoir[[#This Row],[Surface Water Area (km2)]]</f>
        <v>58.54</v>
      </c>
    </row>
    <row r="382" spans="2:7" x14ac:dyDescent="0.2">
      <c r="B382" t="s">
        <v>509</v>
      </c>
      <c r="C382">
        <v>57.14</v>
      </c>
      <c r="D382" s="83"/>
      <c r="E382" s="90">
        <f t="shared" si="6"/>
        <v>378</v>
      </c>
      <c r="F382" s="91">
        <f>LEFT(tbl_Reservoir[[#This Row],[time]],10)*1</f>
        <v>43590</v>
      </c>
      <c r="G382" s="92">
        <f>tbl_Reservoir[[#This Row],[Surface Water Area (km2)]]</f>
        <v>57.14</v>
      </c>
    </row>
    <row r="383" spans="2:7" x14ac:dyDescent="0.2">
      <c r="B383" t="s">
        <v>510</v>
      </c>
      <c r="C383">
        <v>57.71</v>
      </c>
      <c r="D383" s="83"/>
      <c r="E383" s="90">
        <f t="shared" si="6"/>
        <v>379</v>
      </c>
      <c r="F383" s="91">
        <f>LEFT(tbl_Reservoir[[#This Row],[time]],10)*1</f>
        <v>43590</v>
      </c>
      <c r="G383" s="92">
        <f>tbl_Reservoir[[#This Row],[Surface Water Area (km2)]]</f>
        <v>57.71</v>
      </c>
    </row>
    <row r="384" spans="2:7" x14ac:dyDescent="0.2">
      <c r="B384" t="s">
        <v>511</v>
      </c>
      <c r="C384">
        <v>57.7</v>
      </c>
      <c r="D384" s="83"/>
      <c r="E384" s="90">
        <f t="shared" si="6"/>
        <v>380</v>
      </c>
      <c r="F384" s="91">
        <f>LEFT(tbl_Reservoir[[#This Row],[time]],10)*1</f>
        <v>43595</v>
      </c>
      <c r="G384" s="92">
        <f>tbl_Reservoir[[#This Row],[Surface Water Area (km2)]]</f>
        <v>57.7</v>
      </c>
    </row>
    <row r="385" spans="2:7" x14ac:dyDescent="0.2">
      <c r="B385" t="s">
        <v>512</v>
      </c>
      <c r="C385">
        <v>57.78</v>
      </c>
      <c r="D385" s="83"/>
      <c r="E385" s="90">
        <f t="shared" si="6"/>
        <v>381</v>
      </c>
      <c r="F385" s="91">
        <f>LEFT(tbl_Reservoir[[#This Row],[time]],10)*1</f>
        <v>43598</v>
      </c>
      <c r="G385" s="92">
        <f>tbl_Reservoir[[#This Row],[Surface Water Area (km2)]]</f>
        <v>57.78</v>
      </c>
    </row>
    <row r="386" spans="2:7" x14ac:dyDescent="0.2">
      <c r="B386" t="s">
        <v>513</v>
      </c>
      <c r="C386">
        <v>57.66</v>
      </c>
      <c r="D386" s="83"/>
      <c r="E386" s="90">
        <f t="shared" si="6"/>
        <v>382</v>
      </c>
      <c r="F386" s="91">
        <f>LEFT(tbl_Reservoir[[#This Row],[time]],10)*1</f>
        <v>43600</v>
      </c>
      <c r="G386" s="92">
        <f>tbl_Reservoir[[#This Row],[Surface Water Area (km2)]]</f>
        <v>57.66</v>
      </c>
    </row>
    <row r="387" spans="2:7" x14ac:dyDescent="0.2">
      <c r="B387" t="s">
        <v>514</v>
      </c>
      <c r="C387">
        <v>61.28</v>
      </c>
      <c r="D387" s="83"/>
      <c r="E387" s="90">
        <f t="shared" si="6"/>
        <v>383</v>
      </c>
      <c r="F387" s="91">
        <f>LEFT(tbl_Reservoir[[#This Row],[time]],10)*1</f>
        <v>43606</v>
      </c>
      <c r="G387" s="92">
        <f>tbl_Reservoir[[#This Row],[Surface Water Area (km2)]]</f>
        <v>61.28</v>
      </c>
    </row>
    <row r="388" spans="2:7" x14ac:dyDescent="0.2">
      <c r="B388" t="s">
        <v>515</v>
      </c>
      <c r="C388">
        <v>59.69</v>
      </c>
      <c r="D388" s="83"/>
      <c r="E388" s="90">
        <f t="shared" si="6"/>
        <v>384</v>
      </c>
      <c r="F388" s="91">
        <f>LEFT(tbl_Reservoir[[#This Row],[time]],10)*1</f>
        <v>43610</v>
      </c>
      <c r="G388" s="92">
        <f>tbl_Reservoir[[#This Row],[Surface Water Area (km2)]]</f>
        <v>59.69</v>
      </c>
    </row>
    <row r="389" spans="2:7" x14ac:dyDescent="0.2">
      <c r="B389" t="s">
        <v>516</v>
      </c>
      <c r="C389">
        <v>58.91</v>
      </c>
      <c r="D389" s="83"/>
      <c r="E389" s="90">
        <f t="shared" si="6"/>
        <v>385</v>
      </c>
      <c r="F389" s="91">
        <f>LEFT(tbl_Reservoir[[#This Row],[time]],10)*1</f>
        <v>43614</v>
      </c>
      <c r="G389" s="92">
        <f>tbl_Reservoir[[#This Row],[Surface Water Area (km2)]]</f>
        <v>58.91</v>
      </c>
    </row>
    <row r="390" spans="2:7" x14ac:dyDescent="0.2">
      <c r="B390" t="s">
        <v>517</v>
      </c>
      <c r="C390">
        <v>58.69</v>
      </c>
      <c r="D390" s="83"/>
      <c r="E390" s="90">
        <f t="shared" ref="E390:E453" si="7">ROW()-4</f>
        <v>386</v>
      </c>
      <c r="F390" s="91">
        <f>LEFT(tbl_Reservoir[[#This Row],[time]],10)*1</f>
        <v>43615</v>
      </c>
      <c r="G390" s="92">
        <f>tbl_Reservoir[[#This Row],[Surface Water Area (km2)]]</f>
        <v>58.69</v>
      </c>
    </row>
    <row r="391" spans="2:7" x14ac:dyDescent="0.2">
      <c r="B391" t="s">
        <v>518</v>
      </c>
      <c r="C391">
        <v>58.1</v>
      </c>
      <c r="D391" s="83"/>
      <c r="E391" s="90">
        <f t="shared" si="7"/>
        <v>387</v>
      </c>
      <c r="F391" s="91">
        <f>LEFT(tbl_Reservoir[[#This Row],[time]],10)*1</f>
        <v>43620</v>
      </c>
      <c r="G391" s="92">
        <f>tbl_Reservoir[[#This Row],[Surface Water Area (km2)]]</f>
        <v>58.1</v>
      </c>
    </row>
    <row r="392" spans="2:7" x14ac:dyDescent="0.2">
      <c r="B392" t="s">
        <v>519</v>
      </c>
      <c r="C392">
        <v>57.37</v>
      </c>
      <c r="D392" s="83"/>
      <c r="E392" s="90">
        <f t="shared" si="7"/>
        <v>388</v>
      </c>
      <c r="F392" s="91">
        <f>LEFT(tbl_Reservoir[[#This Row],[time]],10)*1</f>
        <v>43622</v>
      </c>
      <c r="G392" s="92">
        <f>tbl_Reservoir[[#This Row],[Surface Water Area (km2)]]</f>
        <v>57.37</v>
      </c>
    </row>
    <row r="393" spans="2:7" x14ac:dyDescent="0.2">
      <c r="B393" t="s">
        <v>520</v>
      </c>
      <c r="C393">
        <v>57.5</v>
      </c>
      <c r="D393" s="83"/>
      <c r="E393" s="90">
        <f t="shared" si="7"/>
        <v>389</v>
      </c>
      <c r="F393" s="91">
        <f>LEFT(tbl_Reservoir[[#This Row],[time]],10)*1</f>
        <v>43625</v>
      </c>
      <c r="G393" s="92">
        <f>tbl_Reservoir[[#This Row],[Surface Water Area (km2)]]</f>
        <v>57.5</v>
      </c>
    </row>
    <row r="394" spans="2:7" x14ac:dyDescent="0.2">
      <c r="B394" t="s">
        <v>521</v>
      </c>
      <c r="C394">
        <v>56.87</v>
      </c>
      <c r="D394" s="83"/>
      <c r="E394" s="90">
        <f t="shared" si="7"/>
        <v>390</v>
      </c>
      <c r="F394" s="91">
        <f>LEFT(tbl_Reservoir[[#This Row],[time]],10)*1</f>
        <v>43630</v>
      </c>
      <c r="G394" s="92">
        <f>tbl_Reservoir[[#This Row],[Surface Water Area (km2)]]</f>
        <v>56.87</v>
      </c>
    </row>
    <row r="395" spans="2:7" x14ac:dyDescent="0.2">
      <c r="B395" t="s">
        <v>522</v>
      </c>
      <c r="C395">
        <v>56.82</v>
      </c>
      <c r="D395" s="83"/>
      <c r="E395" s="90">
        <f t="shared" si="7"/>
        <v>391</v>
      </c>
      <c r="F395" s="91">
        <f>LEFT(tbl_Reservoir[[#This Row],[time]],10)*1</f>
        <v>43630</v>
      </c>
      <c r="G395" s="92">
        <f>tbl_Reservoir[[#This Row],[Surface Water Area (km2)]]</f>
        <v>56.82</v>
      </c>
    </row>
    <row r="396" spans="2:7" x14ac:dyDescent="0.2">
      <c r="B396" t="s">
        <v>523</v>
      </c>
      <c r="C396">
        <v>56.42</v>
      </c>
      <c r="D396" s="83"/>
      <c r="E396" s="90">
        <f t="shared" si="7"/>
        <v>392</v>
      </c>
      <c r="F396" s="91">
        <f>LEFT(tbl_Reservoir[[#This Row],[time]],10)*1</f>
        <v>43635</v>
      </c>
      <c r="G396" s="92">
        <f>tbl_Reservoir[[#This Row],[Surface Water Area (km2)]]</f>
        <v>56.42</v>
      </c>
    </row>
    <row r="397" spans="2:7" x14ac:dyDescent="0.2">
      <c r="B397" t="s">
        <v>524</v>
      </c>
      <c r="C397">
        <v>55.96</v>
      </c>
      <c r="D397" s="83"/>
      <c r="E397" s="90">
        <f t="shared" si="7"/>
        <v>393</v>
      </c>
      <c r="F397" s="91">
        <f>LEFT(tbl_Reservoir[[#This Row],[time]],10)*1</f>
        <v>43640</v>
      </c>
      <c r="G397" s="92">
        <f>tbl_Reservoir[[#This Row],[Surface Water Area (km2)]]</f>
        <v>55.96</v>
      </c>
    </row>
    <row r="398" spans="2:7" x14ac:dyDescent="0.2">
      <c r="B398" t="s">
        <v>525</v>
      </c>
      <c r="C398">
        <v>55.45</v>
      </c>
      <c r="D398" s="83"/>
      <c r="E398" s="90">
        <f t="shared" si="7"/>
        <v>394</v>
      </c>
      <c r="F398" s="91">
        <f>LEFT(tbl_Reservoir[[#This Row],[time]],10)*1</f>
        <v>43645</v>
      </c>
      <c r="G398" s="92">
        <f>tbl_Reservoir[[#This Row],[Surface Water Area (km2)]]</f>
        <v>55.45</v>
      </c>
    </row>
    <row r="399" spans="2:7" x14ac:dyDescent="0.2">
      <c r="B399" t="s">
        <v>526</v>
      </c>
      <c r="C399">
        <v>55.68</v>
      </c>
      <c r="D399" s="83"/>
      <c r="E399" s="90">
        <f t="shared" si="7"/>
        <v>395</v>
      </c>
      <c r="F399" s="91">
        <f>LEFT(tbl_Reservoir[[#This Row],[time]],10)*1</f>
        <v>43646</v>
      </c>
      <c r="G399" s="92">
        <f>tbl_Reservoir[[#This Row],[Surface Water Area (km2)]]</f>
        <v>55.68</v>
      </c>
    </row>
    <row r="400" spans="2:7" x14ac:dyDescent="0.2">
      <c r="B400" t="s">
        <v>527</v>
      </c>
      <c r="C400">
        <v>55.61</v>
      </c>
      <c r="D400" s="83"/>
      <c r="E400" s="90">
        <f t="shared" si="7"/>
        <v>396</v>
      </c>
      <c r="F400" s="91">
        <f>LEFT(tbl_Reservoir[[#This Row],[time]],10)*1</f>
        <v>43650</v>
      </c>
      <c r="G400" s="92">
        <f>tbl_Reservoir[[#This Row],[Surface Water Area (km2)]]</f>
        <v>55.61</v>
      </c>
    </row>
    <row r="401" spans="2:7" x14ac:dyDescent="0.2">
      <c r="B401" t="s">
        <v>528</v>
      </c>
      <c r="C401">
        <v>54.29</v>
      </c>
      <c r="D401" s="83"/>
      <c r="E401" s="90">
        <f t="shared" si="7"/>
        <v>397</v>
      </c>
      <c r="F401" s="91">
        <f>LEFT(tbl_Reservoir[[#This Row],[time]],10)*1</f>
        <v>43654</v>
      </c>
      <c r="G401" s="92">
        <f>tbl_Reservoir[[#This Row],[Surface Water Area (km2)]]</f>
        <v>54.29</v>
      </c>
    </row>
    <row r="402" spans="2:7" x14ac:dyDescent="0.2">
      <c r="B402" t="s">
        <v>529</v>
      </c>
      <c r="C402">
        <v>53.92</v>
      </c>
      <c r="D402" s="83"/>
      <c r="E402" s="90">
        <f t="shared" si="7"/>
        <v>398</v>
      </c>
      <c r="F402" s="91">
        <f>LEFT(tbl_Reservoir[[#This Row],[time]],10)*1</f>
        <v>43655</v>
      </c>
      <c r="G402" s="92">
        <f>tbl_Reservoir[[#This Row],[Surface Water Area (km2)]]</f>
        <v>53.92</v>
      </c>
    </row>
    <row r="403" spans="2:7" x14ac:dyDescent="0.2">
      <c r="B403" t="s">
        <v>530</v>
      </c>
      <c r="C403">
        <v>52.7</v>
      </c>
      <c r="D403" s="83"/>
      <c r="E403" s="90">
        <f t="shared" si="7"/>
        <v>399</v>
      </c>
      <c r="F403" s="91">
        <f>LEFT(tbl_Reservoir[[#This Row],[time]],10)*1</f>
        <v>43665</v>
      </c>
      <c r="G403" s="92">
        <f>tbl_Reservoir[[#This Row],[Surface Water Area (km2)]]</f>
        <v>52.7</v>
      </c>
    </row>
    <row r="404" spans="2:7" x14ac:dyDescent="0.2">
      <c r="B404" t="s">
        <v>531</v>
      </c>
      <c r="C404">
        <v>53.14</v>
      </c>
      <c r="D404" s="83"/>
      <c r="E404" s="90">
        <f t="shared" si="7"/>
        <v>400</v>
      </c>
      <c r="F404" s="91">
        <f>LEFT(tbl_Reservoir[[#This Row],[time]],10)*1</f>
        <v>43678</v>
      </c>
      <c r="G404" s="92">
        <f>tbl_Reservoir[[#This Row],[Surface Water Area (km2)]]</f>
        <v>53.14</v>
      </c>
    </row>
    <row r="405" spans="2:7" x14ac:dyDescent="0.2">
      <c r="B405" t="s">
        <v>532</v>
      </c>
      <c r="C405">
        <v>56.86</v>
      </c>
      <c r="D405" s="83"/>
      <c r="E405" s="90">
        <f t="shared" si="7"/>
        <v>401</v>
      </c>
      <c r="F405" s="91">
        <f>LEFT(tbl_Reservoir[[#This Row],[time]],10)*1</f>
        <v>43680</v>
      </c>
      <c r="G405" s="92">
        <f>tbl_Reservoir[[#This Row],[Surface Water Area (km2)]]</f>
        <v>56.86</v>
      </c>
    </row>
    <row r="406" spans="2:7" x14ac:dyDescent="0.2">
      <c r="B406" t="s">
        <v>533</v>
      </c>
      <c r="C406">
        <v>57.19</v>
      </c>
      <c r="D406" s="83"/>
      <c r="E406" s="90">
        <f t="shared" si="7"/>
        <v>402</v>
      </c>
      <c r="F406" s="91">
        <f>LEFT(tbl_Reservoir[[#This Row],[time]],10)*1</f>
        <v>43686</v>
      </c>
      <c r="G406" s="92">
        <f>tbl_Reservoir[[#This Row],[Surface Water Area (km2)]]</f>
        <v>57.19</v>
      </c>
    </row>
    <row r="407" spans="2:7" x14ac:dyDescent="0.2">
      <c r="B407" t="s">
        <v>534</v>
      </c>
      <c r="C407">
        <v>54.11</v>
      </c>
      <c r="D407" s="83"/>
      <c r="E407" s="90">
        <f t="shared" si="7"/>
        <v>403</v>
      </c>
      <c r="F407" s="91">
        <f>LEFT(tbl_Reservoir[[#This Row],[time]],10)*1</f>
        <v>43690</v>
      </c>
      <c r="G407" s="92">
        <f>tbl_Reservoir[[#This Row],[Surface Water Area (km2)]]</f>
        <v>54.11</v>
      </c>
    </row>
    <row r="408" spans="2:7" x14ac:dyDescent="0.2">
      <c r="B408" t="s">
        <v>535</v>
      </c>
      <c r="C408">
        <v>54.3</v>
      </c>
      <c r="D408" s="83"/>
      <c r="E408" s="90">
        <f t="shared" si="7"/>
        <v>404</v>
      </c>
      <c r="F408" s="91">
        <f>LEFT(tbl_Reservoir[[#This Row],[time]],10)*1</f>
        <v>43694</v>
      </c>
      <c r="G408" s="92">
        <f>tbl_Reservoir[[#This Row],[Surface Water Area (km2)]]</f>
        <v>54.3</v>
      </c>
    </row>
    <row r="409" spans="2:7" x14ac:dyDescent="0.2">
      <c r="B409" t="s">
        <v>536</v>
      </c>
      <c r="C409">
        <v>53.55</v>
      </c>
      <c r="D409" s="83"/>
      <c r="E409" s="90">
        <f t="shared" si="7"/>
        <v>405</v>
      </c>
      <c r="F409" s="91">
        <f>LEFT(tbl_Reservoir[[#This Row],[time]],10)*1</f>
        <v>43695</v>
      </c>
      <c r="G409" s="92">
        <f>tbl_Reservoir[[#This Row],[Surface Water Area (km2)]]</f>
        <v>53.55</v>
      </c>
    </row>
    <row r="410" spans="2:7" x14ac:dyDescent="0.2">
      <c r="B410" t="s">
        <v>537</v>
      </c>
      <c r="C410">
        <v>52.6</v>
      </c>
      <c r="D410" s="83"/>
      <c r="E410" s="90">
        <f t="shared" si="7"/>
        <v>406</v>
      </c>
      <c r="F410" s="91">
        <f>LEFT(tbl_Reservoir[[#This Row],[time]],10)*1</f>
        <v>43700</v>
      </c>
      <c r="G410" s="92">
        <f>tbl_Reservoir[[#This Row],[Surface Water Area (km2)]]</f>
        <v>52.6</v>
      </c>
    </row>
    <row r="411" spans="2:7" x14ac:dyDescent="0.2">
      <c r="B411" t="s">
        <v>538</v>
      </c>
      <c r="C411">
        <v>53.15</v>
      </c>
      <c r="D411" s="83"/>
      <c r="E411" s="90">
        <f t="shared" si="7"/>
        <v>407</v>
      </c>
      <c r="F411" s="91">
        <f>LEFT(tbl_Reservoir[[#This Row],[time]],10)*1</f>
        <v>43702</v>
      </c>
      <c r="G411" s="92">
        <f>tbl_Reservoir[[#This Row],[Surface Water Area (km2)]]</f>
        <v>53.15</v>
      </c>
    </row>
    <row r="412" spans="2:7" x14ac:dyDescent="0.2">
      <c r="B412" t="s">
        <v>539</v>
      </c>
      <c r="C412">
        <v>52.29</v>
      </c>
      <c r="D412" s="83"/>
      <c r="E412" s="90">
        <f t="shared" si="7"/>
        <v>408</v>
      </c>
      <c r="F412" s="91">
        <f>LEFT(tbl_Reservoir[[#This Row],[time]],10)*1</f>
        <v>43705</v>
      </c>
      <c r="G412" s="92">
        <f>tbl_Reservoir[[#This Row],[Surface Water Area (km2)]]</f>
        <v>52.29</v>
      </c>
    </row>
    <row r="413" spans="2:7" x14ac:dyDescent="0.2">
      <c r="B413" t="s">
        <v>540</v>
      </c>
      <c r="C413">
        <v>51.61</v>
      </c>
      <c r="D413" s="83"/>
      <c r="E413" s="90">
        <f t="shared" si="7"/>
        <v>409</v>
      </c>
      <c r="F413" s="91">
        <f>LEFT(tbl_Reservoir[[#This Row],[time]],10)*1</f>
        <v>43710</v>
      </c>
      <c r="G413" s="92">
        <f>tbl_Reservoir[[#This Row],[Surface Water Area (km2)]]</f>
        <v>51.61</v>
      </c>
    </row>
    <row r="414" spans="2:7" x14ac:dyDescent="0.2">
      <c r="B414" t="s">
        <v>541</v>
      </c>
      <c r="C414">
        <v>50.33</v>
      </c>
      <c r="D414" s="83"/>
      <c r="E414" s="90">
        <f t="shared" si="7"/>
        <v>410</v>
      </c>
      <c r="F414" s="91">
        <f>LEFT(tbl_Reservoir[[#This Row],[time]],10)*1</f>
        <v>43715</v>
      </c>
      <c r="G414" s="92">
        <f>tbl_Reservoir[[#This Row],[Surface Water Area (km2)]]</f>
        <v>50.33</v>
      </c>
    </row>
    <row r="415" spans="2:7" x14ac:dyDescent="0.2">
      <c r="B415" t="s">
        <v>542</v>
      </c>
      <c r="C415">
        <v>50.73</v>
      </c>
      <c r="D415" s="83"/>
      <c r="E415" s="90">
        <f t="shared" si="7"/>
        <v>411</v>
      </c>
      <c r="F415" s="91">
        <f>LEFT(tbl_Reservoir[[#This Row],[time]],10)*1</f>
        <v>43718</v>
      </c>
      <c r="G415" s="92">
        <f>tbl_Reservoir[[#This Row],[Surface Water Area (km2)]]</f>
        <v>50.73</v>
      </c>
    </row>
    <row r="416" spans="2:7" x14ac:dyDescent="0.2">
      <c r="B416" t="s">
        <v>543</v>
      </c>
      <c r="C416">
        <v>49.94</v>
      </c>
      <c r="D416" s="83"/>
      <c r="E416" s="90">
        <f t="shared" si="7"/>
        <v>412</v>
      </c>
      <c r="F416" s="91">
        <f>LEFT(tbl_Reservoir[[#This Row],[time]],10)*1</f>
        <v>43720</v>
      </c>
      <c r="G416" s="92">
        <f>tbl_Reservoir[[#This Row],[Surface Water Area (km2)]]</f>
        <v>49.94</v>
      </c>
    </row>
    <row r="417" spans="2:7" x14ac:dyDescent="0.2">
      <c r="B417" t="s">
        <v>544</v>
      </c>
      <c r="C417">
        <v>47.88</v>
      </c>
      <c r="D417" s="83"/>
      <c r="E417" s="90">
        <f t="shared" si="7"/>
        <v>413</v>
      </c>
      <c r="F417" s="91">
        <f>LEFT(tbl_Reservoir[[#This Row],[time]],10)*1</f>
        <v>43725</v>
      </c>
      <c r="G417" s="92">
        <f>tbl_Reservoir[[#This Row],[Surface Water Area (km2)]]</f>
        <v>47.88</v>
      </c>
    </row>
    <row r="418" spans="2:7" x14ac:dyDescent="0.2">
      <c r="B418" t="s">
        <v>545</v>
      </c>
      <c r="C418">
        <v>48.46</v>
      </c>
      <c r="D418" s="83"/>
      <c r="E418" s="90">
        <f t="shared" si="7"/>
        <v>414</v>
      </c>
      <c r="F418" s="91">
        <f>LEFT(tbl_Reservoir[[#This Row],[time]],10)*1</f>
        <v>43726</v>
      </c>
      <c r="G418" s="92">
        <f>tbl_Reservoir[[#This Row],[Surface Water Area (km2)]]</f>
        <v>48.46</v>
      </c>
    </row>
    <row r="419" spans="2:7" x14ac:dyDescent="0.2">
      <c r="B419" t="s">
        <v>546</v>
      </c>
      <c r="C419">
        <v>47.83</v>
      </c>
      <c r="D419" s="83"/>
      <c r="E419" s="90">
        <f t="shared" si="7"/>
        <v>415</v>
      </c>
      <c r="F419" s="91">
        <f>LEFT(tbl_Reservoir[[#This Row],[time]],10)*1</f>
        <v>43730</v>
      </c>
      <c r="G419" s="92">
        <f>tbl_Reservoir[[#This Row],[Surface Water Area (km2)]]</f>
        <v>47.83</v>
      </c>
    </row>
    <row r="420" spans="2:7" x14ac:dyDescent="0.2">
      <c r="B420" t="s">
        <v>547</v>
      </c>
      <c r="C420">
        <v>47.56</v>
      </c>
      <c r="D420" s="83"/>
      <c r="E420" s="90">
        <f t="shared" si="7"/>
        <v>416</v>
      </c>
      <c r="F420" s="91">
        <f>LEFT(tbl_Reservoir[[#This Row],[time]],10)*1</f>
        <v>43734</v>
      </c>
      <c r="G420" s="92">
        <f>tbl_Reservoir[[#This Row],[Surface Water Area (km2)]]</f>
        <v>47.56</v>
      </c>
    </row>
    <row r="421" spans="2:7" x14ac:dyDescent="0.2">
      <c r="B421" t="s">
        <v>548</v>
      </c>
      <c r="C421">
        <v>49.23</v>
      </c>
      <c r="D421" s="83"/>
      <c r="E421" s="90">
        <f t="shared" si="7"/>
        <v>417</v>
      </c>
      <c r="F421" s="91">
        <f>LEFT(tbl_Reservoir[[#This Row],[time]],10)*1</f>
        <v>43735</v>
      </c>
      <c r="G421" s="92">
        <f>tbl_Reservoir[[#This Row],[Surface Water Area (km2)]]</f>
        <v>49.23</v>
      </c>
    </row>
    <row r="422" spans="2:7" x14ac:dyDescent="0.2">
      <c r="B422" t="s">
        <v>549</v>
      </c>
      <c r="C422">
        <v>49.44</v>
      </c>
      <c r="D422" s="83"/>
      <c r="E422" s="90">
        <f t="shared" si="7"/>
        <v>418</v>
      </c>
      <c r="F422" s="91">
        <f>LEFT(tbl_Reservoir[[#This Row],[time]],10)*1</f>
        <v>43740</v>
      </c>
      <c r="G422" s="92">
        <f>tbl_Reservoir[[#This Row],[Surface Water Area (km2)]]</f>
        <v>49.44</v>
      </c>
    </row>
    <row r="423" spans="2:7" x14ac:dyDescent="0.2">
      <c r="B423" t="s">
        <v>550</v>
      </c>
      <c r="C423">
        <v>51.9</v>
      </c>
      <c r="D423" s="83"/>
      <c r="E423" s="90">
        <f t="shared" si="7"/>
        <v>419</v>
      </c>
      <c r="F423" s="91">
        <f>LEFT(tbl_Reservoir[[#This Row],[time]],10)*1</f>
        <v>43742</v>
      </c>
      <c r="G423" s="92">
        <f>tbl_Reservoir[[#This Row],[Surface Water Area (km2)]]</f>
        <v>51.9</v>
      </c>
    </row>
    <row r="424" spans="2:7" x14ac:dyDescent="0.2">
      <c r="B424" t="s">
        <v>551</v>
      </c>
      <c r="C424">
        <v>54.47</v>
      </c>
      <c r="D424" s="83"/>
      <c r="E424" s="90">
        <f t="shared" si="7"/>
        <v>420</v>
      </c>
      <c r="F424" s="91">
        <f>LEFT(tbl_Reservoir[[#This Row],[time]],10)*1</f>
        <v>43750</v>
      </c>
      <c r="G424" s="92">
        <f>tbl_Reservoir[[#This Row],[Surface Water Area (km2)]]</f>
        <v>54.47</v>
      </c>
    </row>
    <row r="425" spans="2:7" x14ac:dyDescent="0.2">
      <c r="B425" t="s">
        <v>552</v>
      </c>
      <c r="C425">
        <v>54.7</v>
      </c>
      <c r="D425" s="83"/>
      <c r="E425" s="90">
        <f t="shared" si="7"/>
        <v>421</v>
      </c>
      <c r="F425" s="91">
        <f>LEFT(tbl_Reservoir[[#This Row],[time]],10)*1</f>
        <v>43750</v>
      </c>
      <c r="G425" s="92">
        <f>tbl_Reservoir[[#This Row],[Surface Water Area (km2)]]</f>
        <v>54.7</v>
      </c>
    </row>
    <row r="426" spans="2:7" x14ac:dyDescent="0.2">
      <c r="B426" t="s">
        <v>553</v>
      </c>
      <c r="C426">
        <v>53.95</v>
      </c>
      <c r="D426" s="83"/>
      <c r="E426" s="90">
        <f t="shared" si="7"/>
        <v>422</v>
      </c>
      <c r="F426" s="91">
        <f>LEFT(tbl_Reservoir[[#This Row],[time]],10)*1</f>
        <v>43755</v>
      </c>
      <c r="G426" s="92">
        <f>tbl_Reservoir[[#This Row],[Surface Water Area (km2)]]</f>
        <v>53.95</v>
      </c>
    </row>
    <row r="427" spans="2:7" x14ac:dyDescent="0.2">
      <c r="B427" t="s">
        <v>554</v>
      </c>
      <c r="C427">
        <v>53.97</v>
      </c>
      <c r="D427" s="83"/>
      <c r="E427" s="90">
        <f t="shared" si="7"/>
        <v>423</v>
      </c>
      <c r="F427" s="91">
        <f>LEFT(tbl_Reservoir[[#This Row],[time]],10)*1</f>
        <v>43758</v>
      </c>
      <c r="G427" s="92">
        <f>tbl_Reservoir[[#This Row],[Surface Water Area (km2)]]</f>
        <v>53.97</v>
      </c>
    </row>
    <row r="428" spans="2:7" x14ac:dyDescent="0.2">
      <c r="B428" t="s">
        <v>555</v>
      </c>
      <c r="C428">
        <v>53.2</v>
      </c>
      <c r="D428" s="83"/>
      <c r="E428" s="90">
        <f t="shared" si="7"/>
        <v>424</v>
      </c>
      <c r="F428" s="91">
        <f>LEFT(tbl_Reservoir[[#This Row],[time]],10)*1</f>
        <v>43760</v>
      </c>
      <c r="G428" s="92">
        <f>tbl_Reservoir[[#This Row],[Surface Water Area (km2)]]</f>
        <v>53.2</v>
      </c>
    </row>
    <row r="429" spans="2:7" x14ac:dyDescent="0.2">
      <c r="B429" t="s">
        <v>556</v>
      </c>
      <c r="C429">
        <v>53.13</v>
      </c>
      <c r="D429" s="83"/>
      <c r="E429" s="90">
        <f t="shared" si="7"/>
        <v>425</v>
      </c>
      <c r="F429" s="91">
        <f>LEFT(tbl_Reservoir[[#This Row],[time]],10)*1</f>
        <v>43765</v>
      </c>
      <c r="G429" s="92">
        <f>tbl_Reservoir[[#This Row],[Surface Water Area (km2)]]</f>
        <v>53.13</v>
      </c>
    </row>
    <row r="430" spans="2:7" x14ac:dyDescent="0.2">
      <c r="B430" t="s">
        <v>557</v>
      </c>
      <c r="C430">
        <v>53.41</v>
      </c>
      <c r="D430" s="83"/>
      <c r="E430" s="90">
        <f t="shared" si="7"/>
        <v>426</v>
      </c>
      <c r="F430" s="91">
        <f>LEFT(tbl_Reservoir[[#This Row],[time]],10)*1</f>
        <v>43766</v>
      </c>
      <c r="G430" s="92">
        <f>tbl_Reservoir[[#This Row],[Surface Water Area (km2)]]</f>
        <v>53.41</v>
      </c>
    </row>
    <row r="431" spans="2:7" x14ac:dyDescent="0.2">
      <c r="B431" t="s">
        <v>558</v>
      </c>
      <c r="C431">
        <v>52.15</v>
      </c>
      <c r="D431" s="83"/>
      <c r="E431" s="90">
        <f t="shared" si="7"/>
        <v>427</v>
      </c>
      <c r="F431" s="91">
        <f>LEFT(tbl_Reservoir[[#This Row],[time]],10)*1</f>
        <v>43770</v>
      </c>
      <c r="G431" s="92">
        <f>tbl_Reservoir[[#This Row],[Surface Water Area (km2)]]</f>
        <v>52.15</v>
      </c>
    </row>
    <row r="432" spans="2:7" x14ac:dyDescent="0.2">
      <c r="B432" t="s">
        <v>559</v>
      </c>
      <c r="C432">
        <v>52.59</v>
      </c>
      <c r="D432" s="83"/>
      <c r="E432" s="90">
        <f t="shared" si="7"/>
        <v>428</v>
      </c>
      <c r="F432" s="91">
        <f>LEFT(tbl_Reservoir[[#This Row],[time]],10)*1</f>
        <v>43774</v>
      </c>
      <c r="G432" s="92">
        <f>tbl_Reservoir[[#This Row],[Surface Water Area (km2)]]</f>
        <v>52.59</v>
      </c>
    </row>
    <row r="433" spans="2:7" x14ac:dyDescent="0.2">
      <c r="B433" t="s">
        <v>560</v>
      </c>
      <c r="C433">
        <v>51.66</v>
      </c>
      <c r="D433" s="83"/>
      <c r="E433" s="90">
        <f t="shared" si="7"/>
        <v>429</v>
      </c>
      <c r="F433" s="91">
        <f>LEFT(tbl_Reservoir[[#This Row],[time]],10)*1</f>
        <v>43775</v>
      </c>
      <c r="G433" s="92">
        <f>tbl_Reservoir[[#This Row],[Surface Water Area (km2)]]</f>
        <v>51.66</v>
      </c>
    </row>
    <row r="434" spans="2:7" x14ac:dyDescent="0.2">
      <c r="B434" t="s">
        <v>561</v>
      </c>
      <c r="C434">
        <v>50.34</v>
      </c>
      <c r="D434" s="83"/>
      <c r="E434" s="90">
        <f t="shared" si="7"/>
        <v>430</v>
      </c>
      <c r="F434" s="91">
        <f>LEFT(tbl_Reservoir[[#This Row],[time]],10)*1</f>
        <v>43780</v>
      </c>
      <c r="G434" s="92">
        <f>tbl_Reservoir[[#This Row],[Surface Water Area (km2)]]</f>
        <v>50.34</v>
      </c>
    </row>
    <row r="435" spans="2:7" x14ac:dyDescent="0.2">
      <c r="B435" t="s">
        <v>562</v>
      </c>
      <c r="C435">
        <v>50.96</v>
      </c>
      <c r="D435" s="83"/>
      <c r="E435" s="90">
        <f t="shared" si="7"/>
        <v>431</v>
      </c>
      <c r="F435" s="91">
        <f>LEFT(tbl_Reservoir[[#This Row],[time]],10)*1</f>
        <v>43782</v>
      </c>
      <c r="G435" s="92">
        <f>tbl_Reservoir[[#This Row],[Surface Water Area (km2)]]</f>
        <v>50.96</v>
      </c>
    </row>
    <row r="436" spans="2:7" x14ac:dyDescent="0.2">
      <c r="B436" t="s">
        <v>563</v>
      </c>
      <c r="C436">
        <v>50.29</v>
      </c>
      <c r="D436" s="83"/>
      <c r="E436" s="90">
        <f t="shared" si="7"/>
        <v>432</v>
      </c>
      <c r="F436" s="91">
        <f>LEFT(tbl_Reservoir[[#This Row],[time]],10)*1</f>
        <v>43785</v>
      </c>
      <c r="G436" s="92">
        <f>tbl_Reservoir[[#This Row],[Surface Water Area (km2)]]</f>
        <v>50.29</v>
      </c>
    </row>
    <row r="437" spans="2:7" x14ac:dyDescent="0.2">
      <c r="B437" t="s">
        <v>564</v>
      </c>
      <c r="C437">
        <v>59.09</v>
      </c>
      <c r="D437" s="83"/>
      <c r="E437" s="90">
        <f t="shared" si="7"/>
        <v>433</v>
      </c>
      <c r="F437" s="91">
        <f>LEFT(tbl_Reservoir[[#This Row],[time]],10)*1</f>
        <v>43798</v>
      </c>
      <c r="G437" s="92">
        <f>tbl_Reservoir[[#This Row],[Surface Water Area (km2)]]</f>
        <v>59.09</v>
      </c>
    </row>
    <row r="438" spans="2:7" x14ac:dyDescent="0.2">
      <c r="B438" t="s">
        <v>565</v>
      </c>
      <c r="C438">
        <v>58.37</v>
      </c>
      <c r="D438" s="83"/>
      <c r="E438" s="90">
        <f t="shared" si="7"/>
        <v>434</v>
      </c>
      <c r="F438" s="91">
        <f>LEFT(tbl_Reservoir[[#This Row],[time]],10)*1</f>
        <v>43800</v>
      </c>
      <c r="G438" s="92">
        <f>tbl_Reservoir[[#This Row],[Surface Water Area (km2)]]</f>
        <v>58.37</v>
      </c>
    </row>
    <row r="439" spans="2:7" x14ac:dyDescent="0.2">
      <c r="B439" t="s">
        <v>566</v>
      </c>
      <c r="C439">
        <v>57.96</v>
      </c>
      <c r="D439" s="83"/>
      <c r="E439" s="90">
        <f t="shared" si="7"/>
        <v>435</v>
      </c>
      <c r="F439" s="91">
        <f>LEFT(tbl_Reservoir[[#This Row],[time]],10)*1</f>
        <v>43805</v>
      </c>
      <c r="G439" s="92">
        <f>tbl_Reservoir[[#This Row],[Surface Water Area (km2)]]</f>
        <v>57.96</v>
      </c>
    </row>
    <row r="440" spans="2:7" x14ac:dyDescent="0.2">
      <c r="B440" t="s">
        <v>567</v>
      </c>
      <c r="C440">
        <v>57.67</v>
      </c>
      <c r="D440" s="83"/>
      <c r="E440" s="90">
        <f t="shared" si="7"/>
        <v>436</v>
      </c>
      <c r="F440" s="91">
        <f>LEFT(tbl_Reservoir[[#This Row],[time]],10)*1</f>
        <v>43814</v>
      </c>
      <c r="G440" s="92">
        <f>tbl_Reservoir[[#This Row],[Surface Water Area (km2)]]</f>
        <v>57.67</v>
      </c>
    </row>
    <row r="441" spans="2:7" x14ac:dyDescent="0.2">
      <c r="B441" t="s">
        <v>568</v>
      </c>
      <c r="C441">
        <v>55.98</v>
      </c>
      <c r="D441" s="83"/>
      <c r="E441" s="90">
        <f t="shared" si="7"/>
        <v>437</v>
      </c>
      <c r="F441" s="91">
        <f>LEFT(tbl_Reservoir[[#This Row],[time]],10)*1</f>
        <v>43815</v>
      </c>
      <c r="G441" s="92">
        <f>tbl_Reservoir[[#This Row],[Surface Water Area (km2)]]</f>
        <v>55.98</v>
      </c>
    </row>
    <row r="442" spans="2:7" x14ac:dyDescent="0.2">
      <c r="B442" t="s">
        <v>569</v>
      </c>
      <c r="C442">
        <v>57.36</v>
      </c>
      <c r="D442" s="83"/>
      <c r="E442" s="90">
        <f t="shared" si="7"/>
        <v>438</v>
      </c>
      <c r="F442" s="91">
        <f>LEFT(tbl_Reservoir[[#This Row],[time]],10)*1</f>
        <v>43820</v>
      </c>
      <c r="G442" s="92">
        <f>tbl_Reservoir[[#This Row],[Surface Water Area (km2)]]</f>
        <v>57.36</v>
      </c>
    </row>
    <row r="443" spans="2:7" x14ac:dyDescent="0.2">
      <c r="B443" t="s">
        <v>570</v>
      </c>
      <c r="C443">
        <v>57.33</v>
      </c>
      <c r="D443" s="83"/>
      <c r="E443" s="90">
        <f t="shared" si="7"/>
        <v>439</v>
      </c>
      <c r="F443" s="91">
        <f>LEFT(tbl_Reservoir[[#This Row],[time]],10)*1</f>
        <v>43822</v>
      </c>
      <c r="G443" s="92">
        <f>tbl_Reservoir[[#This Row],[Surface Water Area (km2)]]</f>
        <v>57.33</v>
      </c>
    </row>
    <row r="444" spans="2:7" x14ac:dyDescent="0.2">
      <c r="B444" t="s">
        <v>571</v>
      </c>
      <c r="C444">
        <v>57.05</v>
      </c>
      <c r="D444" s="83"/>
      <c r="E444" s="90">
        <f t="shared" si="7"/>
        <v>440</v>
      </c>
      <c r="F444" s="91">
        <f>LEFT(tbl_Reservoir[[#This Row],[time]],10)*1</f>
        <v>43825</v>
      </c>
      <c r="G444" s="92">
        <f>tbl_Reservoir[[#This Row],[Surface Water Area (km2)]]</f>
        <v>57.05</v>
      </c>
    </row>
    <row r="445" spans="2:7" x14ac:dyDescent="0.2">
      <c r="B445" t="s">
        <v>572</v>
      </c>
      <c r="C445">
        <v>56.56</v>
      </c>
      <c r="D445" s="83"/>
      <c r="E445" s="90">
        <f t="shared" si="7"/>
        <v>441</v>
      </c>
      <c r="F445" s="91">
        <f>LEFT(tbl_Reservoir[[#This Row],[time]],10)*1</f>
        <v>43830</v>
      </c>
      <c r="G445" s="92">
        <f>tbl_Reservoir[[#This Row],[Surface Water Area (km2)]]</f>
        <v>56.56</v>
      </c>
    </row>
    <row r="446" spans="2:7" x14ac:dyDescent="0.2">
      <c r="B446" t="s">
        <v>573</v>
      </c>
      <c r="C446">
        <v>56.83</v>
      </c>
      <c r="D446" s="83"/>
      <c r="E446" s="90">
        <f t="shared" si="7"/>
        <v>442</v>
      </c>
      <c r="F446" s="91">
        <f>LEFT(tbl_Reservoir[[#This Row],[time]],10)*1</f>
        <v>43830</v>
      </c>
      <c r="G446" s="92">
        <f>tbl_Reservoir[[#This Row],[Surface Water Area (km2)]]</f>
        <v>56.83</v>
      </c>
    </row>
    <row r="447" spans="2:7" x14ac:dyDescent="0.2">
      <c r="B447" t="s">
        <v>574</v>
      </c>
      <c r="C447">
        <v>61.08</v>
      </c>
      <c r="D447" s="83"/>
      <c r="E447" s="90">
        <f t="shared" si="7"/>
        <v>443</v>
      </c>
      <c r="F447" s="91">
        <f>LEFT(tbl_Reservoir[[#This Row],[time]],10)*1</f>
        <v>43838</v>
      </c>
      <c r="G447" s="92">
        <f>tbl_Reservoir[[#This Row],[Surface Water Area (km2)]]</f>
        <v>61.08</v>
      </c>
    </row>
    <row r="448" spans="2:7" x14ac:dyDescent="0.2">
      <c r="B448" t="s">
        <v>575</v>
      </c>
      <c r="C448">
        <v>62.54</v>
      </c>
      <c r="D448" s="83"/>
      <c r="E448" s="90">
        <f t="shared" si="7"/>
        <v>444</v>
      </c>
      <c r="F448" s="91">
        <f>LEFT(tbl_Reservoir[[#This Row],[time]],10)*1</f>
        <v>43846</v>
      </c>
      <c r="G448" s="92">
        <f>tbl_Reservoir[[#This Row],[Surface Water Area (km2)]]</f>
        <v>62.54</v>
      </c>
    </row>
    <row r="449" spans="2:7" x14ac:dyDescent="0.2">
      <c r="B449" t="s">
        <v>576</v>
      </c>
      <c r="C449">
        <v>59.49</v>
      </c>
      <c r="D449" s="83"/>
      <c r="E449" s="90">
        <f t="shared" si="7"/>
        <v>445</v>
      </c>
      <c r="F449" s="91">
        <f>LEFT(tbl_Reservoir[[#This Row],[time]],10)*1</f>
        <v>43850</v>
      </c>
      <c r="G449" s="92">
        <f>tbl_Reservoir[[#This Row],[Surface Water Area (km2)]]</f>
        <v>59.49</v>
      </c>
    </row>
    <row r="450" spans="2:7" x14ac:dyDescent="0.2">
      <c r="B450" t="s">
        <v>577</v>
      </c>
      <c r="C450">
        <v>58.13</v>
      </c>
      <c r="D450" s="83"/>
      <c r="E450" s="90">
        <f t="shared" si="7"/>
        <v>446</v>
      </c>
      <c r="F450" s="91">
        <f>LEFT(tbl_Reservoir[[#This Row],[time]],10)*1</f>
        <v>43855</v>
      </c>
      <c r="G450" s="92">
        <f>tbl_Reservoir[[#This Row],[Surface Water Area (km2)]]</f>
        <v>58.13</v>
      </c>
    </row>
    <row r="451" spans="2:7" x14ac:dyDescent="0.2">
      <c r="B451" t="s">
        <v>578</v>
      </c>
      <c r="C451">
        <v>57.57</v>
      </c>
      <c r="D451" s="83"/>
      <c r="E451" s="90">
        <f t="shared" si="7"/>
        <v>447</v>
      </c>
      <c r="F451" s="91">
        <f>LEFT(tbl_Reservoir[[#This Row],[time]],10)*1</f>
        <v>43860</v>
      </c>
      <c r="G451" s="92">
        <f>tbl_Reservoir[[#This Row],[Surface Water Area (km2)]]</f>
        <v>57.57</v>
      </c>
    </row>
    <row r="452" spans="2:7" x14ac:dyDescent="0.2">
      <c r="B452" t="s">
        <v>579</v>
      </c>
      <c r="C452">
        <v>57.56</v>
      </c>
      <c r="D452" s="83"/>
      <c r="E452" s="90">
        <f t="shared" si="7"/>
        <v>448</v>
      </c>
      <c r="F452" s="91">
        <f>LEFT(tbl_Reservoir[[#This Row],[time]],10)*1</f>
        <v>43862</v>
      </c>
      <c r="G452" s="92">
        <f>tbl_Reservoir[[#This Row],[Surface Water Area (km2)]]</f>
        <v>57.56</v>
      </c>
    </row>
    <row r="453" spans="2:7" x14ac:dyDescent="0.2">
      <c r="B453" t="s">
        <v>580</v>
      </c>
      <c r="C453">
        <v>57.63</v>
      </c>
      <c r="D453" s="83"/>
      <c r="E453" s="90">
        <f t="shared" si="7"/>
        <v>449</v>
      </c>
      <c r="F453" s="91">
        <f>LEFT(tbl_Reservoir[[#This Row],[time]],10)*1</f>
        <v>43865</v>
      </c>
      <c r="G453" s="92">
        <f>tbl_Reservoir[[#This Row],[Surface Water Area (km2)]]</f>
        <v>57.63</v>
      </c>
    </row>
    <row r="454" spans="2:7" x14ac:dyDescent="0.2">
      <c r="B454" t="s">
        <v>581</v>
      </c>
      <c r="C454">
        <v>57.38</v>
      </c>
      <c r="D454" s="83"/>
      <c r="E454" s="90">
        <f t="shared" ref="E454:E517" si="8">ROW()-4</f>
        <v>450</v>
      </c>
      <c r="F454" s="91">
        <f>LEFT(tbl_Reservoir[[#This Row],[time]],10)*1</f>
        <v>43870</v>
      </c>
      <c r="G454" s="92">
        <f>tbl_Reservoir[[#This Row],[Surface Water Area (km2)]]</f>
        <v>57.38</v>
      </c>
    </row>
    <row r="455" spans="2:7" x14ac:dyDescent="0.2">
      <c r="B455" t="s">
        <v>582</v>
      </c>
      <c r="C455">
        <v>57.29</v>
      </c>
      <c r="D455" s="83"/>
      <c r="E455" s="90">
        <f t="shared" si="8"/>
        <v>451</v>
      </c>
      <c r="F455" s="91">
        <f>LEFT(tbl_Reservoir[[#This Row],[time]],10)*1</f>
        <v>43870</v>
      </c>
      <c r="G455" s="92">
        <f>tbl_Reservoir[[#This Row],[Surface Water Area (km2)]]</f>
        <v>57.29</v>
      </c>
    </row>
    <row r="456" spans="2:7" x14ac:dyDescent="0.2">
      <c r="B456" t="s">
        <v>583</v>
      </c>
      <c r="C456">
        <v>57.05</v>
      </c>
      <c r="D456" s="83"/>
      <c r="E456" s="90">
        <f t="shared" si="8"/>
        <v>452</v>
      </c>
      <c r="F456" s="91">
        <f>LEFT(tbl_Reservoir[[#This Row],[time]],10)*1</f>
        <v>43875</v>
      </c>
      <c r="G456" s="92">
        <f>tbl_Reservoir[[#This Row],[Surface Water Area (km2)]]</f>
        <v>57.05</v>
      </c>
    </row>
    <row r="457" spans="2:7" x14ac:dyDescent="0.2">
      <c r="B457" t="s">
        <v>584</v>
      </c>
      <c r="C457">
        <v>56.55</v>
      </c>
      <c r="D457" s="83"/>
      <c r="E457" s="90">
        <f t="shared" si="8"/>
        <v>453</v>
      </c>
      <c r="F457" s="91">
        <f>LEFT(tbl_Reservoir[[#This Row],[time]],10)*1</f>
        <v>43878</v>
      </c>
      <c r="G457" s="92">
        <f>tbl_Reservoir[[#This Row],[Surface Water Area (km2)]]</f>
        <v>56.55</v>
      </c>
    </row>
    <row r="458" spans="2:7" x14ac:dyDescent="0.2">
      <c r="B458" t="s">
        <v>585</v>
      </c>
      <c r="C458">
        <v>57.79</v>
      </c>
      <c r="D458" s="83"/>
      <c r="E458" s="90">
        <f t="shared" si="8"/>
        <v>454</v>
      </c>
      <c r="F458" s="91">
        <f>LEFT(tbl_Reservoir[[#This Row],[time]],10)*1</f>
        <v>43880</v>
      </c>
      <c r="G458" s="92">
        <f>tbl_Reservoir[[#This Row],[Surface Water Area (km2)]]</f>
        <v>57.79</v>
      </c>
    </row>
    <row r="459" spans="2:7" x14ac:dyDescent="0.2">
      <c r="B459" t="s">
        <v>586</v>
      </c>
      <c r="C459">
        <v>56.35</v>
      </c>
      <c r="D459" s="83"/>
      <c r="E459" s="90">
        <f t="shared" si="8"/>
        <v>455</v>
      </c>
      <c r="F459" s="91">
        <f>LEFT(tbl_Reservoir[[#This Row],[time]],10)*1</f>
        <v>43885</v>
      </c>
      <c r="G459" s="92">
        <f>tbl_Reservoir[[#This Row],[Surface Water Area (km2)]]</f>
        <v>56.35</v>
      </c>
    </row>
    <row r="460" spans="2:7" x14ac:dyDescent="0.2">
      <c r="B460" t="s">
        <v>587</v>
      </c>
      <c r="C460">
        <v>56.28</v>
      </c>
      <c r="D460" s="83"/>
      <c r="E460" s="90">
        <f t="shared" si="8"/>
        <v>456</v>
      </c>
      <c r="F460" s="91">
        <f>LEFT(tbl_Reservoir[[#This Row],[time]],10)*1</f>
        <v>43890</v>
      </c>
      <c r="G460" s="92">
        <f>tbl_Reservoir[[#This Row],[Surface Water Area (km2)]]</f>
        <v>56.28</v>
      </c>
    </row>
    <row r="461" spans="2:7" x14ac:dyDescent="0.2">
      <c r="B461" t="s">
        <v>588</v>
      </c>
      <c r="C461">
        <v>56.37</v>
      </c>
      <c r="D461" s="83"/>
      <c r="E461" s="90">
        <f t="shared" si="8"/>
        <v>457</v>
      </c>
      <c r="F461" s="91">
        <f>LEFT(tbl_Reservoir[[#This Row],[time]],10)*1</f>
        <v>43894</v>
      </c>
      <c r="G461" s="92">
        <f>tbl_Reservoir[[#This Row],[Surface Water Area (km2)]]</f>
        <v>56.37</v>
      </c>
    </row>
    <row r="462" spans="2:7" x14ac:dyDescent="0.2">
      <c r="B462" t="s">
        <v>589</v>
      </c>
      <c r="C462">
        <v>56.73</v>
      </c>
      <c r="D462" s="83"/>
      <c r="E462" s="90">
        <f t="shared" si="8"/>
        <v>458</v>
      </c>
      <c r="F462" s="91">
        <f>LEFT(tbl_Reservoir[[#This Row],[time]],10)*1</f>
        <v>43895</v>
      </c>
      <c r="G462" s="92">
        <f>tbl_Reservoir[[#This Row],[Surface Water Area (km2)]]</f>
        <v>56.73</v>
      </c>
    </row>
    <row r="463" spans="2:7" x14ac:dyDescent="0.2">
      <c r="B463" t="s">
        <v>590</v>
      </c>
      <c r="C463">
        <v>55.45</v>
      </c>
      <c r="D463" s="83"/>
      <c r="E463" s="90">
        <f t="shared" si="8"/>
        <v>459</v>
      </c>
      <c r="F463" s="91">
        <f>LEFT(tbl_Reservoir[[#This Row],[time]],10)*1</f>
        <v>43900</v>
      </c>
      <c r="G463" s="92">
        <f>tbl_Reservoir[[#This Row],[Surface Water Area (km2)]]</f>
        <v>55.45</v>
      </c>
    </row>
    <row r="464" spans="2:7" x14ac:dyDescent="0.2">
      <c r="B464" t="s">
        <v>591</v>
      </c>
      <c r="C464">
        <v>55.39</v>
      </c>
      <c r="D464" s="83"/>
      <c r="E464" s="90">
        <f t="shared" si="8"/>
        <v>460</v>
      </c>
      <c r="F464" s="91">
        <f>LEFT(tbl_Reservoir[[#This Row],[time]],10)*1</f>
        <v>43902</v>
      </c>
      <c r="G464" s="92">
        <f>tbl_Reservoir[[#This Row],[Surface Water Area (km2)]]</f>
        <v>55.39</v>
      </c>
    </row>
    <row r="465" spans="2:7" x14ac:dyDescent="0.2">
      <c r="B465" t="s">
        <v>592</v>
      </c>
      <c r="C465">
        <v>54.77</v>
      </c>
      <c r="D465" s="83"/>
      <c r="E465" s="90">
        <f t="shared" si="8"/>
        <v>461</v>
      </c>
      <c r="F465" s="91">
        <f>LEFT(tbl_Reservoir[[#This Row],[time]],10)*1</f>
        <v>43910</v>
      </c>
      <c r="G465" s="92">
        <f>tbl_Reservoir[[#This Row],[Surface Water Area (km2)]]</f>
        <v>54.77</v>
      </c>
    </row>
    <row r="466" spans="2:7" x14ac:dyDescent="0.2">
      <c r="B466" t="s">
        <v>593</v>
      </c>
      <c r="C466">
        <v>54.87</v>
      </c>
      <c r="D466" s="83"/>
      <c r="E466" s="90">
        <f t="shared" si="8"/>
        <v>462</v>
      </c>
      <c r="F466" s="91">
        <f>LEFT(tbl_Reservoir[[#This Row],[time]],10)*1</f>
        <v>43910</v>
      </c>
      <c r="G466" s="92">
        <f>tbl_Reservoir[[#This Row],[Surface Water Area (km2)]]</f>
        <v>54.87</v>
      </c>
    </row>
    <row r="467" spans="2:7" x14ac:dyDescent="0.2">
      <c r="B467" t="s">
        <v>594</v>
      </c>
      <c r="C467">
        <v>60.78</v>
      </c>
      <c r="D467" s="83"/>
      <c r="E467" s="90">
        <f t="shared" si="8"/>
        <v>463</v>
      </c>
      <c r="F467" s="91">
        <f>LEFT(tbl_Reservoir[[#This Row],[time]],10)*1</f>
        <v>43915</v>
      </c>
      <c r="G467" s="92">
        <f>tbl_Reservoir[[#This Row],[Surface Water Area (km2)]]</f>
        <v>60.78</v>
      </c>
    </row>
    <row r="468" spans="2:7" x14ac:dyDescent="0.2">
      <c r="B468" t="s">
        <v>595</v>
      </c>
      <c r="C468">
        <v>58.99</v>
      </c>
      <c r="D468" s="83"/>
      <c r="E468" s="90">
        <f t="shared" si="8"/>
        <v>464</v>
      </c>
      <c r="F468" s="91">
        <f>LEFT(tbl_Reservoir[[#This Row],[time]],10)*1</f>
        <v>43918</v>
      </c>
      <c r="G468" s="92">
        <f>tbl_Reservoir[[#This Row],[Surface Water Area (km2)]]</f>
        <v>58.99</v>
      </c>
    </row>
    <row r="469" spans="2:7" x14ac:dyDescent="0.2">
      <c r="B469" t="s">
        <v>596</v>
      </c>
      <c r="C469">
        <v>54.63</v>
      </c>
      <c r="D469" s="83"/>
      <c r="E469" s="90">
        <f t="shared" si="8"/>
        <v>465</v>
      </c>
      <c r="F469" s="91">
        <f>LEFT(tbl_Reservoir[[#This Row],[time]],10)*1</f>
        <v>43920</v>
      </c>
      <c r="G469" s="92">
        <f>tbl_Reservoir[[#This Row],[Surface Water Area (km2)]]</f>
        <v>54.63</v>
      </c>
    </row>
    <row r="470" spans="2:7" x14ac:dyDescent="0.2">
      <c r="B470" t="s">
        <v>597</v>
      </c>
      <c r="C470">
        <v>58.52</v>
      </c>
      <c r="D470" s="83"/>
      <c r="E470" s="90">
        <f t="shared" si="8"/>
        <v>466</v>
      </c>
      <c r="F470" s="91">
        <f>LEFT(tbl_Reservoir[[#This Row],[time]],10)*1</f>
        <v>43925</v>
      </c>
      <c r="G470" s="92">
        <f>tbl_Reservoir[[#This Row],[Surface Water Area (km2)]]</f>
        <v>58.52</v>
      </c>
    </row>
    <row r="471" spans="2:7" x14ac:dyDescent="0.2">
      <c r="B471" t="s">
        <v>598</v>
      </c>
      <c r="C471">
        <v>58.27</v>
      </c>
      <c r="D471" s="83"/>
      <c r="E471" s="90">
        <f t="shared" si="8"/>
        <v>467</v>
      </c>
      <c r="F471" s="91">
        <f>LEFT(tbl_Reservoir[[#This Row],[time]],10)*1</f>
        <v>43926</v>
      </c>
      <c r="G471" s="92">
        <f>tbl_Reservoir[[#This Row],[Surface Water Area (km2)]]</f>
        <v>58.27</v>
      </c>
    </row>
    <row r="472" spans="2:7" x14ac:dyDescent="0.2">
      <c r="B472" t="s">
        <v>599</v>
      </c>
      <c r="C472">
        <v>57.74</v>
      </c>
      <c r="D472" s="83"/>
      <c r="E472" s="90">
        <f t="shared" si="8"/>
        <v>468</v>
      </c>
      <c r="F472" s="91">
        <f>LEFT(tbl_Reservoir[[#This Row],[time]],10)*1</f>
        <v>43930</v>
      </c>
      <c r="G472" s="92">
        <f>tbl_Reservoir[[#This Row],[Surface Water Area (km2)]]</f>
        <v>57.74</v>
      </c>
    </row>
    <row r="473" spans="2:7" x14ac:dyDescent="0.2">
      <c r="B473" t="s">
        <v>600</v>
      </c>
      <c r="C473">
        <v>57.6</v>
      </c>
      <c r="D473" s="83"/>
      <c r="E473" s="90">
        <f t="shared" si="8"/>
        <v>469</v>
      </c>
      <c r="F473" s="91">
        <f>LEFT(tbl_Reservoir[[#This Row],[time]],10)*1</f>
        <v>43934</v>
      </c>
      <c r="G473" s="92">
        <f>tbl_Reservoir[[#This Row],[Surface Water Area (km2)]]</f>
        <v>57.6</v>
      </c>
    </row>
    <row r="474" spans="2:7" x14ac:dyDescent="0.2">
      <c r="B474" t="s">
        <v>601</v>
      </c>
      <c r="C474">
        <v>58.37</v>
      </c>
      <c r="D474" s="83"/>
      <c r="E474" s="90">
        <f t="shared" si="8"/>
        <v>470</v>
      </c>
      <c r="F474" s="91">
        <f>LEFT(tbl_Reservoir[[#This Row],[time]],10)*1</f>
        <v>43935</v>
      </c>
      <c r="G474" s="92">
        <f>tbl_Reservoir[[#This Row],[Surface Water Area (km2)]]</f>
        <v>58.37</v>
      </c>
    </row>
    <row r="475" spans="2:7" x14ac:dyDescent="0.2">
      <c r="B475" t="s">
        <v>602</v>
      </c>
      <c r="C475">
        <v>59.94</v>
      </c>
      <c r="D475" s="83"/>
      <c r="E475" s="90">
        <f t="shared" si="8"/>
        <v>471</v>
      </c>
      <c r="F475" s="91">
        <f>LEFT(tbl_Reservoir[[#This Row],[time]],10)*1</f>
        <v>43940</v>
      </c>
      <c r="G475" s="92">
        <f>tbl_Reservoir[[#This Row],[Surface Water Area (km2)]]</f>
        <v>59.94</v>
      </c>
    </row>
    <row r="476" spans="2:7" x14ac:dyDescent="0.2">
      <c r="B476" t="s">
        <v>603</v>
      </c>
      <c r="C476">
        <v>56.81</v>
      </c>
      <c r="D476" s="83"/>
      <c r="E476" s="90">
        <f t="shared" si="8"/>
        <v>472</v>
      </c>
      <c r="F476" s="91">
        <f>LEFT(tbl_Reservoir[[#This Row],[time]],10)*1</f>
        <v>43942</v>
      </c>
      <c r="G476" s="92">
        <f>tbl_Reservoir[[#This Row],[Surface Water Area (km2)]]</f>
        <v>56.81</v>
      </c>
    </row>
    <row r="477" spans="2:7" x14ac:dyDescent="0.2">
      <c r="B477" t="s">
        <v>604</v>
      </c>
      <c r="C477">
        <v>56.44</v>
      </c>
      <c r="D477" s="83"/>
      <c r="E477" s="90">
        <f t="shared" si="8"/>
        <v>473</v>
      </c>
      <c r="F477" s="91">
        <f>LEFT(tbl_Reservoir[[#This Row],[time]],10)*1</f>
        <v>43945</v>
      </c>
      <c r="G477" s="92">
        <f>tbl_Reservoir[[#This Row],[Surface Water Area (km2)]]</f>
        <v>56.44</v>
      </c>
    </row>
    <row r="478" spans="2:7" x14ac:dyDescent="0.2">
      <c r="B478" t="s">
        <v>605</v>
      </c>
      <c r="C478">
        <v>56.08</v>
      </c>
      <c r="D478" s="83"/>
      <c r="E478" s="90">
        <f t="shared" si="8"/>
        <v>474</v>
      </c>
      <c r="F478" s="91">
        <f>LEFT(tbl_Reservoir[[#This Row],[time]],10)*1</f>
        <v>43950</v>
      </c>
      <c r="G478" s="92">
        <f>tbl_Reservoir[[#This Row],[Surface Water Area (km2)]]</f>
        <v>56.08</v>
      </c>
    </row>
    <row r="479" spans="2:7" x14ac:dyDescent="0.2">
      <c r="B479" t="s">
        <v>606</v>
      </c>
      <c r="C479">
        <v>56.24</v>
      </c>
      <c r="D479" s="83"/>
      <c r="E479" s="90">
        <f t="shared" si="8"/>
        <v>475</v>
      </c>
      <c r="F479" s="91">
        <f>LEFT(tbl_Reservoir[[#This Row],[time]],10)*1</f>
        <v>43950</v>
      </c>
      <c r="G479" s="92">
        <f>tbl_Reservoir[[#This Row],[Surface Water Area (km2)]]</f>
        <v>56.24</v>
      </c>
    </row>
    <row r="480" spans="2:7" x14ac:dyDescent="0.2">
      <c r="B480" t="s">
        <v>607</v>
      </c>
      <c r="C480">
        <v>56.09</v>
      </c>
      <c r="D480" s="83"/>
      <c r="E480" s="90">
        <f t="shared" si="8"/>
        <v>476</v>
      </c>
      <c r="F480" s="91">
        <f>LEFT(tbl_Reservoir[[#This Row],[time]],10)*1</f>
        <v>43955</v>
      </c>
      <c r="G480" s="92">
        <f>tbl_Reservoir[[#This Row],[Surface Water Area (km2)]]</f>
        <v>56.09</v>
      </c>
    </row>
    <row r="481" spans="2:7" x14ac:dyDescent="0.2">
      <c r="B481" t="s">
        <v>608</v>
      </c>
      <c r="C481">
        <v>55.11</v>
      </c>
      <c r="D481" s="83"/>
      <c r="E481" s="90">
        <f t="shared" si="8"/>
        <v>477</v>
      </c>
      <c r="F481" s="91">
        <f>LEFT(tbl_Reservoir[[#This Row],[time]],10)*1</f>
        <v>43958</v>
      </c>
      <c r="G481" s="92">
        <f>tbl_Reservoir[[#This Row],[Surface Water Area (km2)]]</f>
        <v>55.11</v>
      </c>
    </row>
    <row r="482" spans="2:7" x14ac:dyDescent="0.2">
      <c r="B482" t="s">
        <v>609</v>
      </c>
      <c r="C482">
        <v>56.04</v>
      </c>
      <c r="D482" s="83"/>
      <c r="E482" s="90">
        <f t="shared" si="8"/>
        <v>478</v>
      </c>
      <c r="F482" s="91">
        <f>LEFT(tbl_Reservoir[[#This Row],[time]],10)*1</f>
        <v>43960</v>
      </c>
      <c r="G482" s="92">
        <f>tbl_Reservoir[[#This Row],[Surface Water Area (km2)]]</f>
        <v>56.04</v>
      </c>
    </row>
    <row r="483" spans="2:7" x14ac:dyDescent="0.2">
      <c r="B483" t="s">
        <v>610</v>
      </c>
      <c r="C483">
        <v>55.46</v>
      </c>
      <c r="D483" s="83"/>
      <c r="E483" s="90">
        <f t="shared" si="8"/>
        <v>479</v>
      </c>
      <c r="F483" s="91">
        <f>LEFT(tbl_Reservoir[[#This Row],[time]],10)*1</f>
        <v>43965</v>
      </c>
      <c r="G483" s="92">
        <f>tbl_Reservoir[[#This Row],[Surface Water Area (km2)]]</f>
        <v>55.46</v>
      </c>
    </row>
    <row r="484" spans="2:7" x14ac:dyDescent="0.2">
      <c r="B484" t="s">
        <v>611</v>
      </c>
      <c r="C484">
        <v>54.4</v>
      </c>
      <c r="D484" s="83"/>
      <c r="E484" s="90">
        <f t="shared" si="8"/>
        <v>480</v>
      </c>
      <c r="F484" s="91">
        <f>LEFT(tbl_Reservoir[[#This Row],[time]],10)*1</f>
        <v>43966</v>
      </c>
      <c r="G484" s="92">
        <f>tbl_Reservoir[[#This Row],[Surface Water Area (km2)]]</f>
        <v>54.4</v>
      </c>
    </row>
    <row r="485" spans="2:7" x14ac:dyDescent="0.2">
      <c r="B485" t="s">
        <v>612</v>
      </c>
      <c r="C485">
        <v>53.43</v>
      </c>
      <c r="D485" s="83"/>
      <c r="E485" s="90">
        <f t="shared" si="8"/>
        <v>481</v>
      </c>
      <c r="F485" s="91">
        <f>LEFT(tbl_Reservoir[[#This Row],[time]],10)*1</f>
        <v>43974</v>
      </c>
      <c r="G485" s="92">
        <f>tbl_Reservoir[[#This Row],[Surface Water Area (km2)]]</f>
        <v>53.43</v>
      </c>
    </row>
    <row r="486" spans="2:7" x14ac:dyDescent="0.2">
      <c r="B486" t="s">
        <v>613</v>
      </c>
      <c r="C486">
        <v>53.4</v>
      </c>
      <c r="D486" s="83"/>
      <c r="E486" s="90">
        <f t="shared" si="8"/>
        <v>482</v>
      </c>
      <c r="F486" s="91">
        <f>LEFT(tbl_Reservoir[[#This Row],[time]],10)*1</f>
        <v>43975</v>
      </c>
      <c r="G486" s="92">
        <f>tbl_Reservoir[[#This Row],[Surface Water Area (km2)]]</f>
        <v>53.4</v>
      </c>
    </row>
    <row r="487" spans="2:7" x14ac:dyDescent="0.2">
      <c r="B487" t="s">
        <v>614</v>
      </c>
      <c r="C487">
        <v>53.14</v>
      </c>
      <c r="D487" s="83"/>
      <c r="E487" s="90">
        <f t="shared" si="8"/>
        <v>483</v>
      </c>
      <c r="F487" s="91">
        <f>LEFT(tbl_Reservoir[[#This Row],[time]],10)*1</f>
        <v>43980</v>
      </c>
      <c r="G487" s="92">
        <f>tbl_Reservoir[[#This Row],[Surface Water Area (km2)]]</f>
        <v>53.14</v>
      </c>
    </row>
    <row r="488" spans="2:7" x14ac:dyDescent="0.2">
      <c r="B488" t="s">
        <v>615</v>
      </c>
      <c r="C488">
        <v>51.47</v>
      </c>
      <c r="D488" s="83"/>
      <c r="E488" s="90">
        <f t="shared" si="8"/>
        <v>484</v>
      </c>
      <c r="F488" s="91">
        <f>LEFT(tbl_Reservoir[[#This Row],[time]],10)*1</f>
        <v>43982</v>
      </c>
      <c r="G488" s="92">
        <f>tbl_Reservoir[[#This Row],[Surface Water Area (km2)]]</f>
        <v>51.47</v>
      </c>
    </row>
    <row r="489" spans="2:7" x14ac:dyDescent="0.2">
      <c r="B489" t="s">
        <v>616</v>
      </c>
      <c r="C489">
        <v>51.3</v>
      </c>
      <c r="D489" s="83"/>
      <c r="E489" s="90">
        <f t="shared" si="8"/>
        <v>485</v>
      </c>
      <c r="F489" s="91">
        <f>LEFT(tbl_Reservoir[[#This Row],[time]],10)*1</f>
        <v>43985</v>
      </c>
      <c r="G489" s="92">
        <f>tbl_Reservoir[[#This Row],[Surface Water Area (km2)]]</f>
        <v>51.3</v>
      </c>
    </row>
    <row r="490" spans="2:7" x14ac:dyDescent="0.2">
      <c r="B490" t="s">
        <v>617</v>
      </c>
      <c r="C490">
        <v>49.06</v>
      </c>
      <c r="D490" s="83"/>
      <c r="E490" s="90">
        <f t="shared" si="8"/>
        <v>486</v>
      </c>
      <c r="F490" s="91">
        <f>LEFT(tbl_Reservoir[[#This Row],[time]],10)*1</f>
        <v>43995</v>
      </c>
      <c r="G490" s="92">
        <f>tbl_Reservoir[[#This Row],[Surface Water Area (km2)]]</f>
        <v>49.06</v>
      </c>
    </row>
    <row r="491" spans="2:7" x14ac:dyDescent="0.2">
      <c r="B491" t="s">
        <v>618</v>
      </c>
      <c r="C491">
        <v>49.64</v>
      </c>
      <c r="D491" s="83"/>
      <c r="E491" s="90">
        <f t="shared" si="8"/>
        <v>487</v>
      </c>
      <c r="F491" s="91">
        <f>LEFT(tbl_Reservoir[[#This Row],[time]],10)*1</f>
        <v>43998</v>
      </c>
      <c r="G491" s="92">
        <f>tbl_Reservoir[[#This Row],[Surface Water Area (km2)]]</f>
        <v>49.64</v>
      </c>
    </row>
    <row r="492" spans="2:7" x14ac:dyDescent="0.2">
      <c r="B492" t="s">
        <v>619</v>
      </c>
      <c r="C492">
        <v>48.26</v>
      </c>
      <c r="D492" s="83"/>
      <c r="E492" s="90">
        <f t="shared" si="8"/>
        <v>488</v>
      </c>
      <c r="F492" s="91">
        <f>LEFT(tbl_Reservoir[[#This Row],[time]],10)*1</f>
        <v>44000</v>
      </c>
      <c r="G492" s="92">
        <f>tbl_Reservoir[[#This Row],[Surface Water Area (km2)]]</f>
        <v>48.26</v>
      </c>
    </row>
    <row r="493" spans="2:7" x14ac:dyDescent="0.2">
      <c r="B493" t="s">
        <v>620</v>
      </c>
      <c r="C493">
        <v>46.91</v>
      </c>
      <c r="D493" s="83"/>
      <c r="E493" s="90">
        <f t="shared" si="8"/>
        <v>489</v>
      </c>
      <c r="F493" s="91">
        <f>LEFT(tbl_Reservoir[[#This Row],[time]],10)*1</f>
        <v>44005</v>
      </c>
      <c r="G493" s="92">
        <f>tbl_Reservoir[[#This Row],[Surface Water Area (km2)]]</f>
        <v>46.91</v>
      </c>
    </row>
    <row r="494" spans="2:7" x14ac:dyDescent="0.2">
      <c r="B494" t="s">
        <v>621</v>
      </c>
      <c r="C494">
        <v>47.24</v>
      </c>
      <c r="D494" s="83"/>
      <c r="E494" s="90">
        <f t="shared" si="8"/>
        <v>490</v>
      </c>
      <c r="F494" s="91">
        <f>LEFT(tbl_Reservoir[[#This Row],[time]],10)*1</f>
        <v>44006</v>
      </c>
      <c r="G494" s="92">
        <f>tbl_Reservoir[[#This Row],[Surface Water Area (km2)]]</f>
        <v>47.24</v>
      </c>
    </row>
    <row r="495" spans="2:7" x14ac:dyDescent="0.2">
      <c r="B495" t="s">
        <v>622</v>
      </c>
      <c r="C495">
        <v>46.52</v>
      </c>
      <c r="D495" s="83"/>
      <c r="E495" s="90">
        <f t="shared" si="8"/>
        <v>491</v>
      </c>
      <c r="F495" s="91">
        <f>LEFT(tbl_Reservoir[[#This Row],[time]],10)*1</f>
        <v>44010</v>
      </c>
      <c r="G495" s="92">
        <f>tbl_Reservoir[[#This Row],[Surface Water Area (km2)]]</f>
        <v>46.52</v>
      </c>
    </row>
    <row r="496" spans="2:7" x14ac:dyDescent="0.2">
      <c r="B496" t="s">
        <v>623</v>
      </c>
      <c r="C496">
        <v>45.88</v>
      </c>
      <c r="D496" s="83"/>
      <c r="E496" s="90">
        <f t="shared" si="8"/>
        <v>492</v>
      </c>
      <c r="F496" s="91">
        <f>LEFT(tbl_Reservoir[[#This Row],[time]],10)*1</f>
        <v>44014</v>
      </c>
      <c r="G496" s="92">
        <f>tbl_Reservoir[[#This Row],[Surface Water Area (km2)]]</f>
        <v>45.88</v>
      </c>
    </row>
    <row r="497" spans="2:7" x14ac:dyDescent="0.2">
      <c r="B497" t="s">
        <v>624</v>
      </c>
      <c r="C497">
        <v>45.17</v>
      </c>
      <c r="D497" s="83"/>
      <c r="E497" s="90">
        <f t="shared" si="8"/>
        <v>493</v>
      </c>
      <c r="F497" s="91">
        <f>LEFT(tbl_Reservoir[[#This Row],[time]],10)*1</f>
        <v>44015</v>
      </c>
      <c r="G497" s="92">
        <f>tbl_Reservoir[[#This Row],[Surface Water Area (km2)]]</f>
        <v>45.17</v>
      </c>
    </row>
    <row r="498" spans="2:7" x14ac:dyDescent="0.2">
      <c r="B498" t="s">
        <v>625</v>
      </c>
      <c r="C498">
        <v>43.53</v>
      </c>
      <c r="D498" s="83"/>
      <c r="E498" s="90">
        <f t="shared" si="8"/>
        <v>494</v>
      </c>
      <c r="F498" s="91">
        <f>LEFT(tbl_Reservoir[[#This Row],[time]],10)*1</f>
        <v>44022</v>
      </c>
      <c r="G498" s="92">
        <f>tbl_Reservoir[[#This Row],[Surface Water Area (km2)]]</f>
        <v>43.53</v>
      </c>
    </row>
    <row r="499" spans="2:7" x14ac:dyDescent="0.2">
      <c r="B499" t="s">
        <v>626</v>
      </c>
      <c r="C499">
        <v>43.02</v>
      </c>
      <c r="D499" s="83"/>
      <c r="E499" s="90">
        <f t="shared" si="8"/>
        <v>495</v>
      </c>
      <c r="F499" s="91">
        <f>LEFT(tbl_Reservoir[[#This Row],[time]],10)*1</f>
        <v>44025</v>
      </c>
      <c r="G499" s="92">
        <f>tbl_Reservoir[[#This Row],[Surface Water Area (km2)]]</f>
        <v>43.02</v>
      </c>
    </row>
    <row r="500" spans="2:7" x14ac:dyDescent="0.2">
      <c r="B500" t="s">
        <v>627</v>
      </c>
      <c r="C500">
        <v>44.63</v>
      </c>
      <c r="D500" s="83"/>
      <c r="E500" s="90">
        <f t="shared" si="8"/>
        <v>496</v>
      </c>
      <c r="F500" s="91">
        <f>LEFT(tbl_Reservoir[[#This Row],[time]],10)*1</f>
        <v>44030</v>
      </c>
      <c r="G500" s="92">
        <f>tbl_Reservoir[[#This Row],[Surface Water Area (km2)]]</f>
        <v>44.63</v>
      </c>
    </row>
    <row r="501" spans="2:7" x14ac:dyDescent="0.2">
      <c r="B501" t="s">
        <v>628</v>
      </c>
      <c r="C501">
        <v>44.12</v>
      </c>
      <c r="D501" s="83"/>
      <c r="E501" s="90">
        <f t="shared" si="8"/>
        <v>497</v>
      </c>
      <c r="F501" s="91">
        <f>LEFT(tbl_Reservoir[[#This Row],[time]],10)*1</f>
        <v>44030</v>
      </c>
      <c r="G501" s="92">
        <f>tbl_Reservoir[[#This Row],[Surface Water Area (km2)]]</f>
        <v>44.12</v>
      </c>
    </row>
    <row r="502" spans="2:7" x14ac:dyDescent="0.2">
      <c r="B502" t="s">
        <v>629</v>
      </c>
      <c r="C502">
        <v>52.66</v>
      </c>
      <c r="D502" s="83"/>
      <c r="E502" s="90">
        <f t="shared" si="8"/>
        <v>498</v>
      </c>
      <c r="F502" s="91">
        <f>LEFT(tbl_Reservoir[[#This Row],[time]],10)*1</f>
        <v>44038</v>
      </c>
      <c r="G502" s="92">
        <f>tbl_Reservoir[[#This Row],[Surface Water Area (km2)]]</f>
        <v>52.66</v>
      </c>
    </row>
    <row r="503" spans="2:7" x14ac:dyDescent="0.2">
      <c r="B503" t="s">
        <v>630</v>
      </c>
      <c r="C503">
        <v>54.55</v>
      </c>
      <c r="D503" s="83"/>
      <c r="E503" s="90">
        <f t="shared" si="8"/>
        <v>499</v>
      </c>
      <c r="F503" s="91">
        <f>LEFT(tbl_Reservoir[[#This Row],[time]],10)*1</f>
        <v>44040</v>
      </c>
      <c r="G503" s="92">
        <f>tbl_Reservoir[[#This Row],[Surface Water Area (km2)]]</f>
        <v>54.55</v>
      </c>
    </row>
    <row r="504" spans="2:7" x14ac:dyDescent="0.2">
      <c r="B504" t="s">
        <v>631</v>
      </c>
      <c r="C504">
        <v>54.91</v>
      </c>
      <c r="D504" s="83"/>
      <c r="E504" s="90">
        <f t="shared" si="8"/>
        <v>500</v>
      </c>
      <c r="F504" s="91">
        <f>LEFT(tbl_Reservoir[[#This Row],[time]],10)*1</f>
        <v>44045</v>
      </c>
      <c r="G504" s="92">
        <f>tbl_Reservoir[[#This Row],[Surface Water Area (km2)]]</f>
        <v>54.91</v>
      </c>
    </row>
    <row r="505" spans="2:7" x14ac:dyDescent="0.2">
      <c r="B505" t="s">
        <v>632</v>
      </c>
      <c r="C505">
        <v>53.73</v>
      </c>
      <c r="D505" s="83"/>
      <c r="E505" s="90">
        <f t="shared" si="8"/>
        <v>501</v>
      </c>
      <c r="F505" s="91">
        <f>LEFT(tbl_Reservoir[[#This Row],[time]],10)*1</f>
        <v>44046</v>
      </c>
      <c r="G505" s="92">
        <f>tbl_Reservoir[[#This Row],[Surface Water Area (km2)]]</f>
        <v>53.73</v>
      </c>
    </row>
    <row r="506" spans="2:7" x14ac:dyDescent="0.2">
      <c r="B506" t="s">
        <v>633</v>
      </c>
      <c r="C506">
        <v>56.58</v>
      </c>
      <c r="D506" s="83"/>
      <c r="E506" s="90">
        <f t="shared" si="8"/>
        <v>502</v>
      </c>
      <c r="F506" s="91">
        <f>LEFT(tbl_Reservoir[[#This Row],[time]],10)*1</f>
        <v>44060</v>
      </c>
      <c r="G506" s="92">
        <f>tbl_Reservoir[[#This Row],[Surface Water Area (km2)]]</f>
        <v>56.58</v>
      </c>
    </row>
    <row r="507" spans="2:7" x14ac:dyDescent="0.2">
      <c r="B507" t="s">
        <v>634</v>
      </c>
      <c r="C507">
        <v>56.28</v>
      </c>
      <c r="D507" s="83"/>
      <c r="E507" s="90">
        <f t="shared" si="8"/>
        <v>503</v>
      </c>
      <c r="F507" s="91">
        <f>LEFT(tbl_Reservoir[[#This Row],[time]],10)*1</f>
        <v>44065</v>
      </c>
      <c r="G507" s="92">
        <f>tbl_Reservoir[[#This Row],[Surface Water Area (km2)]]</f>
        <v>56.28</v>
      </c>
    </row>
    <row r="508" spans="2:7" x14ac:dyDescent="0.2">
      <c r="B508" t="s">
        <v>635</v>
      </c>
      <c r="C508">
        <v>57.29</v>
      </c>
      <c r="D508" s="83"/>
      <c r="E508" s="90">
        <f t="shared" si="8"/>
        <v>504</v>
      </c>
      <c r="F508" s="91">
        <f>LEFT(tbl_Reservoir[[#This Row],[time]],10)*1</f>
        <v>44075</v>
      </c>
      <c r="G508" s="92">
        <f>tbl_Reservoir[[#This Row],[Surface Water Area (km2)]]</f>
        <v>57.29</v>
      </c>
    </row>
    <row r="509" spans="2:7" x14ac:dyDescent="0.2">
      <c r="B509" t="s">
        <v>636</v>
      </c>
      <c r="C509">
        <v>56.77</v>
      </c>
      <c r="D509" s="83"/>
      <c r="E509" s="90">
        <f t="shared" si="8"/>
        <v>505</v>
      </c>
      <c r="F509" s="91">
        <f>LEFT(tbl_Reservoir[[#This Row],[time]],10)*1</f>
        <v>44078</v>
      </c>
      <c r="G509" s="92">
        <f>tbl_Reservoir[[#This Row],[Surface Water Area (km2)]]</f>
        <v>56.77</v>
      </c>
    </row>
    <row r="510" spans="2:7" x14ac:dyDescent="0.2">
      <c r="B510" t="s">
        <v>637</v>
      </c>
      <c r="C510">
        <v>56.56</v>
      </c>
      <c r="D510" s="83"/>
      <c r="E510" s="90">
        <f t="shared" si="8"/>
        <v>506</v>
      </c>
      <c r="F510" s="91">
        <f>LEFT(tbl_Reservoir[[#This Row],[time]],10)*1</f>
        <v>44080</v>
      </c>
      <c r="G510" s="92">
        <f>tbl_Reservoir[[#This Row],[Surface Water Area (km2)]]</f>
        <v>56.56</v>
      </c>
    </row>
    <row r="511" spans="2:7" x14ac:dyDescent="0.2">
      <c r="B511" t="s">
        <v>638</v>
      </c>
      <c r="C511">
        <v>55.82</v>
      </c>
      <c r="D511" s="83"/>
      <c r="E511" s="90">
        <f t="shared" si="8"/>
        <v>507</v>
      </c>
      <c r="F511" s="91">
        <f>LEFT(tbl_Reservoir[[#This Row],[time]],10)*1</f>
        <v>44085</v>
      </c>
      <c r="G511" s="92">
        <f>tbl_Reservoir[[#This Row],[Surface Water Area (km2)]]</f>
        <v>55.82</v>
      </c>
    </row>
    <row r="512" spans="2:7" x14ac:dyDescent="0.2">
      <c r="B512" t="s">
        <v>639</v>
      </c>
      <c r="C512">
        <v>55.7</v>
      </c>
      <c r="D512" s="83"/>
      <c r="E512" s="90">
        <f t="shared" si="8"/>
        <v>508</v>
      </c>
      <c r="F512" s="91">
        <f>LEFT(tbl_Reservoir[[#This Row],[time]],10)*1</f>
        <v>44086</v>
      </c>
      <c r="G512" s="92">
        <f>tbl_Reservoir[[#This Row],[Surface Water Area (km2)]]</f>
        <v>55.7</v>
      </c>
    </row>
    <row r="513" spans="2:7" x14ac:dyDescent="0.2">
      <c r="B513" t="s">
        <v>640</v>
      </c>
      <c r="C513">
        <v>55.86</v>
      </c>
      <c r="D513" s="83"/>
      <c r="E513" s="90">
        <f t="shared" si="8"/>
        <v>509</v>
      </c>
      <c r="F513" s="91">
        <f>LEFT(tbl_Reservoir[[#This Row],[time]],10)*1</f>
        <v>44090</v>
      </c>
      <c r="G513" s="92">
        <f>tbl_Reservoir[[#This Row],[Surface Water Area (km2)]]</f>
        <v>55.86</v>
      </c>
    </row>
    <row r="514" spans="2:7" x14ac:dyDescent="0.2">
      <c r="B514" t="s">
        <v>641</v>
      </c>
      <c r="C514">
        <v>55.53</v>
      </c>
      <c r="D514" s="83"/>
      <c r="E514" s="90">
        <f t="shared" si="8"/>
        <v>510</v>
      </c>
      <c r="F514" s="91">
        <f>LEFT(tbl_Reservoir[[#This Row],[time]],10)*1</f>
        <v>44094</v>
      </c>
      <c r="G514" s="92">
        <f>tbl_Reservoir[[#This Row],[Surface Water Area (km2)]]</f>
        <v>55.53</v>
      </c>
    </row>
    <row r="515" spans="2:7" x14ac:dyDescent="0.2">
      <c r="B515" t="s">
        <v>642</v>
      </c>
      <c r="C515">
        <v>55.02</v>
      </c>
      <c r="D515" s="83"/>
      <c r="E515" s="90">
        <f t="shared" si="8"/>
        <v>511</v>
      </c>
      <c r="F515" s="91">
        <f>LEFT(tbl_Reservoir[[#This Row],[time]],10)*1</f>
        <v>44095</v>
      </c>
      <c r="G515" s="92">
        <f>tbl_Reservoir[[#This Row],[Surface Water Area (km2)]]</f>
        <v>55.02</v>
      </c>
    </row>
    <row r="516" spans="2:7" x14ac:dyDescent="0.2">
      <c r="B516" t="s">
        <v>643</v>
      </c>
      <c r="C516">
        <v>54.87</v>
      </c>
      <c r="D516" s="83"/>
      <c r="E516" s="90">
        <f t="shared" si="8"/>
        <v>512</v>
      </c>
      <c r="F516" s="91">
        <f>LEFT(tbl_Reservoir[[#This Row],[time]],10)*1</f>
        <v>44100</v>
      </c>
      <c r="G516" s="92">
        <f>tbl_Reservoir[[#This Row],[Surface Water Area (km2)]]</f>
        <v>54.87</v>
      </c>
    </row>
    <row r="517" spans="2:7" x14ac:dyDescent="0.2">
      <c r="B517" t="s">
        <v>644</v>
      </c>
      <c r="C517">
        <v>54.67</v>
      </c>
      <c r="D517" s="83"/>
      <c r="E517" s="90">
        <f t="shared" si="8"/>
        <v>513</v>
      </c>
      <c r="F517" s="91">
        <f>LEFT(tbl_Reservoir[[#This Row],[time]],10)*1</f>
        <v>44102</v>
      </c>
      <c r="G517" s="92">
        <f>tbl_Reservoir[[#This Row],[Surface Water Area (km2)]]</f>
        <v>54.67</v>
      </c>
    </row>
    <row r="518" spans="2:7" x14ac:dyDescent="0.2">
      <c r="B518" t="s">
        <v>645</v>
      </c>
      <c r="C518">
        <v>54.39</v>
      </c>
      <c r="D518" s="83"/>
      <c r="E518" s="90">
        <f t="shared" ref="E518:E581" si="9">ROW()-4</f>
        <v>514</v>
      </c>
      <c r="F518" s="91">
        <f>LEFT(tbl_Reservoir[[#This Row],[time]],10)*1</f>
        <v>44105</v>
      </c>
      <c r="G518" s="92">
        <f>tbl_Reservoir[[#This Row],[Surface Water Area (km2)]]</f>
        <v>54.39</v>
      </c>
    </row>
    <row r="519" spans="2:7" x14ac:dyDescent="0.2">
      <c r="B519" t="s">
        <v>646</v>
      </c>
      <c r="C519">
        <v>53.33</v>
      </c>
      <c r="D519" s="83"/>
      <c r="E519" s="90">
        <f t="shared" si="9"/>
        <v>515</v>
      </c>
      <c r="F519" s="91">
        <f>LEFT(tbl_Reservoir[[#This Row],[time]],10)*1</f>
        <v>44110</v>
      </c>
      <c r="G519" s="92">
        <f>tbl_Reservoir[[#This Row],[Surface Water Area (km2)]]</f>
        <v>53.33</v>
      </c>
    </row>
    <row r="520" spans="2:7" x14ac:dyDescent="0.2">
      <c r="B520" t="s">
        <v>647</v>
      </c>
      <c r="C520">
        <v>53.17</v>
      </c>
      <c r="D520" s="83"/>
      <c r="E520" s="90">
        <f t="shared" si="9"/>
        <v>516</v>
      </c>
      <c r="F520" s="91">
        <f>LEFT(tbl_Reservoir[[#This Row],[time]],10)*1</f>
        <v>44115</v>
      </c>
      <c r="G520" s="92">
        <f>tbl_Reservoir[[#This Row],[Surface Water Area (km2)]]</f>
        <v>53.17</v>
      </c>
    </row>
    <row r="521" spans="2:7" x14ac:dyDescent="0.2">
      <c r="B521" t="s">
        <v>648</v>
      </c>
      <c r="C521">
        <v>52.99</v>
      </c>
      <c r="D521" s="83"/>
      <c r="E521" s="90">
        <f t="shared" si="9"/>
        <v>517</v>
      </c>
      <c r="F521" s="91">
        <f>LEFT(tbl_Reservoir[[#This Row],[time]],10)*1</f>
        <v>44118</v>
      </c>
      <c r="G521" s="92">
        <f>tbl_Reservoir[[#This Row],[Surface Water Area (km2)]]</f>
        <v>52.99</v>
      </c>
    </row>
    <row r="522" spans="2:7" x14ac:dyDescent="0.2">
      <c r="B522" t="s">
        <v>649</v>
      </c>
      <c r="C522">
        <v>52.13</v>
      </c>
      <c r="D522" s="83"/>
      <c r="E522" s="90">
        <f t="shared" si="9"/>
        <v>518</v>
      </c>
      <c r="F522" s="91">
        <f>LEFT(tbl_Reservoir[[#This Row],[time]],10)*1</f>
        <v>44120</v>
      </c>
      <c r="G522" s="92">
        <f>tbl_Reservoir[[#This Row],[Surface Water Area (km2)]]</f>
        <v>52.13</v>
      </c>
    </row>
    <row r="523" spans="2:7" x14ac:dyDescent="0.2">
      <c r="B523" t="s">
        <v>650</v>
      </c>
      <c r="C523">
        <v>50.89</v>
      </c>
      <c r="D523" s="83"/>
      <c r="E523" s="90">
        <f t="shared" si="9"/>
        <v>519</v>
      </c>
      <c r="F523" s="91">
        <f>LEFT(tbl_Reservoir[[#This Row],[time]],10)*1</f>
        <v>44125</v>
      </c>
      <c r="G523" s="92">
        <f>tbl_Reservoir[[#This Row],[Surface Water Area (km2)]]</f>
        <v>50.89</v>
      </c>
    </row>
    <row r="524" spans="2:7" x14ac:dyDescent="0.2">
      <c r="B524" t="s">
        <v>651</v>
      </c>
      <c r="C524">
        <v>51.25</v>
      </c>
      <c r="D524" s="83"/>
      <c r="E524" s="90">
        <f t="shared" si="9"/>
        <v>520</v>
      </c>
      <c r="F524" s="91">
        <f>LEFT(tbl_Reservoir[[#This Row],[time]],10)*1</f>
        <v>44126</v>
      </c>
      <c r="G524" s="92">
        <f>tbl_Reservoir[[#This Row],[Surface Water Area (km2)]]</f>
        <v>51.25</v>
      </c>
    </row>
    <row r="525" spans="2:7" x14ac:dyDescent="0.2">
      <c r="B525" t="s">
        <v>652</v>
      </c>
      <c r="C525">
        <v>50.18</v>
      </c>
      <c r="D525" s="83"/>
      <c r="E525" s="90">
        <f t="shared" si="9"/>
        <v>521</v>
      </c>
      <c r="F525" s="91">
        <f>LEFT(tbl_Reservoir[[#This Row],[time]],10)*1</f>
        <v>44130</v>
      </c>
      <c r="G525" s="92">
        <f>tbl_Reservoir[[#This Row],[Surface Water Area (km2)]]</f>
        <v>50.18</v>
      </c>
    </row>
    <row r="526" spans="2:7" x14ac:dyDescent="0.2">
      <c r="B526" t="s">
        <v>653</v>
      </c>
      <c r="C526">
        <v>50.04</v>
      </c>
      <c r="D526" s="83"/>
      <c r="E526" s="90">
        <f t="shared" si="9"/>
        <v>522</v>
      </c>
      <c r="F526" s="91">
        <f>LEFT(tbl_Reservoir[[#This Row],[time]],10)*1</f>
        <v>44134</v>
      </c>
      <c r="G526" s="92">
        <f>tbl_Reservoir[[#This Row],[Surface Water Area (km2)]]</f>
        <v>50.04</v>
      </c>
    </row>
    <row r="527" spans="2:7" x14ac:dyDescent="0.2">
      <c r="B527" t="s">
        <v>654</v>
      </c>
      <c r="C527">
        <v>49.16</v>
      </c>
      <c r="D527" s="83"/>
      <c r="E527" s="90">
        <f t="shared" si="9"/>
        <v>523</v>
      </c>
      <c r="F527" s="91">
        <f>LEFT(tbl_Reservoir[[#This Row],[time]],10)*1</f>
        <v>44135</v>
      </c>
      <c r="G527" s="92">
        <f>tbl_Reservoir[[#This Row],[Surface Water Area (km2)]]</f>
        <v>49.16</v>
      </c>
    </row>
    <row r="528" spans="2:7" x14ac:dyDescent="0.2">
      <c r="B528" t="s">
        <v>655</v>
      </c>
      <c r="C528">
        <v>48.94</v>
      </c>
      <c r="D528" s="83"/>
      <c r="E528" s="90">
        <f t="shared" si="9"/>
        <v>524</v>
      </c>
      <c r="F528" s="91">
        <f>LEFT(tbl_Reservoir[[#This Row],[time]],10)*1</f>
        <v>44140</v>
      </c>
      <c r="G528" s="92">
        <f>tbl_Reservoir[[#This Row],[Surface Water Area (km2)]]</f>
        <v>48.94</v>
      </c>
    </row>
    <row r="529" spans="2:7" x14ac:dyDescent="0.2">
      <c r="B529" t="s">
        <v>656</v>
      </c>
      <c r="C529">
        <v>48.17</v>
      </c>
      <c r="D529" s="83"/>
      <c r="E529" s="90">
        <f t="shared" si="9"/>
        <v>525</v>
      </c>
      <c r="F529" s="91">
        <f>LEFT(tbl_Reservoir[[#This Row],[time]],10)*1</f>
        <v>44145</v>
      </c>
      <c r="G529" s="92">
        <f>tbl_Reservoir[[#This Row],[Surface Water Area (km2)]]</f>
        <v>48.17</v>
      </c>
    </row>
    <row r="530" spans="2:7" x14ac:dyDescent="0.2">
      <c r="B530" t="s">
        <v>657</v>
      </c>
      <c r="C530">
        <v>48.16</v>
      </c>
      <c r="D530" s="83"/>
      <c r="E530" s="90">
        <f t="shared" si="9"/>
        <v>526</v>
      </c>
      <c r="F530" s="91">
        <f>LEFT(tbl_Reservoir[[#This Row],[time]],10)*1</f>
        <v>44150</v>
      </c>
      <c r="G530" s="92">
        <f>tbl_Reservoir[[#This Row],[Surface Water Area (km2)]]</f>
        <v>48.16</v>
      </c>
    </row>
    <row r="531" spans="2:7" x14ac:dyDescent="0.2">
      <c r="B531" t="s">
        <v>658</v>
      </c>
      <c r="C531">
        <v>47.88</v>
      </c>
      <c r="D531" s="83"/>
      <c r="E531" s="90">
        <f t="shared" si="9"/>
        <v>527</v>
      </c>
      <c r="F531" s="91">
        <f>LEFT(tbl_Reservoir[[#This Row],[time]],10)*1</f>
        <v>44150</v>
      </c>
      <c r="G531" s="92">
        <f>tbl_Reservoir[[#This Row],[Surface Water Area (km2)]]</f>
        <v>47.88</v>
      </c>
    </row>
    <row r="532" spans="2:7" x14ac:dyDescent="0.2">
      <c r="B532" t="s">
        <v>659</v>
      </c>
      <c r="C532">
        <v>46.66</v>
      </c>
      <c r="D532" s="83"/>
      <c r="E532" s="90">
        <f t="shared" si="9"/>
        <v>528</v>
      </c>
      <c r="F532" s="91">
        <f>LEFT(tbl_Reservoir[[#This Row],[time]],10)*1</f>
        <v>44155</v>
      </c>
      <c r="G532" s="92">
        <f>tbl_Reservoir[[#This Row],[Surface Water Area (km2)]]</f>
        <v>46.66</v>
      </c>
    </row>
    <row r="533" spans="2:7" x14ac:dyDescent="0.2">
      <c r="B533" t="s">
        <v>660</v>
      </c>
      <c r="C533">
        <v>46.79</v>
      </c>
      <c r="D533" s="83"/>
      <c r="E533" s="90">
        <f t="shared" si="9"/>
        <v>529</v>
      </c>
      <c r="F533" s="91">
        <f>LEFT(tbl_Reservoir[[#This Row],[time]],10)*1</f>
        <v>44158</v>
      </c>
      <c r="G533" s="92">
        <f>tbl_Reservoir[[#This Row],[Surface Water Area (km2)]]</f>
        <v>46.79</v>
      </c>
    </row>
    <row r="534" spans="2:7" x14ac:dyDescent="0.2">
      <c r="B534" t="s">
        <v>661</v>
      </c>
      <c r="C534">
        <v>47.04</v>
      </c>
      <c r="D534" s="83"/>
      <c r="E534" s="90">
        <f t="shared" si="9"/>
        <v>530</v>
      </c>
      <c r="F534" s="91">
        <f>LEFT(tbl_Reservoir[[#This Row],[time]],10)*1</f>
        <v>44160</v>
      </c>
      <c r="G534" s="92">
        <f>tbl_Reservoir[[#This Row],[Surface Water Area (km2)]]</f>
        <v>47.04</v>
      </c>
    </row>
    <row r="535" spans="2:7" x14ac:dyDescent="0.2">
      <c r="B535" t="s">
        <v>662</v>
      </c>
      <c r="C535">
        <v>46.4</v>
      </c>
      <c r="D535" s="83"/>
      <c r="E535" s="90">
        <f t="shared" si="9"/>
        <v>531</v>
      </c>
      <c r="F535" s="91">
        <f>LEFT(tbl_Reservoir[[#This Row],[time]],10)*1</f>
        <v>44165</v>
      </c>
      <c r="G535" s="92">
        <f>tbl_Reservoir[[#This Row],[Surface Water Area (km2)]]</f>
        <v>46.4</v>
      </c>
    </row>
    <row r="536" spans="2:7" x14ac:dyDescent="0.2">
      <c r="B536" t="s">
        <v>663</v>
      </c>
      <c r="C536">
        <v>47.07</v>
      </c>
      <c r="D536" s="83"/>
      <c r="E536" s="90">
        <f t="shared" si="9"/>
        <v>532</v>
      </c>
      <c r="F536" s="91">
        <f>LEFT(tbl_Reservoir[[#This Row],[time]],10)*1</f>
        <v>44166</v>
      </c>
      <c r="G536" s="92">
        <f>tbl_Reservoir[[#This Row],[Surface Water Area (km2)]]</f>
        <v>47.07</v>
      </c>
    </row>
    <row r="537" spans="2:7" x14ac:dyDescent="0.2">
      <c r="B537" t="s">
        <v>664</v>
      </c>
      <c r="C537">
        <v>46.39</v>
      </c>
      <c r="D537" s="83"/>
      <c r="E537" s="90">
        <f t="shared" si="9"/>
        <v>533</v>
      </c>
      <c r="F537" s="91">
        <f>LEFT(tbl_Reservoir[[#This Row],[time]],10)*1</f>
        <v>44170</v>
      </c>
      <c r="G537" s="92">
        <f>tbl_Reservoir[[#This Row],[Surface Water Area (km2)]]</f>
        <v>46.39</v>
      </c>
    </row>
    <row r="538" spans="2:7" x14ac:dyDescent="0.2">
      <c r="B538" t="s">
        <v>665</v>
      </c>
      <c r="C538">
        <v>46.23</v>
      </c>
      <c r="D538" s="83"/>
      <c r="E538" s="90">
        <f t="shared" si="9"/>
        <v>534</v>
      </c>
      <c r="F538" s="91">
        <f>LEFT(tbl_Reservoir[[#This Row],[time]],10)*1</f>
        <v>44174</v>
      </c>
      <c r="G538" s="92">
        <f>tbl_Reservoir[[#This Row],[Surface Water Area (km2)]]</f>
        <v>46.23</v>
      </c>
    </row>
    <row r="539" spans="2:7" x14ac:dyDescent="0.2">
      <c r="B539" t="s">
        <v>666</v>
      </c>
      <c r="C539">
        <v>42.2</v>
      </c>
      <c r="D539" s="83"/>
      <c r="E539" s="90">
        <f t="shared" si="9"/>
        <v>535</v>
      </c>
      <c r="F539" s="91">
        <f>LEFT(tbl_Reservoir[[#This Row],[time]],10)*1</f>
        <v>44175</v>
      </c>
      <c r="G539" s="92">
        <f>tbl_Reservoir[[#This Row],[Surface Water Area (km2)]]</f>
        <v>42.2</v>
      </c>
    </row>
    <row r="540" spans="2:7" x14ac:dyDescent="0.2">
      <c r="B540" t="s">
        <v>667</v>
      </c>
      <c r="C540">
        <v>44.26</v>
      </c>
      <c r="D540" s="83"/>
      <c r="E540" s="90">
        <f t="shared" si="9"/>
        <v>536</v>
      </c>
      <c r="F540" s="91">
        <f>LEFT(tbl_Reservoir[[#This Row],[time]],10)*1</f>
        <v>44180</v>
      </c>
      <c r="G540" s="92">
        <f>tbl_Reservoir[[#This Row],[Surface Water Area (km2)]]</f>
        <v>44.26</v>
      </c>
    </row>
    <row r="541" spans="2:7" x14ac:dyDescent="0.2">
      <c r="B541" t="s">
        <v>668</v>
      </c>
      <c r="C541">
        <v>45</v>
      </c>
      <c r="D541" s="83"/>
      <c r="E541" s="90">
        <f t="shared" si="9"/>
        <v>537</v>
      </c>
      <c r="F541" s="91">
        <f>LEFT(tbl_Reservoir[[#This Row],[time]],10)*1</f>
        <v>44182</v>
      </c>
      <c r="G541" s="92">
        <f>tbl_Reservoir[[#This Row],[Surface Water Area (km2)]]</f>
        <v>45</v>
      </c>
    </row>
    <row r="542" spans="2:7" x14ac:dyDescent="0.2">
      <c r="B542" t="s">
        <v>669</v>
      </c>
      <c r="C542">
        <v>43.47</v>
      </c>
      <c r="D542" s="83"/>
      <c r="E542" s="90">
        <f t="shared" si="9"/>
        <v>538</v>
      </c>
      <c r="F542" s="91">
        <f>LEFT(tbl_Reservoir[[#This Row],[time]],10)*1</f>
        <v>44185</v>
      </c>
      <c r="G542" s="92">
        <f>tbl_Reservoir[[#This Row],[Surface Water Area (km2)]]</f>
        <v>43.47</v>
      </c>
    </row>
    <row r="543" spans="2:7" x14ac:dyDescent="0.2">
      <c r="B543" t="s">
        <v>670</v>
      </c>
      <c r="C543">
        <v>43.73</v>
      </c>
      <c r="D543" s="83"/>
      <c r="E543" s="90">
        <f t="shared" si="9"/>
        <v>539</v>
      </c>
      <c r="F543" s="91">
        <f>LEFT(tbl_Reservoir[[#This Row],[time]],10)*1</f>
        <v>44190</v>
      </c>
      <c r="G543" s="92">
        <f>tbl_Reservoir[[#This Row],[Surface Water Area (km2)]]</f>
        <v>43.73</v>
      </c>
    </row>
    <row r="544" spans="2:7" x14ac:dyDescent="0.2">
      <c r="B544" t="s">
        <v>671</v>
      </c>
      <c r="C544">
        <v>43.62</v>
      </c>
      <c r="D544" s="83"/>
      <c r="E544" s="90">
        <f t="shared" si="9"/>
        <v>540</v>
      </c>
      <c r="F544" s="91">
        <f>LEFT(tbl_Reservoir[[#This Row],[time]],10)*1</f>
        <v>44198</v>
      </c>
      <c r="G544" s="92">
        <f>tbl_Reservoir[[#This Row],[Surface Water Area (km2)]]</f>
        <v>43.62</v>
      </c>
    </row>
    <row r="545" spans="2:7" x14ac:dyDescent="0.2">
      <c r="B545" t="s">
        <v>672</v>
      </c>
      <c r="C545">
        <v>42.34</v>
      </c>
      <c r="D545" s="83"/>
      <c r="E545" s="90">
        <f t="shared" si="9"/>
        <v>541</v>
      </c>
      <c r="F545" s="91">
        <f>LEFT(tbl_Reservoir[[#This Row],[time]],10)*1</f>
        <v>44200</v>
      </c>
      <c r="G545" s="92">
        <f>tbl_Reservoir[[#This Row],[Surface Water Area (km2)]]</f>
        <v>42.34</v>
      </c>
    </row>
    <row r="546" spans="2:7" x14ac:dyDescent="0.2">
      <c r="B546" t="s">
        <v>673</v>
      </c>
      <c r="C546">
        <v>40.93</v>
      </c>
      <c r="D546" s="83"/>
      <c r="E546" s="90">
        <f t="shared" si="9"/>
        <v>542</v>
      </c>
      <c r="F546" s="91">
        <f>LEFT(tbl_Reservoir[[#This Row],[time]],10)*1</f>
        <v>44205</v>
      </c>
      <c r="G546" s="92">
        <f>tbl_Reservoir[[#This Row],[Surface Water Area (km2)]]</f>
        <v>40.93</v>
      </c>
    </row>
    <row r="547" spans="2:7" x14ac:dyDescent="0.2">
      <c r="B547" t="s">
        <v>674</v>
      </c>
      <c r="C547">
        <v>41.93</v>
      </c>
      <c r="D547" s="83"/>
      <c r="E547" s="90">
        <f t="shared" si="9"/>
        <v>543</v>
      </c>
      <c r="F547" s="91">
        <f>LEFT(tbl_Reservoir[[#This Row],[time]],10)*1</f>
        <v>44206</v>
      </c>
      <c r="G547" s="92">
        <f>tbl_Reservoir[[#This Row],[Surface Water Area (km2)]]</f>
        <v>41.93</v>
      </c>
    </row>
    <row r="548" spans="2:7" x14ac:dyDescent="0.2">
      <c r="B548" t="s">
        <v>675</v>
      </c>
      <c r="C548">
        <v>40.76</v>
      </c>
      <c r="D548" s="83"/>
      <c r="E548" s="90">
        <f t="shared" si="9"/>
        <v>544</v>
      </c>
      <c r="F548" s="91">
        <f>LEFT(tbl_Reservoir[[#This Row],[time]],10)*1</f>
        <v>44210</v>
      </c>
      <c r="G548" s="92">
        <f>tbl_Reservoir[[#This Row],[Surface Water Area (km2)]]</f>
        <v>40.76</v>
      </c>
    </row>
    <row r="549" spans="2:7" x14ac:dyDescent="0.2">
      <c r="B549" t="s">
        <v>676</v>
      </c>
      <c r="C549">
        <v>41.26</v>
      </c>
      <c r="D549" s="83"/>
      <c r="E549" s="90">
        <f t="shared" si="9"/>
        <v>545</v>
      </c>
      <c r="F549" s="91">
        <f>LEFT(tbl_Reservoir[[#This Row],[time]],10)*1</f>
        <v>44214</v>
      </c>
      <c r="G549" s="92">
        <f>tbl_Reservoir[[#This Row],[Surface Water Area (km2)]]</f>
        <v>41.26</v>
      </c>
    </row>
    <row r="550" spans="2:7" x14ac:dyDescent="0.2">
      <c r="B550" t="s">
        <v>677</v>
      </c>
      <c r="C550">
        <v>40.92</v>
      </c>
      <c r="D550" s="83"/>
      <c r="E550" s="90">
        <f t="shared" si="9"/>
        <v>546</v>
      </c>
      <c r="F550" s="91">
        <f>LEFT(tbl_Reservoir[[#This Row],[time]],10)*1</f>
        <v>44215</v>
      </c>
      <c r="G550" s="92">
        <f>tbl_Reservoir[[#This Row],[Surface Water Area (km2)]]</f>
        <v>40.92</v>
      </c>
    </row>
    <row r="551" spans="2:7" x14ac:dyDescent="0.2">
      <c r="B551" t="s">
        <v>678</v>
      </c>
      <c r="C551">
        <v>39.89</v>
      </c>
      <c r="D551" s="83"/>
      <c r="E551" s="90">
        <f t="shared" si="9"/>
        <v>547</v>
      </c>
      <c r="F551" s="91">
        <f>LEFT(tbl_Reservoir[[#This Row],[time]],10)*1</f>
        <v>44220</v>
      </c>
      <c r="G551" s="92">
        <f>tbl_Reservoir[[#This Row],[Surface Water Area (km2)]]</f>
        <v>39.89</v>
      </c>
    </row>
    <row r="552" spans="2:7" x14ac:dyDescent="0.2">
      <c r="B552" t="s">
        <v>679</v>
      </c>
      <c r="C552">
        <v>39.770000000000003</v>
      </c>
      <c r="D552" s="83"/>
      <c r="E552" s="90">
        <f t="shared" si="9"/>
        <v>548</v>
      </c>
      <c r="F552" s="91">
        <f>LEFT(tbl_Reservoir[[#This Row],[time]],10)*1</f>
        <v>44222</v>
      </c>
      <c r="G552" s="92">
        <f>tbl_Reservoir[[#This Row],[Surface Water Area (km2)]]</f>
        <v>39.770000000000003</v>
      </c>
    </row>
    <row r="553" spans="2:7" x14ac:dyDescent="0.2">
      <c r="B553" t="s">
        <v>680</v>
      </c>
      <c r="C553">
        <v>39.42</v>
      </c>
      <c r="D553" s="83"/>
      <c r="E553" s="90">
        <f t="shared" si="9"/>
        <v>549</v>
      </c>
      <c r="F553" s="91">
        <f>LEFT(tbl_Reservoir[[#This Row],[time]],10)*1</f>
        <v>44225</v>
      </c>
      <c r="G553" s="92">
        <f>tbl_Reservoir[[#This Row],[Surface Water Area (km2)]]</f>
        <v>39.42</v>
      </c>
    </row>
    <row r="554" spans="2:7" x14ac:dyDescent="0.2">
      <c r="B554" t="s">
        <v>681</v>
      </c>
      <c r="C554">
        <v>39.49</v>
      </c>
      <c r="D554" s="83"/>
      <c r="E554" s="90">
        <f t="shared" si="9"/>
        <v>550</v>
      </c>
      <c r="F554" s="91">
        <f>LEFT(tbl_Reservoir[[#This Row],[time]],10)*1</f>
        <v>44230</v>
      </c>
      <c r="G554" s="92">
        <f>tbl_Reservoir[[#This Row],[Surface Water Area (km2)]]</f>
        <v>39.49</v>
      </c>
    </row>
    <row r="555" spans="2:7" x14ac:dyDescent="0.2">
      <c r="B555" t="s">
        <v>682</v>
      </c>
      <c r="C555">
        <v>39.42</v>
      </c>
      <c r="D555" s="83"/>
      <c r="E555" s="90">
        <f t="shared" si="9"/>
        <v>551</v>
      </c>
      <c r="F555" s="91">
        <f>LEFT(tbl_Reservoir[[#This Row],[time]],10)*1</f>
        <v>44230</v>
      </c>
      <c r="G555" s="92">
        <f>tbl_Reservoir[[#This Row],[Surface Water Area (km2)]]</f>
        <v>39.42</v>
      </c>
    </row>
    <row r="556" spans="2:7" x14ac:dyDescent="0.2">
      <c r="B556" t="s">
        <v>683</v>
      </c>
      <c r="C556">
        <v>38.270000000000003</v>
      </c>
      <c r="D556" s="83"/>
      <c r="E556" s="90">
        <f t="shared" si="9"/>
        <v>552</v>
      </c>
      <c r="F556" s="91">
        <f>LEFT(tbl_Reservoir[[#This Row],[time]],10)*1</f>
        <v>44235</v>
      </c>
      <c r="G556" s="92">
        <f>tbl_Reservoir[[#This Row],[Surface Water Area (km2)]]</f>
        <v>38.270000000000003</v>
      </c>
    </row>
    <row r="557" spans="2:7" x14ac:dyDescent="0.2">
      <c r="B557" t="s">
        <v>684</v>
      </c>
      <c r="C557">
        <v>38.630000000000003</v>
      </c>
      <c r="D557" s="83"/>
      <c r="E557" s="90">
        <f t="shared" si="9"/>
        <v>553</v>
      </c>
      <c r="F557" s="91">
        <f>LEFT(tbl_Reservoir[[#This Row],[time]],10)*1</f>
        <v>44240</v>
      </c>
      <c r="G557" s="92">
        <f>tbl_Reservoir[[#This Row],[Surface Water Area (km2)]]</f>
        <v>38.630000000000003</v>
      </c>
    </row>
    <row r="558" spans="2:7" x14ac:dyDescent="0.2">
      <c r="B558" t="s">
        <v>685</v>
      </c>
      <c r="C558">
        <v>37.11</v>
      </c>
      <c r="D558" s="83"/>
      <c r="E558" s="90">
        <f t="shared" si="9"/>
        <v>554</v>
      </c>
      <c r="F558" s="91">
        <f>LEFT(tbl_Reservoir[[#This Row],[time]],10)*1</f>
        <v>44245</v>
      </c>
      <c r="G558" s="92">
        <f>tbl_Reservoir[[#This Row],[Surface Water Area (km2)]]</f>
        <v>37.11</v>
      </c>
    </row>
    <row r="559" spans="2:7" x14ac:dyDescent="0.2">
      <c r="B559" t="s">
        <v>686</v>
      </c>
      <c r="C559">
        <v>38.22</v>
      </c>
      <c r="D559" s="83"/>
      <c r="E559" s="90">
        <f t="shared" si="9"/>
        <v>555</v>
      </c>
      <c r="F559" s="91">
        <f>LEFT(tbl_Reservoir[[#This Row],[time]],10)*1</f>
        <v>44246</v>
      </c>
      <c r="G559" s="92">
        <f>tbl_Reservoir[[#This Row],[Surface Water Area (km2)]]</f>
        <v>38.22</v>
      </c>
    </row>
    <row r="560" spans="2:7" x14ac:dyDescent="0.2">
      <c r="B560" t="s">
        <v>687</v>
      </c>
      <c r="C560">
        <v>37.159999999999997</v>
      </c>
      <c r="D560" s="83"/>
      <c r="E560" s="90">
        <f t="shared" si="9"/>
        <v>556</v>
      </c>
      <c r="F560" s="91">
        <f>LEFT(tbl_Reservoir[[#This Row],[time]],10)*1</f>
        <v>44250</v>
      </c>
      <c r="G560" s="92">
        <f>tbl_Reservoir[[#This Row],[Surface Water Area (km2)]]</f>
        <v>37.159999999999997</v>
      </c>
    </row>
    <row r="561" spans="2:7" x14ac:dyDescent="0.2">
      <c r="B561" t="s">
        <v>688</v>
      </c>
      <c r="C561">
        <v>37.17</v>
      </c>
      <c r="D561" s="83"/>
      <c r="E561" s="90">
        <f t="shared" si="9"/>
        <v>557</v>
      </c>
      <c r="F561" s="91">
        <f>LEFT(tbl_Reservoir[[#This Row],[time]],10)*1</f>
        <v>44254</v>
      </c>
      <c r="G561" s="92">
        <f>tbl_Reservoir[[#This Row],[Surface Water Area (km2)]]</f>
        <v>37.17</v>
      </c>
    </row>
    <row r="562" spans="2:7" x14ac:dyDescent="0.2">
      <c r="B562" t="s">
        <v>689</v>
      </c>
      <c r="C562">
        <v>36.53</v>
      </c>
      <c r="D562" s="83"/>
      <c r="E562" s="90">
        <f t="shared" si="9"/>
        <v>558</v>
      </c>
      <c r="F562" s="91">
        <f>LEFT(tbl_Reservoir[[#This Row],[time]],10)*1</f>
        <v>44255</v>
      </c>
      <c r="G562" s="92">
        <f>tbl_Reservoir[[#This Row],[Surface Water Area (km2)]]</f>
        <v>36.53</v>
      </c>
    </row>
    <row r="563" spans="2:7" x14ac:dyDescent="0.2">
      <c r="B563" t="s">
        <v>690</v>
      </c>
      <c r="C563">
        <v>35.880000000000003</v>
      </c>
      <c r="D563" s="83"/>
      <c r="E563" s="90">
        <f t="shared" si="9"/>
        <v>559</v>
      </c>
      <c r="F563" s="91">
        <f>LEFT(tbl_Reservoir[[#This Row],[time]],10)*1</f>
        <v>44260</v>
      </c>
      <c r="G563" s="92">
        <f>tbl_Reservoir[[#This Row],[Surface Water Area (km2)]]</f>
        <v>35.880000000000003</v>
      </c>
    </row>
    <row r="564" spans="2:7" x14ac:dyDescent="0.2">
      <c r="B564" t="s">
        <v>691</v>
      </c>
      <c r="C564">
        <v>36.72</v>
      </c>
      <c r="D564" s="83"/>
      <c r="E564" s="90">
        <f t="shared" si="9"/>
        <v>560</v>
      </c>
      <c r="F564" s="91">
        <f>LEFT(tbl_Reservoir[[#This Row],[time]],10)*1</f>
        <v>44262</v>
      </c>
      <c r="G564" s="92">
        <f>tbl_Reservoir[[#This Row],[Surface Water Area (km2)]]</f>
        <v>36.72</v>
      </c>
    </row>
    <row r="565" spans="2:7" x14ac:dyDescent="0.2">
      <c r="B565" t="s">
        <v>692</v>
      </c>
      <c r="C565">
        <v>35.42</v>
      </c>
      <c r="D565" s="83"/>
      <c r="E565" s="90">
        <f t="shared" si="9"/>
        <v>561</v>
      </c>
      <c r="F565" s="91">
        <f>LEFT(tbl_Reservoir[[#This Row],[time]],10)*1</f>
        <v>44265</v>
      </c>
      <c r="G565" s="92">
        <f>tbl_Reservoir[[#This Row],[Surface Water Area (km2)]]</f>
        <v>35.42</v>
      </c>
    </row>
    <row r="566" spans="2:7" x14ac:dyDescent="0.2">
      <c r="B566" t="s">
        <v>693</v>
      </c>
      <c r="C566">
        <v>36.18</v>
      </c>
      <c r="D566" s="83"/>
      <c r="E566" s="90">
        <f t="shared" si="9"/>
        <v>562</v>
      </c>
      <c r="F566" s="91">
        <f>LEFT(tbl_Reservoir[[#This Row],[time]],10)*1</f>
        <v>44270</v>
      </c>
      <c r="G566" s="92">
        <f>tbl_Reservoir[[#This Row],[Surface Water Area (km2)]]</f>
        <v>36.18</v>
      </c>
    </row>
    <row r="567" spans="2:7" x14ac:dyDescent="0.2">
      <c r="B567" t="s">
        <v>694</v>
      </c>
      <c r="C567">
        <v>37.06</v>
      </c>
      <c r="D567" s="83"/>
      <c r="E567" s="90">
        <f t="shared" si="9"/>
        <v>563</v>
      </c>
      <c r="F567" s="91">
        <f>LEFT(tbl_Reservoir[[#This Row],[time]],10)*1</f>
        <v>44270</v>
      </c>
      <c r="G567" s="92">
        <f>tbl_Reservoir[[#This Row],[Surface Water Area (km2)]]</f>
        <v>37.06</v>
      </c>
    </row>
    <row r="568" spans="2:7" x14ac:dyDescent="0.2">
      <c r="B568" t="s">
        <v>695</v>
      </c>
      <c r="C568">
        <v>33.82</v>
      </c>
      <c r="D568" s="83"/>
      <c r="E568" s="90">
        <f t="shared" si="9"/>
        <v>564</v>
      </c>
      <c r="F568" s="91">
        <f>LEFT(tbl_Reservoir[[#This Row],[time]],10)*1</f>
        <v>44275</v>
      </c>
      <c r="G568" s="92">
        <f>tbl_Reservoir[[#This Row],[Surface Water Area (km2)]]</f>
        <v>33.82</v>
      </c>
    </row>
    <row r="569" spans="2:7" x14ac:dyDescent="0.2">
      <c r="B569" t="s">
        <v>696</v>
      </c>
      <c r="C569">
        <v>35.57</v>
      </c>
      <c r="D569" s="83"/>
      <c r="E569" s="90">
        <f t="shared" si="9"/>
        <v>565</v>
      </c>
      <c r="F569" s="91">
        <f>LEFT(tbl_Reservoir[[#This Row],[time]],10)*1</f>
        <v>44278</v>
      </c>
      <c r="G569" s="92">
        <f>tbl_Reservoir[[#This Row],[Surface Water Area (km2)]]</f>
        <v>35.57</v>
      </c>
    </row>
    <row r="570" spans="2:7" x14ac:dyDescent="0.2">
      <c r="B570" t="s">
        <v>697</v>
      </c>
      <c r="C570">
        <v>34.880000000000003</v>
      </c>
      <c r="D570" s="83"/>
      <c r="E570" s="90">
        <f t="shared" si="9"/>
        <v>566</v>
      </c>
      <c r="F570" s="91">
        <f>LEFT(tbl_Reservoir[[#This Row],[time]],10)*1</f>
        <v>44280</v>
      </c>
      <c r="G570" s="92">
        <f>tbl_Reservoir[[#This Row],[Surface Water Area (km2)]]</f>
        <v>34.880000000000003</v>
      </c>
    </row>
    <row r="571" spans="2:7" x14ac:dyDescent="0.2">
      <c r="B571" t="s">
        <v>698</v>
      </c>
      <c r="C571">
        <v>34.520000000000003</v>
      </c>
      <c r="D571" s="83"/>
      <c r="E571" s="90">
        <f t="shared" si="9"/>
        <v>567</v>
      </c>
      <c r="F571" s="91">
        <f>LEFT(tbl_Reservoir[[#This Row],[time]],10)*1</f>
        <v>44285</v>
      </c>
      <c r="G571" s="92">
        <f>tbl_Reservoir[[#This Row],[Surface Water Area (km2)]]</f>
        <v>34.520000000000003</v>
      </c>
    </row>
    <row r="572" spans="2:7" x14ac:dyDescent="0.2">
      <c r="B572" t="s">
        <v>699</v>
      </c>
      <c r="C572">
        <v>34.049999999999997</v>
      </c>
      <c r="D572" s="83"/>
      <c r="E572" s="90">
        <f t="shared" si="9"/>
        <v>568</v>
      </c>
      <c r="F572" s="91">
        <f>LEFT(tbl_Reservoir[[#This Row],[time]],10)*1</f>
        <v>44286</v>
      </c>
      <c r="G572" s="92">
        <f>tbl_Reservoir[[#This Row],[Surface Water Area (km2)]]</f>
        <v>34.049999999999997</v>
      </c>
    </row>
    <row r="573" spans="2:7" x14ac:dyDescent="0.2">
      <c r="B573" t="s">
        <v>700</v>
      </c>
      <c r="C573">
        <v>32.31</v>
      </c>
      <c r="D573" s="83"/>
      <c r="E573" s="90">
        <f t="shared" si="9"/>
        <v>569</v>
      </c>
      <c r="F573" s="91">
        <f>LEFT(tbl_Reservoir[[#This Row],[time]],10)*1</f>
        <v>44290</v>
      </c>
      <c r="G573" s="92">
        <f>tbl_Reservoir[[#This Row],[Surface Water Area (km2)]]</f>
        <v>32.31</v>
      </c>
    </row>
    <row r="574" spans="2:7" x14ac:dyDescent="0.2">
      <c r="B574" t="s">
        <v>701</v>
      </c>
      <c r="C574">
        <v>32.83</v>
      </c>
      <c r="D574" s="83"/>
      <c r="E574" s="90">
        <f t="shared" si="9"/>
        <v>570</v>
      </c>
      <c r="F574" s="91">
        <f>LEFT(tbl_Reservoir[[#This Row],[time]],10)*1</f>
        <v>44294</v>
      </c>
      <c r="G574" s="92">
        <f>tbl_Reservoir[[#This Row],[Surface Water Area (km2)]]</f>
        <v>32.83</v>
      </c>
    </row>
    <row r="575" spans="2:7" x14ac:dyDescent="0.2">
      <c r="B575" t="s">
        <v>702</v>
      </c>
      <c r="C575">
        <v>31.81</v>
      </c>
      <c r="D575" s="83"/>
      <c r="E575" s="90">
        <f t="shared" si="9"/>
        <v>571</v>
      </c>
      <c r="F575" s="91">
        <f>LEFT(tbl_Reservoir[[#This Row],[time]],10)*1</f>
        <v>44295</v>
      </c>
      <c r="G575" s="92">
        <f>tbl_Reservoir[[#This Row],[Surface Water Area (km2)]]</f>
        <v>31.81</v>
      </c>
    </row>
    <row r="576" spans="2:7" x14ac:dyDescent="0.2">
      <c r="B576" t="s">
        <v>703</v>
      </c>
      <c r="C576">
        <v>31.85</v>
      </c>
      <c r="D576" s="83"/>
      <c r="E576" s="90">
        <f t="shared" si="9"/>
        <v>572</v>
      </c>
      <c r="F576" s="91">
        <f>LEFT(tbl_Reservoir[[#This Row],[time]],10)*1</f>
        <v>44300</v>
      </c>
      <c r="G576" s="92">
        <f>tbl_Reservoir[[#This Row],[Surface Water Area (km2)]]</f>
        <v>31.85</v>
      </c>
    </row>
    <row r="577" spans="2:7" x14ac:dyDescent="0.2">
      <c r="B577" t="s">
        <v>704</v>
      </c>
      <c r="C577">
        <v>33.28</v>
      </c>
      <c r="D577" s="83"/>
      <c r="E577" s="90">
        <f t="shared" si="9"/>
        <v>573</v>
      </c>
      <c r="F577" s="91">
        <f>LEFT(tbl_Reservoir[[#This Row],[time]],10)*1</f>
        <v>44302</v>
      </c>
      <c r="G577" s="92">
        <f>tbl_Reservoir[[#This Row],[Surface Water Area (km2)]]</f>
        <v>33.28</v>
      </c>
    </row>
    <row r="578" spans="2:7" x14ac:dyDescent="0.2">
      <c r="B578" t="s">
        <v>705</v>
      </c>
      <c r="C578">
        <v>32.85</v>
      </c>
      <c r="D578" s="83"/>
      <c r="E578" s="90">
        <f t="shared" si="9"/>
        <v>574</v>
      </c>
      <c r="F578" s="91">
        <f>LEFT(tbl_Reservoir[[#This Row],[time]],10)*1</f>
        <v>44310</v>
      </c>
      <c r="G578" s="92">
        <f>tbl_Reservoir[[#This Row],[Surface Water Area (km2)]]</f>
        <v>32.85</v>
      </c>
    </row>
    <row r="579" spans="2:7" x14ac:dyDescent="0.2">
      <c r="B579" t="s">
        <v>706</v>
      </c>
      <c r="C579">
        <v>31.86</v>
      </c>
      <c r="D579" s="83"/>
      <c r="E579" s="90">
        <f t="shared" si="9"/>
        <v>575</v>
      </c>
      <c r="F579" s="91">
        <f>LEFT(tbl_Reservoir[[#This Row],[time]],10)*1</f>
        <v>44310</v>
      </c>
      <c r="G579" s="92">
        <f>tbl_Reservoir[[#This Row],[Surface Water Area (km2)]]</f>
        <v>31.86</v>
      </c>
    </row>
    <row r="580" spans="2:7" x14ac:dyDescent="0.2">
      <c r="B580" t="s">
        <v>707</v>
      </c>
      <c r="C580">
        <v>30.14</v>
      </c>
      <c r="D580" s="83"/>
      <c r="E580" s="90">
        <f t="shared" si="9"/>
        <v>576</v>
      </c>
      <c r="F580" s="91">
        <f>LEFT(tbl_Reservoir[[#This Row],[time]],10)*1</f>
        <v>44315</v>
      </c>
      <c r="G580" s="92">
        <f>tbl_Reservoir[[#This Row],[Surface Water Area (km2)]]</f>
        <v>30.14</v>
      </c>
    </row>
    <row r="581" spans="2:7" x14ac:dyDescent="0.2">
      <c r="B581" t="s">
        <v>708</v>
      </c>
      <c r="C581">
        <v>30.76</v>
      </c>
      <c r="D581" s="83"/>
      <c r="E581" s="90">
        <f t="shared" si="9"/>
        <v>577</v>
      </c>
      <c r="F581" s="91">
        <f>LEFT(tbl_Reservoir[[#This Row],[time]],10)*1</f>
        <v>44320</v>
      </c>
      <c r="G581" s="92">
        <f>tbl_Reservoir[[#This Row],[Surface Water Area (km2)]]</f>
        <v>30.76</v>
      </c>
    </row>
    <row r="582" spans="2:7" x14ac:dyDescent="0.2">
      <c r="B582" t="s">
        <v>709</v>
      </c>
      <c r="C582">
        <v>33</v>
      </c>
      <c r="D582" s="83"/>
      <c r="E582" s="90">
        <f t="shared" ref="E582:E645" si="10">ROW()-4</f>
        <v>578</v>
      </c>
      <c r="F582" s="91">
        <f>LEFT(tbl_Reservoir[[#This Row],[time]],10)*1</f>
        <v>44325</v>
      </c>
      <c r="G582" s="92">
        <f>tbl_Reservoir[[#This Row],[Surface Water Area (km2)]]</f>
        <v>33</v>
      </c>
    </row>
    <row r="583" spans="2:7" x14ac:dyDescent="0.2">
      <c r="B583" t="s">
        <v>710</v>
      </c>
      <c r="C583">
        <v>33.200000000000003</v>
      </c>
      <c r="D583" s="83"/>
      <c r="E583" s="90">
        <f t="shared" si="10"/>
        <v>579</v>
      </c>
      <c r="F583" s="91">
        <f>LEFT(tbl_Reservoir[[#This Row],[time]],10)*1</f>
        <v>44326</v>
      </c>
      <c r="G583" s="92">
        <f>tbl_Reservoir[[#This Row],[Surface Water Area (km2)]]</f>
        <v>33.200000000000003</v>
      </c>
    </row>
    <row r="584" spans="2:7" x14ac:dyDescent="0.2">
      <c r="B584" t="s">
        <v>711</v>
      </c>
      <c r="C584">
        <v>31.96</v>
      </c>
      <c r="D584" s="83"/>
      <c r="E584" s="90">
        <f t="shared" si="10"/>
        <v>580</v>
      </c>
      <c r="F584" s="91">
        <f>LEFT(tbl_Reservoir[[#This Row],[time]],10)*1</f>
        <v>44330</v>
      </c>
      <c r="G584" s="92">
        <f>tbl_Reservoir[[#This Row],[Surface Water Area (km2)]]</f>
        <v>31.96</v>
      </c>
    </row>
    <row r="585" spans="2:7" x14ac:dyDescent="0.2">
      <c r="B585" t="s">
        <v>712</v>
      </c>
      <c r="C585">
        <v>31.51</v>
      </c>
      <c r="D585" s="83"/>
      <c r="E585" s="90">
        <f t="shared" si="10"/>
        <v>581</v>
      </c>
      <c r="F585" s="91">
        <f>LEFT(tbl_Reservoir[[#This Row],[time]],10)*1</f>
        <v>44334</v>
      </c>
      <c r="G585" s="92">
        <f>tbl_Reservoir[[#This Row],[Surface Water Area (km2)]]</f>
        <v>31.51</v>
      </c>
    </row>
    <row r="586" spans="2:7" x14ac:dyDescent="0.2">
      <c r="B586" t="s">
        <v>713</v>
      </c>
      <c r="C586">
        <v>31.32</v>
      </c>
      <c r="D586" s="83"/>
      <c r="E586" s="90">
        <f t="shared" si="10"/>
        <v>582</v>
      </c>
      <c r="F586" s="91">
        <f>LEFT(tbl_Reservoir[[#This Row],[time]],10)*1</f>
        <v>44335</v>
      </c>
      <c r="G586" s="92">
        <f>tbl_Reservoir[[#This Row],[Surface Water Area (km2)]]</f>
        <v>31.32</v>
      </c>
    </row>
    <row r="587" spans="2:7" x14ac:dyDescent="0.2">
      <c r="B587" t="s">
        <v>714</v>
      </c>
      <c r="C587">
        <v>30.12</v>
      </c>
      <c r="D587" s="83"/>
      <c r="E587" s="90">
        <f t="shared" si="10"/>
        <v>583</v>
      </c>
      <c r="F587" s="91">
        <f>LEFT(tbl_Reservoir[[#This Row],[time]],10)*1</f>
        <v>44340</v>
      </c>
      <c r="G587" s="92">
        <f>tbl_Reservoir[[#This Row],[Surface Water Area (km2)]]</f>
        <v>30.12</v>
      </c>
    </row>
    <row r="588" spans="2:7" x14ac:dyDescent="0.2">
      <c r="B588" t="s">
        <v>715</v>
      </c>
      <c r="C588">
        <v>31.32</v>
      </c>
      <c r="D588" s="83"/>
      <c r="E588" s="90">
        <f t="shared" si="10"/>
        <v>584</v>
      </c>
      <c r="F588" s="91">
        <f>LEFT(tbl_Reservoir[[#This Row],[time]],10)*1</f>
        <v>44342</v>
      </c>
      <c r="G588" s="92">
        <f>tbl_Reservoir[[#This Row],[Surface Water Area (km2)]]</f>
        <v>31.32</v>
      </c>
    </row>
    <row r="589" spans="2:7" x14ac:dyDescent="0.2">
      <c r="B589" t="s">
        <v>716</v>
      </c>
      <c r="C589">
        <v>29.11</v>
      </c>
      <c r="D589" s="83"/>
      <c r="E589" s="90">
        <f t="shared" si="10"/>
        <v>585</v>
      </c>
      <c r="F589" s="91">
        <f>LEFT(tbl_Reservoir[[#This Row],[time]],10)*1</f>
        <v>44345</v>
      </c>
      <c r="G589" s="92">
        <f>tbl_Reservoir[[#This Row],[Surface Water Area (km2)]]</f>
        <v>29.11</v>
      </c>
    </row>
    <row r="590" spans="2:7" x14ac:dyDescent="0.2">
      <c r="B590" t="s">
        <v>717</v>
      </c>
      <c r="C590">
        <v>28.9</v>
      </c>
      <c r="D590" s="83"/>
      <c r="E590" s="90">
        <f t="shared" si="10"/>
        <v>586</v>
      </c>
      <c r="F590" s="91">
        <f>LEFT(tbl_Reservoir[[#This Row],[time]],10)*1</f>
        <v>44350</v>
      </c>
      <c r="G590" s="92">
        <f>tbl_Reservoir[[#This Row],[Surface Water Area (km2)]]</f>
        <v>28.9</v>
      </c>
    </row>
    <row r="591" spans="2:7" x14ac:dyDescent="0.2">
      <c r="B591" t="s">
        <v>718</v>
      </c>
      <c r="C591">
        <v>28.91</v>
      </c>
      <c r="D591" s="83"/>
      <c r="E591" s="90">
        <f t="shared" si="10"/>
        <v>587</v>
      </c>
      <c r="F591" s="91">
        <f>LEFT(tbl_Reservoir[[#This Row],[time]],10)*1</f>
        <v>44350</v>
      </c>
      <c r="G591" s="92">
        <f>tbl_Reservoir[[#This Row],[Surface Water Area (km2)]]</f>
        <v>28.91</v>
      </c>
    </row>
    <row r="592" spans="2:7" x14ac:dyDescent="0.2">
      <c r="B592" t="s">
        <v>719</v>
      </c>
      <c r="C592">
        <v>26.83</v>
      </c>
      <c r="D592" s="83"/>
      <c r="E592" s="90">
        <f t="shared" si="10"/>
        <v>588</v>
      </c>
      <c r="F592" s="91">
        <f>LEFT(tbl_Reservoir[[#This Row],[time]],10)*1</f>
        <v>44365</v>
      </c>
      <c r="G592" s="92">
        <f>tbl_Reservoir[[#This Row],[Surface Water Area (km2)]]</f>
        <v>26.83</v>
      </c>
    </row>
    <row r="593" spans="2:7" x14ac:dyDescent="0.2">
      <c r="B593" t="s">
        <v>720</v>
      </c>
      <c r="C593">
        <v>27.02</v>
      </c>
      <c r="D593" s="83"/>
      <c r="E593" s="90">
        <f t="shared" si="10"/>
        <v>589</v>
      </c>
      <c r="F593" s="91">
        <f>LEFT(tbl_Reservoir[[#This Row],[time]],10)*1</f>
        <v>44366</v>
      </c>
      <c r="G593" s="92">
        <f>tbl_Reservoir[[#This Row],[Surface Water Area (km2)]]</f>
        <v>27.02</v>
      </c>
    </row>
    <row r="594" spans="2:7" x14ac:dyDescent="0.2">
      <c r="B594" t="s">
        <v>721</v>
      </c>
      <c r="C594">
        <v>26.56</v>
      </c>
      <c r="D594" s="83"/>
      <c r="E594" s="90">
        <f t="shared" si="10"/>
        <v>590</v>
      </c>
      <c r="F594" s="91">
        <f>LEFT(tbl_Reservoir[[#This Row],[time]],10)*1</f>
        <v>44370</v>
      </c>
      <c r="G594" s="92">
        <f>tbl_Reservoir[[#This Row],[Surface Water Area (km2)]]</f>
        <v>26.56</v>
      </c>
    </row>
    <row r="595" spans="2:7" x14ac:dyDescent="0.2">
      <c r="B595" t="s">
        <v>722</v>
      </c>
      <c r="C595">
        <v>26.14</v>
      </c>
      <c r="D595" s="83"/>
      <c r="E595" s="90">
        <f t="shared" si="10"/>
        <v>591</v>
      </c>
      <c r="F595" s="91">
        <f>LEFT(tbl_Reservoir[[#This Row],[time]],10)*1</f>
        <v>44375</v>
      </c>
      <c r="G595" s="92">
        <f>tbl_Reservoir[[#This Row],[Surface Water Area (km2)]]</f>
        <v>26.14</v>
      </c>
    </row>
    <row r="596" spans="2:7" x14ac:dyDescent="0.2">
      <c r="B596" t="s">
        <v>723</v>
      </c>
      <c r="C596">
        <v>25.56</v>
      </c>
      <c r="D596" s="83"/>
      <c r="E596" s="90">
        <f t="shared" si="10"/>
        <v>592</v>
      </c>
      <c r="F596" s="91">
        <f>LEFT(tbl_Reservoir[[#This Row],[time]],10)*1</f>
        <v>44380</v>
      </c>
      <c r="G596" s="92">
        <f>tbl_Reservoir[[#This Row],[Surface Water Area (km2)]]</f>
        <v>25.56</v>
      </c>
    </row>
    <row r="597" spans="2:7" x14ac:dyDescent="0.2">
      <c r="B597" t="s">
        <v>724</v>
      </c>
      <c r="C597">
        <v>24.91</v>
      </c>
      <c r="D597" s="83"/>
      <c r="E597" s="90">
        <f t="shared" si="10"/>
        <v>593</v>
      </c>
      <c r="F597" s="91">
        <f>LEFT(tbl_Reservoir[[#This Row],[time]],10)*1</f>
        <v>44385</v>
      </c>
      <c r="G597" s="92">
        <f>tbl_Reservoir[[#This Row],[Surface Water Area (km2)]]</f>
        <v>24.91</v>
      </c>
    </row>
    <row r="598" spans="2:7" x14ac:dyDescent="0.2">
      <c r="B598" t="s">
        <v>725</v>
      </c>
      <c r="C598">
        <v>25.5</v>
      </c>
      <c r="D598" s="83"/>
      <c r="E598" s="90">
        <f t="shared" si="10"/>
        <v>594</v>
      </c>
      <c r="F598" s="91">
        <f>LEFT(tbl_Reservoir[[#This Row],[time]],10)*1</f>
        <v>44390</v>
      </c>
      <c r="G598" s="92">
        <f>tbl_Reservoir[[#This Row],[Surface Water Area (km2)]]</f>
        <v>25.5</v>
      </c>
    </row>
    <row r="599" spans="2:7" x14ac:dyDescent="0.2">
      <c r="B599" t="s">
        <v>726</v>
      </c>
      <c r="C599">
        <v>56.77</v>
      </c>
      <c r="D599" s="83"/>
      <c r="E599" s="90">
        <f t="shared" si="10"/>
        <v>595</v>
      </c>
      <c r="F599" s="91">
        <f>LEFT(tbl_Reservoir[[#This Row],[time]],10)*1</f>
        <v>44398</v>
      </c>
      <c r="G599" s="92">
        <f>tbl_Reservoir[[#This Row],[Surface Water Area (km2)]]</f>
        <v>56.77</v>
      </c>
    </row>
    <row r="600" spans="2:7" x14ac:dyDescent="0.2">
      <c r="B600" t="s">
        <v>727</v>
      </c>
      <c r="C600">
        <v>55.92</v>
      </c>
      <c r="D600" s="83"/>
      <c r="E600" s="90">
        <f t="shared" si="10"/>
        <v>596</v>
      </c>
      <c r="F600" s="91">
        <f>LEFT(tbl_Reservoir[[#This Row],[time]],10)*1</f>
        <v>44400</v>
      </c>
      <c r="G600" s="92">
        <f>tbl_Reservoir[[#This Row],[Surface Water Area (km2)]]</f>
        <v>55.92</v>
      </c>
    </row>
    <row r="601" spans="2:7" x14ac:dyDescent="0.2">
      <c r="B601" t="s">
        <v>728</v>
      </c>
      <c r="C601">
        <v>56.31</v>
      </c>
      <c r="D601" s="83"/>
      <c r="E601" s="90">
        <f t="shared" si="10"/>
        <v>597</v>
      </c>
      <c r="F601" s="91">
        <f>LEFT(tbl_Reservoir[[#This Row],[time]],10)*1</f>
        <v>44406</v>
      </c>
      <c r="G601" s="92">
        <f>tbl_Reservoir[[#This Row],[Surface Water Area (km2)]]</f>
        <v>56.31</v>
      </c>
    </row>
    <row r="602" spans="2:7" x14ac:dyDescent="0.2">
      <c r="B602" t="s">
        <v>729</v>
      </c>
      <c r="C602">
        <v>55.52</v>
      </c>
      <c r="D602" s="83"/>
      <c r="E602" s="90">
        <f t="shared" si="10"/>
        <v>598</v>
      </c>
      <c r="F602" s="91">
        <f>LEFT(tbl_Reservoir[[#This Row],[time]],10)*1</f>
        <v>44410</v>
      </c>
      <c r="G602" s="92">
        <f>tbl_Reservoir[[#This Row],[Surface Water Area (km2)]]</f>
        <v>55.52</v>
      </c>
    </row>
    <row r="603" spans="2:7" x14ac:dyDescent="0.2">
      <c r="B603" t="s">
        <v>730</v>
      </c>
      <c r="C603">
        <v>55</v>
      </c>
      <c r="D603" s="83"/>
      <c r="E603" s="90">
        <f t="shared" si="10"/>
        <v>599</v>
      </c>
      <c r="F603" s="91">
        <f>LEFT(tbl_Reservoir[[#This Row],[time]],10)*1</f>
        <v>44414</v>
      </c>
      <c r="G603" s="92">
        <f>tbl_Reservoir[[#This Row],[Surface Water Area (km2)]]</f>
        <v>55</v>
      </c>
    </row>
    <row r="604" spans="2:7" x14ac:dyDescent="0.2">
      <c r="B604" t="s">
        <v>731</v>
      </c>
      <c r="C604">
        <v>54.3</v>
      </c>
      <c r="D604" s="83"/>
      <c r="E604" s="90">
        <f t="shared" si="10"/>
        <v>600</v>
      </c>
      <c r="F604" s="91">
        <f>LEFT(tbl_Reservoir[[#This Row],[time]],10)*1</f>
        <v>44415</v>
      </c>
      <c r="G604" s="92">
        <f>tbl_Reservoir[[#This Row],[Surface Water Area (km2)]]</f>
        <v>54.3</v>
      </c>
    </row>
    <row r="605" spans="2:7" x14ac:dyDescent="0.2">
      <c r="B605" t="s">
        <v>732</v>
      </c>
      <c r="C605">
        <v>52.26</v>
      </c>
      <c r="D605" s="83"/>
      <c r="E605" s="90">
        <f t="shared" si="10"/>
        <v>601</v>
      </c>
      <c r="F605" s="91">
        <f>LEFT(tbl_Reservoir[[#This Row],[time]],10)*1</f>
        <v>44420</v>
      </c>
      <c r="G605" s="92">
        <f>tbl_Reservoir[[#This Row],[Surface Water Area (km2)]]</f>
        <v>52.26</v>
      </c>
    </row>
    <row r="606" spans="2:7" x14ac:dyDescent="0.2">
      <c r="B606" t="s">
        <v>733</v>
      </c>
      <c r="C606">
        <v>51.72</v>
      </c>
      <c r="D606" s="83"/>
      <c r="E606" s="90">
        <f t="shared" si="10"/>
        <v>602</v>
      </c>
      <c r="F606" s="91">
        <f>LEFT(tbl_Reservoir[[#This Row],[time]],10)*1</f>
        <v>44425</v>
      </c>
      <c r="G606" s="92">
        <f>tbl_Reservoir[[#This Row],[Surface Water Area (km2)]]</f>
        <v>51.72</v>
      </c>
    </row>
    <row r="607" spans="2:7" x14ac:dyDescent="0.2">
      <c r="B607" t="s">
        <v>734</v>
      </c>
      <c r="C607">
        <v>52.63</v>
      </c>
      <c r="D607" s="83"/>
      <c r="E607" s="90">
        <f t="shared" si="10"/>
        <v>603</v>
      </c>
      <c r="F607" s="91">
        <f>LEFT(tbl_Reservoir[[#This Row],[time]],10)*1</f>
        <v>44430</v>
      </c>
      <c r="G607" s="92">
        <f>tbl_Reservoir[[#This Row],[Surface Water Area (km2)]]</f>
        <v>52.63</v>
      </c>
    </row>
    <row r="608" spans="2:7" x14ac:dyDescent="0.2">
      <c r="B608" t="s">
        <v>735</v>
      </c>
      <c r="C608">
        <v>52.89</v>
      </c>
      <c r="D608" s="83"/>
      <c r="E608" s="90">
        <f t="shared" si="10"/>
        <v>604</v>
      </c>
      <c r="F608" s="91">
        <f>LEFT(tbl_Reservoir[[#This Row],[time]],10)*1</f>
        <v>44430</v>
      </c>
      <c r="G608" s="92">
        <f>tbl_Reservoir[[#This Row],[Surface Water Area (km2)]]</f>
        <v>52.89</v>
      </c>
    </row>
    <row r="609" spans="2:7" x14ac:dyDescent="0.2">
      <c r="B609" t="s">
        <v>736</v>
      </c>
      <c r="C609">
        <v>51.65</v>
      </c>
      <c r="D609" s="83"/>
      <c r="E609" s="90">
        <f t="shared" si="10"/>
        <v>605</v>
      </c>
      <c r="F609" s="91">
        <f>LEFT(tbl_Reservoir[[#This Row],[time]],10)*1</f>
        <v>44435</v>
      </c>
      <c r="G609" s="92">
        <f>tbl_Reservoir[[#This Row],[Surface Water Area (km2)]]</f>
        <v>51.65</v>
      </c>
    </row>
    <row r="610" spans="2:7" x14ac:dyDescent="0.2">
      <c r="B610" t="s">
        <v>737</v>
      </c>
      <c r="C610">
        <v>51.99</v>
      </c>
      <c r="D610" s="83"/>
      <c r="E610" s="90">
        <f t="shared" si="10"/>
        <v>606</v>
      </c>
      <c r="F610" s="91">
        <f>LEFT(tbl_Reservoir[[#This Row],[time]],10)*1</f>
        <v>44438</v>
      </c>
      <c r="G610" s="92">
        <f>tbl_Reservoir[[#This Row],[Surface Water Area (km2)]]</f>
        <v>51.99</v>
      </c>
    </row>
    <row r="611" spans="2:7" x14ac:dyDescent="0.2">
      <c r="B611" t="s">
        <v>738</v>
      </c>
      <c r="C611">
        <v>51.51</v>
      </c>
      <c r="D611" s="83"/>
      <c r="E611" s="90">
        <f t="shared" si="10"/>
        <v>607</v>
      </c>
      <c r="F611" s="91">
        <f>LEFT(tbl_Reservoir[[#This Row],[time]],10)*1</f>
        <v>44440</v>
      </c>
      <c r="G611" s="92">
        <f>tbl_Reservoir[[#This Row],[Surface Water Area (km2)]]</f>
        <v>51.51</v>
      </c>
    </row>
    <row r="612" spans="2:7" x14ac:dyDescent="0.2">
      <c r="B612" t="s">
        <v>739</v>
      </c>
      <c r="C612">
        <v>51.03</v>
      </c>
      <c r="D612" s="83"/>
      <c r="E612" s="90">
        <f t="shared" si="10"/>
        <v>608</v>
      </c>
      <c r="F612" s="91">
        <f>LEFT(tbl_Reservoir[[#This Row],[time]],10)*1</f>
        <v>44445</v>
      </c>
      <c r="G612" s="92">
        <f>tbl_Reservoir[[#This Row],[Surface Water Area (km2)]]</f>
        <v>51.03</v>
      </c>
    </row>
    <row r="613" spans="2:7" x14ac:dyDescent="0.2">
      <c r="B613" t="s">
        <v>740</v>
      </c>
      <c r="C613">
        <v>50.83</v>
      </c>
      <c r="D613" s="83"/>
      <c r="E613" s="90">
        <f t="shared" si="10"/>
        <v>609</v>
      </c>
      <c r="F613" s="91">
        <f>LEFT(tbl_Reservoir[[#This Row],[time]],10)*1</f>
        <v>44446</v>
      </c>
      <c r="G613" s="92">
        <f>tbl_Reservoir[[#This Row],[Surface Water Area (km2)]]</f>
        <v>50.83</v>
      </c>
    </row>
    <row r="614" spans="2:7" x14ac:dyDescent="0.2">
      <c r="B614" t="s">
        <v>741</v>
      </c>
      <c r="C614">
        <v>49.93</v>
      </c>
      <c r="D614" s="83"/>
      <c r="E614" s="90">
        <f t="shared" si="10"/>
        <v>610</v>
      </c>
      <c r="F614" s="91">
        <f>LEFT(tbl_Reservoir[[#This Row],[time]],10)*1</f>
        <v>44450</v>
      </c>
      <c r="G614" s="92">
        <f>tbl_Reservoir[[#This Row],[Surface Water Area (km2)]]</f>
        <v>49.93</v>
      </c>
    </row>
    <row r="615" spans="2:7" x14ac:dyDescent="0.2">
      <c r="B615" t="s">
        <v>742</v>
      </c>
      <c r="C615">
        <v>48.07</v>
      </c>
      <c r="D615" s="83"/>
      <c r="E615" s="90">
        <f t="shared" si="10"/>
        <v>611</v>
      </c>
      <c r="F615" s="91">
        <f>LEFT(tbl_Reservoir[[#This Row],[time]],10)*1</f>
        <v>44454</v>
      </c>
      <c r="G615" s="92">
        <f>tbl_Reservoir[[#This Row],[Surface Water Area (km2)]]</f>
        <v>48.07</v>
      </c>
    </row>
    <row r="616" spans="2:7" x14ac:dyDescent="0.2">
      <c r="B616" t="s">
        <v>743</v>
      </c>
      <c r="C616">
        <v>47.86</v>
      </c>
      <c r="D616" s="83"/>
      <c r="E616" s="90">
        <f t="shared" si="10"/>
        <v>612</v>
      </c>
      <c r="F616" s="91">
        <f>LEFT(tbl_Reservoir[[#This Row],[time]],10)*1</f>
        <v>44455</v>
      </c>
      <c r="G616" s="92">
        <f>tbl_Reservoir[[#This Row],[Surface Water Area (km2)]]</f>
        <v>47.86</v>
      </c>
    </row>
    <row r="617" spans="2:7" x14ac:dyDescent="0.2">
      <c r="B617" t="s">
        <v>744</v>
      </c>
      <c r="C617">
        <v>47.21</v>
      </c>
      <c r="D617" s="83"/>
      <c r="E617" s="90">
        <f t="shared" si="10"/>
        <v>613</v>
      </c>
      <c r="F617" s="91">
        <f>LEFT(tbl_Reservoir[[#This Row],[time]],10)*1</f>
        <v>44460</v>
      </c>
      <c r="G617" s="92">
        <f>tbl_Reservoir[[#This Row],[Surface Water Area (km2)]]</f>
        <v>47.21</v>
      </c>
    </row>
    <row r="618" spans="2:7" x14ac:dyDescent="0.2">
      <c r="B618" t="s">
        <v>745</v>
      </c>
      <c r="C618">
        <v>46.04</v>
      </c>
      <c r="D618" s="83"/>
      <c r="E618" s="90">
        <f t="shared" si="10"/>
        <v>614</v>
      </c>
      <c r="F618" s="91">
        <f>LEFT(tbl_Reservoir[[#This Row],[time]],10)*1</f>
        <v>44465</v>
      </c>
      <c r="G618" s="92">
        <f>tbl_Reservoir[[#This Row],[Surface Water Area (km2)]]</f>
        <v>46.04</v>
      </c>
    </row>
    <row r="619" spans="2:7" x14ac:dyDescent="0.2">
      <c r="B619" t="s">
        <v>746</v>
      </c>
      <c r="C619">
        <v>49.37</v>
      </c>
      <c r="D619" s="83"/>
      <c r="E619" s="90">
        <f t="shared" si="10"/>
        <v>615</v>
      </c>
      <c r="F619" s="91">
        <f>LEFT(tbl_Reservoir[[#This Row],[time]],10)*1</f>
        <v>44475</v>
      </c>
      <c r="G619" s="92">
        <f>tbl_Reservoir[[#This Row],[Surface Water Area (km2)]]</f>
        <v>49.37</v>
      </c>
    </row>
    <row r="620" spans="2:7" x14ac:dyDescent="0.2">
      <c r="B620" t="s">
        <v>747</v>
      </c>
      <c r="C620">
        <v>47.92</v>
      </c>
      <c r="D620" s="83"/>
      <c r="E620" s="90">
        <f t="shared" si="10"/>
        <v>616</v>
      </c>
      <c r="F620" s="91">
        <f>LEFT(tbl_Reservoir[[#This Row],[time]],10)*1</f>
        <v>44478</v>
      </c>
      <c r="G620" s="92">
        <f>tbl_Reservoir[[#This Row],[Surface Water Area (km2)]]</f>
        <v>47.92</v>
      </c>
    </row>
    <row r="621" spans="2:7" x14ac:dyDescent="0.2">
      <c r="B621" t="s">
        <v>748</v>
      </c>
      <c r="C621">
        <v>47.91</v>
      </c>
      <c r="D621" s="83"/>
      <c r="E621" s="90">
        <f t="shared" si="10"/>
        <v>617</v>
      </c>
      <c r="F621" s="91">
        <f>LEFT(tbl_Reservoir[[#This Row],[time]],10)*1</f>
        <v>44480</v>
      </c>
      <c r="G621" s="92">
        <f>tbl_Reservoir[[#This Row],[Surface Water Area (km2)]]</f>
        <v>47.91</v>
      </c>
    </row>
    <row r="622" spans="2:7" x14ac:dyDescent="0.2">
      <c r="B622" t="s">
        <v>749</v>
      </c>
      <c r="C622">
        <v>46.28</v>
      </c>
      <c r="D622" s="83"/>
      <c r="E622" s="90">
        <f t="shared" si="10"/>
        <v>618</v>
      </c>
      <c r="F622" s="91">
        <f>LEFT(tbl_Reservoir[[#This Row],[time]],10)*1</f>
        <v>44485</v>
      </c>
      <c r="G622" s="92">
        <f>tbl_Reservoir[[#This Row],[Surface Water Area (km2)]]</f>
        <v>46.28</v>
      </c>
    </row>
    <row r="623" spans="2:7" x14ac:dyDescent="0.2">
      <c r="B623" t="s">
        <v>750</v>
      </c>
      <c r="C623">
        <v>46.06</v>
      </c>
      <c r="D623" s="83"/>
      <c r="E623" s="90">
        <f t="shared" si="10"/>
        <v>619</v>
      </c>
      <c r="F623" s="91">
        <f>LEFT(tbl_Reservoir[[#This Row],[time]],10)*1</f>
        <v>44486</v>
      </c>
      <c r="G623" s="92">
        <f>tbl_Reservoir[[#This Row],[Surface Water Area (km2)]]</f>
        <v>46.06</v>
      </c>
    </row>
    <row r="624" spans="2:7" x14ac:dyDescent="0.2">
      <c r="B624" t="s">
        <v>751</v>
      </c>
      <c r="C624">
        <v>45.95</v>
      </c>
      <c r="D624" s="83"/>
      <c r="E624" s="90">
        <f t="shared" si="10"/>
        <v>620</v>
      </c>
      <c r="F624" s="91">
        <f>LEFT(tbl_Reservoir[[#This Row],[time]],10)*1</f>
        <v>44494</v>
      </c>
      <c r="G624" s="92">
        <f>tbl_Reservoir[[#This Row],[Surface Water Area (km2)]]</f>
        <v>45.95</v>
      </c>
    </row>
    <row r="625" spans="2:7" x14ac:dyDescent="0.2">
      <c r="B625" t="s">
        <v>752</v>
      </c>
      <c r="C625">
        <v>46.08</v>
      </c>
      <c r="D625" s="83"/>
      <c r="E625" s="90">
        <f t="shared" si="10"/>
        <v>621</v>
      </c>
      <c r="F625" s="91">
        <f>LEFT(tbl_Reservoir[[#This Row],[time]],10)*1</f>
        <v>44495</v>
      </c>
      <c r="G625" s="92">
        <f>tbl_Reservoir[[#This Row],[Surface Water Area (km2)]]</f>
        <v>46.08</v>
      </c>
    </row>
    <row r="626" spans="2:7" x14ac:dyDescent="0.2">
      <c r="B626" t="s">
        <v>753</v>
      </c>
      <c r="C626">
        <v>44.08</v>
      </c>
      <c r="D626" s="83"/>
      <c r="E626" s="90">
        <f t="shared" si="10"/>
        <v>622</v>
      </c>
      <c r="F626" s="91">
        <f>LEFT(tbl_Reservoir[[#This Row],[time]],10)*1</f>
        <v>44500</v>
      </c>
      <c r="G626" s="92">
        <f>tbl_Reservoir[[#This Row],[Surface Water Area (km2)]]</f>
        <v>44.08</v>
      </c>
    </row>
    <row r="627" spans="2:7" x14ac:dyDescent="0.2">
      <c r="B627" t="s">
        <v>754</v>
      </c>
      <c r="C627">
        <v>44.65</v>
      </c>
      <c r="D627" s="83"/>
      <c r="E627" s="90">
        <f t="shared" si="10"/>
        <v>623</v>
      </c>
      <c r="F627" s="91">
        <f>LEFT(tbl_Reservoir[[#This Row],[time]],10)*1</f>
        <v>44502</v>
      </c>
      <c r="G627" s="92">
        <f>tbl_Reservoir[[#This Row],[Surface Water Area (km2)]]</f>
        <v>44.65</v>
      </c>
    </row>
    <row r="628" spans="2:7" x14ac:dyDescent="0.2">
      <c r="B628" t="s">
        <v>755</v>
      </c>
      <c r="C628">
        <v>44.06</v>
      </c>
      <c r="D628" s="83"/>
      <c r="E628" s="90">
        <f t="shared" si="10"/>
        <v>624</v>
      </c>
      <c r="F628" s="91">
        <f>LEFT(tbl_Reservoir[[#This Row],[time]],10)*1</f>
        <v>44505</v>
      </c>
      <c r="G628" s="92">
        <f>tbl_Reservoir[[#This Row],[Surface Water Area (km2)]]</f>
        <v>44.06</v>
      </c>
    </row>
    <row r="629" spans="2:7" x14ac:dyDescent="0.2">
      <c r="B629" t="s">
        <v>756</v>
      </c>
      <c r="C629">
        <v>43.55</v>
      </c>
      <c r="D629" s="83"/>
      <c r="E629" s="90">
        <f t="shared" si="10"/>
        <v>625</v>
      </c>
      <c r="F629" s="91">
        <f>LEFT(tbl_Reservoir[[#This Row],[time]],10)*1</f>
        <v>44510</v>
      </c>
      <c r="G629" s="92">
        <f>tbl_Reservoir[[#This Row],[Surface Water Area (km2)]]</f>
        <v>43.55</v>
      </c>
    </row>
    <row r="630" spans="2:7" x14ac:dyDescent="0.2">
      <c r="B630" t="s">
        <v>757</v>
      </c>
      <c r="C630">
        <v>42.63</v>
      </c>
      <c r="D630" s="83"/>
      <c r="E630" s="90">
        <f t="shared" si="10"/>
        <v>626</v>
      </c>
      <c r="F630" s="91">
        <f>LEFT(tbl_Reservoir[[#This Row],[time]],10)*1</f>
        <v>44515</v>
      </c>
      <c r="G630" s="92">
        <f>tbl_Reservoir[[#This Row],[Surface Water Area (km2)]]</f>
        <v>42.63</v>
      </c>
    </row>
    <row r="631" spans="2:7" x14ac:dyDescent="0.2">
      <c r="B631" t="s">
        <v>758</v>
      </c>
      <c r="C631">
        <v>42.77</v>
      </c>
      <c r="D631" s="83"/>
      <c r="E631" s="90">
        <f t="shared" si="10"/>
        <v>627</v>
      </c>
      <c r="F631" s="91">
        <f>LEFT(tbl_Reservoir[[#This Row],[time]],10)*1</f>
        <v>44518</v>
      </c>
      <c r="G631" s="92">
        <f>tbl_Reservoir[[#This Row],[Surface Water Area (km2)]]</f>
        <v>42.77</v>
      </c>
    </row>
    <row r="632" spans="2:7" x14ac:dyDescent="0.2">
      <c r="B632" t="s">
        <v>759</v>
      </c>
      <c r="C632">
        <v>41.41</v>
      </c>
      <c r="D632" s="83"/>
      <c r="E632" s="90">
        <f t="shared" si="10"/>
        <v>628</v>
      </c>
      <c r="F632" s="91">
        <f>LEFT(tbl_Reservoir[[#This Row],[time]],10)*1</f>
        <v>44520</v>
      </c>
      <c r="G632" s="92">
        <f>tbl_Reservoir[[#This Row],[Surface Water Area (km2)]]</f>
        <v>41.41</v>
      </c>
    </row>
    <row r="633" spans="2:7" x14ac:dyDescent="0.2">
      <c r="B633" t="s">
        <v>760</v>
      </c>
      <c r="C633">
        <v>41.27</v>
      </c>
      <c r="D633" s="83"/>
      <c r="E633" s="90">
        <f t="shared" si="10"/>
        <v>629</v>
      </c>
      <c r="F633" s="91">
        <f>LEFT(tbl_Reservoir[[#This Row],[time]],10)*1</f>
        <v>44525</v>
      </c>
      <c r="G633" s="92">
        <f>tbl_Reservoir[[#This Row],[Surface Water Area (km2)]]</f>
        <v>41.27</v>
      </c>
    </row>
    <row r="634" spans="2:7" x14ac:dyDescent="0.2">
      <c r="B634" t="s">
        <v>761</v>
      </c>
      <c r="C634">
        <v>41.02</v>
      </c>
      <c r="D634" s="83"/>
      <c r="E634" s="90">
        <f t="shared" si="10"/>
        <v>630</v>
      </c>
      <c r="F634" s="91">
        <f>LEFT(tbl_Reservoir[[#This Row],[time]],10)*1</f>
        <v>44526</v>
      </c>
      <c r="G634" s="92">
        <f>tbl_Reservoir[[#This Row],[Surface Water Area (km2)]]</f>
        <v>41.02</v>
      </c>
    </row>
    <row r="635" spans="2:7" x14ac:dyDescent="0.2">
      <c r="B635" t="s">
        <v>762</v>
      </c>
      <c r="C635">
        <v>40.9</v>
      </c>
      <c r="D635" s="83"/>
      <c r="E635" s="90">
        <f t="shared" si="10"/>
        <v>631</v>
      </c>
      <c r="F635" s="91">
        <f>LEFT(tbl_Reservoir[[#This Row],[time]],10)*1</f>
        <v>44530</v>
      </c>
      <c r="G635" s="92">
        <f>tbl_Reservoir[[#This Row],[Surface Water Area (km2)]]</f>
        <v>40.9</v>
      </c>
    </row>
    <row r="636" spans="2:7" x14ac:dyDescent="0.2">
      <c r="B636" t="s">
        <v>763</v>
      </c>
      <c r="C636">
        <v>42.4</v>
      </c>
      <c r="D636" s="83"/>
      <c r="E636" s="90">
        <f t="shared" si="10"/>
        <v>632</v>
      </c>
      <c r="F636" s="91">
        <f>LEFT(tbl_Reservoir[[#This Row],[time]],10)*1</f>
        <v>44534</v>
      </c>
      <c r="G636" s="92">
        <f>tbl_Reservoir[[#This Row],[Surface Water Area (km2)]]</f>
        <v>42.4</v>
      </c>
    </row>
    <row r="637" spans="2:7" x14ac:dyDescent="0.2">
      <c r="B637" t="s">
        <v>764</v>
      </c>
      <c r="C637">
        <v>40.33</v>
      </c>
      <c r="D637" s="83"/>
      <c r="E637" s="90">
        <f t="shared" si="10"/>
        <v>633</v>
      </c>
      <c r="F637" s="91">
        <f>LEFT(tbl_Reservoir[[#This Row],[time]],10)*1</f>
        <v>44535</v>
      </c>
      <c r="G637" s="92">
        <f>tbl_Reservoir[[#This Row],[Surface Water Area (km2)]]</f>
        <v>40.33</v>
      </c>
    </row>
    <row r="638" spans="2:7" x14ac:dyDescent="0.2">
      <c r="B638" t="s">
        <v>765</v>
      </c>
      <c r="C638">
        <v>40.270000000000003</v>
      </c>
      <c r="D638" s="83"/>
      <c r="E638" s="90">
        <f t="shared" si="10"/>
        <v>634</v>
      </c>
      <c r="F638" s="91">
        <f>LEFT(tbl_Reservoir[[#This Row],[time]],10)*1</f>
        <v>44540</v>
      </c>
      <c r="G638" s="92">
        <f>tbl_Reservoir[[#This Row],[Surface Water Area (km2)]]</f>
        <v>40.270000000000003</v>
      </c>
    </row>
    <row r="639" spans="2:7" x14ac:dyDescent="0.2">
      <c r="B639" t="s">
        <v>766</v>
      </c>
      <c r="C639">
        <v>39.81</v>
      </c>
      <c r="D639" s="83"/>
      <c r="E639" s="90">
        <f t="shared" si="10"/>
        <v>635</v>
      </c>
      <c r="F639" s="91">
        <f>LEFT(tbl_Reservoir[[#This Row],[time]],10)*1</f>
        <v>44542</v>
      </c>
      <c r="G639" s="92">
        <f>tbl_Reservoir[[#This Row],[Surface Water Area (km2)]]</f>
        <v>39.81</v>
      </c>
    </row>
    <row r="640" spans="2:7" x14ac:dyDescent="0.2">
      <c r="B640" t="s">
        <v>767</v>
      </c>
      <c r="C640">
        <v>38.58</v>
      </c>
      <c r="D640" s="83"/>
      <c r="E640" s="90">
        <f t="shared" si="10"/>
        <v>636</v>
      </c>
      <c r="F640" s="91">
        <f>LEFT(tbl_Reservoir[[#This Row],[time]],10)*1</f>
        <v>44550</v>
      </c>
      <c r="G640" s="92">
        <f>tbl_Reservoir[[#This Row],[Surface Water Area (km2)]]</f>
        <v>38.58</v>
      </c>
    </row>
    <row r="641" spans="2:7" x14ac:dyDescent="0.2">
      <c r="B641" t="s">
        <v>768</v>
      </c>
      <c r="C641">
        <v>43.09</v>
      </c>
      <c r="D641" s="83"/>
      <c r="E641" s="90">
        <f t="shared" si="10"/>
        <v>637</v>
      </c>
      <c r="F641" s="91">
        <f>LEFT(tbl_Reservoir[[#This Row],[time]],10)*1</f>
        <v>44555</v>
      </c>
      <c r="G641" s="92">
        <f>tbl_Reservoir[[#This Row],[Surface Water Area (km2)]]</f>
        <v>43.09</v>
      </c>
    </row>
    <row r="642" spans="2:7" x14ac:dyDescent="0.2">
      <c r="B642" t="s">
        <v>769</v>
      </c>
      <c r="C642">
        <v>39.47</v>
      </c>
      <c r="D642" s="83"/>
      <c r="E642" s="90">
        <f t="shared" si="10"/>
        <v>638</v>
      </c>
      <c r="F642" s="91">
        <f>LEFT(tbl_Reservoir[[#This Row],[time]],10)*1</f>
        <v>44558</v>
      </c>
      <c r="G642" s="92">
        <f>tbl_Reservoir[[#This Row],[Surface Water Area (km2)]]</f>
        <v>39.47</v>
      </c>
    </row>
    <row r="643" spans="2:7" x14ac:dyDescent="0.2">
      <c r="B643" t="s">
        <v>770</v>
      </c>
      <c r="C643">
        <v>54.35</v>
      </c>
      <c r="D643" s="83"/>
      <c r="E643" s="90">
        <f t="shared" si="10"/>
        <v>639</v>
      </c>
      <c r="F643" s="91">
        <f>LEFT(tbl_Reservoir[[#This Row],[time]],10)*1</f>
        <v>44570</v>
      </c>
      <c r="G643" s="92">
        <f>tbl_Reservoir[[#This Row],[Surface Water Area (km2)]]</f>
        <v>54.35</v>
      </c>
    </row>
    <row r="644" spans="2:7" x14ac:dyDescent="0.2">
      <c r="B644" t="s">
        <v>771</v>
      </c>
      <c r="C644">
        <v>54.07</v>
      </c>
      <c r="D644" s="83"/>
      <c r="E644" s="90">
        <f t="shared" si="10"/>
        <v>640</v>
      </c>
      <c r="F644" s="91">
        <f>LEFT(tbl_Reservoir[[#This Row],[time]],10)*1</f>
        <v>44575</v>
      </c>
      <c r="G644" s="92">
        <f>tbl_Reservoir[[#This Row],[Surface Water Area (km2)]]</f>
        <v>54.07</v>
      </c>
    </row>
    <row r="645" spans="2:7" x14ac:dyDescent="0.2">
      <c r="B645" t="s">
        <v>772</v>
      </c>
      <c r="C645">
        <v>52.93</v>
      </c>
      <c r="D645" s="83"/>
      <c r="E645" s="90">
        <f t="shared" si="10"/>
        <v>641</v>
      </c>
      <c r="F645" s="91">
        <f>LEFT(tbl_Reservoir[[#This Row],[time]],10)*1</f>
        <v>44585</v>
      </c>
      <c r="G645" s="92">
        <f>tbl_Reservoir[[#This Row],[Surface Water Area (km2)]]</f>
        <v>52.93</v>
      </c>
    </row>
    <row r="646" spans="2:7" x14ac:dyDescent="0.2">
      <c r="B646" t="s">
        <v>773</v>
      </c>
      <c r="C646">
        <v>52.3</v>
      </c>
      <c r="D646" s="83"/>
      <c r="E646" s="90">
        <f t="shared" ref="E646:E709" si="11">ROW()-4</f>
        <v>642</v>
      </c>
      <c r="F646" s="91">
        <f>LEFT(tbl_Reservoir[[#This Row],[time]],10)*1</f>
        <v>44620</v>
      </c>
      <c r="G646" s="92">
        <f>tbl_Reservoir[[#This Row],[Surface Water Area (km2)]]</f>
        <v>52.3</v>
      </c>
    </row>
    <row r="647" spans="2:7" x14ac:dyDescent="0.2">
      <c r="B647" t="s">
        <v>774</v>
      </c>
      <c r="C647">
        <v>51.6</v>
      </c>
      <c r="D647" s="83"/>
      <c r="E647" s="90">
        <f t="shared" si="11"/>
        <v>643</v>
      </c>
      <c r="F647" s="91">
        <f>LEFT(tbl_Reservoir[[#This Row],[time]],10)*1</f>
        <v>44630</v>
      </c>
      <c r="G647" s="92">
        <f>tbl_Reservoir[[#This Row],[Surface Water Area (km2)]]</f>
        <v>51.6</v>
      </c>
    </row>
    <row r="648" spans="2:7" x14ac:dyDescent="0.2">
      <c r="B648" t="s">
        <v>775</v>
      </c>
      <c r="C648">
        <v>50.32</v>
      </c>
      <c r="D648" s="83"/>
      <c r="E648" s="90">
        <f t="shared" si="11"/>
        <v>644</v>
      </c>
      <c r="F648" s="91">
        <f>LEFT(tbl_Reservoir[[#This Row],[time]],10)*1</f>
        <v>44635</v>
      </c>
      <c r="G648" s="92">
        <f>tbl_Reservoir[[#This Row],[Surface Water Area (km2)]]</f>
        <v>50.32</v>
      </c>
    </row>
    <row r="649" spans="2:7" x14ac:dyDescent="0.2">
      <c r="B649" t="s">
        <v>776</v>
      </c>
      <c r="C649">
        <v>45.77</v>
      </c>
      <c r="D649" s="83"/>
      <c r="E649" s="90">
        <f t="shared" si="11"/>
        <v>645</v>
      </c>
      <c r="F649" s="91">
        <f>LEFT(tbl_Reservoir[[#This Row],[time]],10)*1</f>
        <v>44655</v>
      </c>
      <c r="G649" s="92">
        <f>tbl_Reservoir[[#This Row],[Surface Water Area (km2)]]</f>
        <v>45.77</v>
      </c>
    </row>
    <row r="650" spans="2:7" x14ac:dyDescent="0.2">
      <c r="B650" t="s">
        <v>777</v>
      </c>
      <c r="C650">
        <v>44.95</v>
      </c>
      <c r="D650" s="83"/>
      <c r="E650" s="90">
        <f t="shared" si="11"/>
        <v>646</v>
      </c>
      <c r="F650" s="91">
        <f>LEFT(tbl_Reservoir[[#This Row],[time]],10)*1</f>
        <v>44660</v>
      </c>
      <c r="G650" s="92">
        <f>tbl_Reservoir[[#This Row],[Surface Water Area (km2)]]</f>
        <v>44.95</v>
      </c>
    </row>
    <row r="651" spans="2:7" x14ac:dyDescent="0.2">
      <c r="B651" t="s">
        <v>778</v>
      </c>
      <c r="C651">
        <v>43.79</v>
      </c>
      <c r="D651" s="83"/>
      <c r="E651" s="90">
        <f t="shared" si="11"/>
        <v>647</v>
      </c>
      <c r="F651" s="91">
        <f>LEFT(tbl_Reservoir[[#This Row],[time]],10)*1</f>
        <v>44665</v>
      </c>
      <c r="G651" s="92">
        <f>tbl_Reservoir[[#This Row],[Surface Water Area (km2)]]</f>
        <v>43.79</v>
      </c>
    </row>
    <row r="652" spans="2:7" x14ac:dyDescent="0.2">
      <c r="B652" t="s">
        <v>779</v>
      </c>
      <c r="C652">
        <v>43.5</v>
      </c>
      <c r="D652" s="83"/>
      <c r="E652" s="90">
        <f t="shared" si="11"/>
        <v>648</v>
      </c>
      <c r="F652" s="91">
        <f>LEFT(tbl_Reservoir[[#This Row],[time]],10)*1</f>
        <v>44670</v>
      </c>
      <c r="G652" s="92">
        <f>tbl_Reservoir[[#This Row],[Surface Water Area (km2)]]</f>
        <v>43.5</v>
      </c>
    </row>
    <row r="653" spans="2:7" x14ac:dyDescent="0.2">
      <c r="B653" t="s">
        <v>780</v>
      </c>
      <c r="C653">
        <v>42.54</v>
      </c>
      <c r="D653" s="83"/>
      <c r="E653" s="90">
        <f t="shared" si="11"/>
        <v>649</v>
      </c>
      <c r="F653" s="91">
        <f>LEFT(tbl_Reservoir[[#This Row],[time]],10)*1</f>
        <v>44675</v>
      </c>
      <c r="G653" s="92">
        <f>tbl_Reservoir[[#This Row],[Surface Water Area (km2)]]</f>
        <v>42.54</v>
      </c>
    </row>
    <row r="654" spans="2:7" x14ac:dyDescent="0.2">
      <c r="B654" t="s">
        <v>781</v>
      </c>
      <c r="C654">
        <v>40.950000000000003</v>
      </c>
      <c r="D654" s="83"/>
      <c r="E654" s="90">
        <f t="shared" si="11"/>
        <v>650</v>
      </c>
      <c r="F654" s="91">
        <f>LEFT(tbl_Reservoir[[#This Row],[time]],10)*1</f>
        <v>44680</v>
      </c>
      <c r="G654" s="92">
        <f>tbl_Reservoir[[#This Row],[Surface Water Area (km2)]]</f>
        <v>40.950000000000003</v>
      </c>
    </row>
    <row r="655" spans="2:7" x14ac:dyDescent="0.2">
      <c r="B655" t="s">
        <v>782</v>
      </c>
      <c r="C655">
        <v>41.68</v>
      </c>
      <c r="D655" s="83"/>
      <c r="E655" s="90">
        <f t="shared" si="11"/>
        <v>651</v>
      </c>
      <c r="F655" s="91">
        <f>LEFT(tbl_Reservoir[[#This Row],[time]],10)*1</f>
        <v>44685</v>
      </c>
      <c r="G655" s="92">
        <f>tbl_Reservoir[[#This Row],[Surface Water Area (km2)]]</f>
        <v>41.68</v>
      </c>
    </row>
    <row r="656" spans="2:7" x14ac:dyDescent="0.2">
      <c r="B656" t="s">
        <v>783</v>
      </c>
      <c r="C656">
        <v>40</v>
      </c>
      <c r="D656" s="83"/>
      <c r="E656" s="90">
        <f t="shared" si="11"/>
        <v>652</v>
      </c>
      <c r="F656" s="91">
        <f>LEFT(tbl_Reservoir[[#This Row],[time]],10)*1</f>
        <v>44690</v>
      </c>
      <c r="G656" s="92">
        <f>tbl_Reservoir[[#This Row],[Surface Water Area (km2)]]</f>
        <v>40</v>
      </c>
    </row>
    <row r="657" spans="2:7" x14ac:dyDescent="0.2">
      <c r="B657" t="s">
        <v>784</v>
      </c>
      <c r="C657">
        <v>38.53</v>
      </c>
      <c r="D657" s="83"/>
      <c r="E657" s="90">
        <f t="shared" si="11"/>
        <v>653</v>
      </c>
      <c r="F657" s="91">
        <f>LEFT(tbl_Reservoir[[#This Row],[time]],10)*1</f>
        <v>44695</v>
      </c>
      <c r="G657" s="92">
        <f>tbl_Reservoir[[#This Row],[Surface Water Area (km2)]]</f>
        <v>38.53</v>
      </c>
    </row>
    <row r="658" spans="2:7" x14ac:dyDescent="0.2">
      <c r="B658" t="s">
        <v>785</v>
      </c>
      <c r="C658">
        <v>38.47</v>
      </c>
      <c r="D658" s="83"/>
      <c r="E658" s="90">
        <f t="shared" si="11"/>
        <v>654</v>
      </c>
      <c r="F658" s="91">
        <f>LEFT(tbl_Reservoir[[#This Row],[time]],10)*1</f>
        <v>44700</v>
      </c>
      <c r="G658" s="92">
        <f>tbl_Reservoir[[#This Row],[Surface Water Area (km2)]]</f>
        <v>38.47</v>
      </c>
    </row>
    <row r="659" spans="2:7" x14ac:dyDescent="0.2">
      <c r="B659" t="s">
        <v>786</v>
      </c>
      <c r="C659">
        <v>38.619999999999997</v>
      </c>
      <c r="D659" s="83"/>
      <c r="E659" s="90">
        <f t="shared" si="11"/>
        <v>655</v>
      </c>
      <c r="F659" s="91">
        <f>LEFT(tbl_Reservoir[[#This Row],[time]],10)*1</f>
        <v>44705</v>
      </c>
      <c r="G659" s="92">
        <f>tbl_Reservoir[[#This Row],[Surface Water Area (km2)]]</f>
        <v>38.619999999999997</v>
      </c>
    </row>
    <row r="660" spans="2:7" x14ac:dyDescent="0.2">
      <c r="B660" t="s">
        <v>787</v>
      </c>
      <c r="C660">
        <v>37.25</v>
      </c>
      <c r="D660" s="83"/>
      <c r="E660" s="90">
        <f t="shared" si="11"/>
        <v>656</v>
      </c>
      <c r="F660" s="91">
        <f>LEFT(tbl_Reservoir[[#This Row],[time]],10)*1</f>
        <v>44710</v>
      </c>
      <c r="G660" s="92">
        <f>tbl_Reservoir[[#This Row],[Surface Water Area (km2)]]</f>
        <v>37.25</v>
      </c>
    </row>
    <row r="661" spans="2:7" x14ac:dyDescent="0.2">
      <c r="B661" t="s">
        <v>788</v>
      </c>
      <c r="C661">
        <v>35.659999999999997</v>
      </c>
      <c r="D661" s="83"/>
      <c r="E661" s="90">
        <f t="shared" si="11"/>
        <v>657</v>
      </c>
      <c r="F661" s="91">
        <f>LEFT(tbl_Reservoir[[#This Row],[time]],10)*1</f>
        <v>44715</v>
      </c>
      <c r="G661" s="92">
        <f>tbl_Reservoir[[#This Row],[Surface Water Area (km2)]]</f>
        <v>35.659999999999997</v>
      </c>
    </row>
    <row r="662" spans="2:7" x14ac:dyDescent="0.2">
      <c r="B662" t="s">
        <v>789</v>
      </c>
      <c r="C662">
        <v>35.56</v>
      </c>
      <c r="D662" s="83"/>
      <c r="E662" s="90">
        <f t="shared" si="11"/>
        <v>658</v>
      </c>
      <c r="F662" s="91">
        <f>LEFT(tbl_Reservoir[[#This Row],[time]],10)*1</f>
        <v>44720</v>
      </c>
      <c r="G662" s="92">
        <f>tbl_Reservoir[[#This Row],[Surface Water Area (km2)]]</f>
        <v>35.56</v>
      </c>
    </row>
    <row r="663" spans="2:7" x14ac:dyDescent="0.2">
      <c r="B663" t="s">
        <v>790</v>
      </c>
      <c r="C663">
        <v>35.82</v>
      </c>
      <c r="D663" s="83"/>
      <c r="E663" s="90">
        <f t="shared" si="11"/>
        <v>659</v>
      </c>
      <c r="F663" s="91">
        <f>LEFT(tbl_Reservoir[[#This Row],[time]],10)*1</f>
        <v>44725</v>
      </c>
      <c r="G663" s="92">
        <f>tbl_Reservoir[[#This Row],[Surface Water Area (km2)]]</f>
        <v>35.82</v>
      </c>
    </row>
    <row r="664" spans="2:7" x14ac:dyDescent="0.2">
      <c r="B664" t="s">
        <v>791</v>
      </c>
      <c r="C664">
        <v>34.44</v>
      </c>
      <c r="D664" s="83"/>
      <c r="E664" s="90">
        <f t="shared" si="11"/>
        <v>660</v>
      </c>
      <c r="F664" s="91">
        <f>LEFT(tbl_Reservoir[[#This Row],[time]],10)*1</f>
        <v>44730</v>
      </c>
      <c r="G664" s="92">
        <f>tbl_Reservoir[[#This Row],[Surface Water Area (km2)]]</f>
        <v>34.44</v>
      </c>
    </row>
    <row r="665" spans="2:7" x14ac:dyDescent="0.2">
      <c r="B665" t="s">
        <v>792</v>
      </c>
      <c r="C665">
        <v>33.22</v>
      </c>
      <c r="D665" s="83"/>
      <c r="E665" s="90">
        <f t="shared" si="11"/>
        <v>661</v>
      </c>
      <c r="F665" s="91">
        <f>LEFT(tbl_Reservoir[[#This Row],[time]],10)*1</f>
        <v>44735</v>
      </c>
      <c r="G665" s="92">
        <f>tbl_Reservoir[[#This Row],[Surface Water Area (km2)]]</f>
        <v>33.22</v>
      </c>
    </row>
    <row r="666" spans="2:7" x14ac:dyDescent="0.2">
      <c r="B666" t="s">
        <v>793</v>
      </c>
      <c r="C666">
        <v>32.659999999999997</v>
      </c>
      <c r="D666" s="83"/>
      <c r="E666" s="90">
        <f t="shared" si="11"/>
        <v>662</v>
      </c>
      <c r="F666" s="91">
        <f>LEFT(tbl_Reservoir[[#This Row],[time]],10)*1</f>
        <v>44740</v>
      </c>
      <c r="G666" s="92">
        <f>tbl_Reservoir[[#This Row],[Surface Water Area (km2)]]</f>
        <v>32.659999999999997</v>
      </c>
    </row>
    <row r="667" spans="2:7" x14ac:dyDescent="0.2">
      <c r="B667" t="s">
        <v>794</v>
      </c>
      <c r="C667">
        <v>32.54</v>
      </c>
      <c r="D667" s="83"/>
      <c r="E667" s="90">
        <f t="shared" si="11"/>
        <v>663</v>
      </c>
      <c r="F667" s="91">
        <f>LEFT(tbl_Reservoir[[#This Row],[time]],10)*1</f>
        <v>44745</v>
      </c>
      <c r="G667" s="92">
        <f>tbl_Reservoir[[#This Row],[Surface Water Area (km2)]]</f>
        <v>32.54</v>
      </c>
    </row>
    <row r="668" spans="2:7" x14ac:dyDescent="0.2">
      <c r="B668" t="s">
        <v>795</v>
      </c>
      <c r="C668">
        <v>61.82</v>
      </c>
      <c r="D668" s="83"/>
      <c r="E668" s="90">
        <f t="shared" si="11"/>
        <v>664</v>
      </c>
      <c r="F668" s="91">
        <f>LEFT(tbl_Reservoir[[#This Row],[time]],10)*1</f>
        <v>44755</v>
      </c>
      <c r="G668" s="92">
        <f>tbl_Reservoir[[#This Row],[Surface Water Area (km2)]]</f>
        <v>61.82</v>
      </c>
    </row>
    <row r="669" spans="2:7" x14ac:dyDescent="0.2">
      <c r="B669" t="s">
        <v>796</v>
      </c>
      <c r="C669">
        <v>56.3</v>
      </c>
      <c r="D669" s="83"/>
      <c r="E669" s="90">
        <f t="shared" si="11"/>
        <v>665</v>
      </c>
      <c r="F669" s="91">
        <f>LEFT(tbl_Reservoir[[#This Row],[time]],10)*1</f>
        <v>44760</v>
      </c>
      <c r="G669" s="92">
        <f>tbl_Reservoir[[#This Row],[Surface Water Area (km2)]]</f>
        <v>56.3</v>
      </c>
    </row>
    <row r="670" spans="2:7" x14ac:dyDescent="0.2">
      <c r="B670" t="s">
        <v>797</v>
      </c>
      <c r="C670">
        <v>53.38</v>
      </c>
      <c r="D670" s="83"/>
      <c r="E670" s="90">
        <f t="shared" si="11"/>
        <v>666</v>
      </c>
      <c r="F670" s="91">
        <f>LEFT(tbl_Reservoir[[#This Row],[time]],10)*1</f>
        <v>44780</v>
      </c>
      <c r="G670" s="92">
        <f>tbl_Reservoir[[#This Row],[Surface Water Area (km2)]]</f>
        <v>53.38</v>
      </c>
    </row>
    <row r="671" spans="2:7" x14ac:dyDescent="0.2">
      <c r="B671" t="s">
        <v>798</v>
      </c>
      <c r="C671">
        <v>68.5</v>
      </c>
      <c r="D671" s="83"/>
      <c r="E671" s="90">
        <f t="shared" si="11"/>
        <v>667</v>
      </c>
      <c r="F671" s="91">
        <f>LEFT(tbl_Reservoir[[#This Row],[time]],10)*1</f>
        <v>44790</v>
      </c>
      <c r="G671" s="92">
        <f>tbl_Reservoir[[#This Row],[Surface Water Area (km2)]]</f>
        <v>68.5</v>
      </c>
    </row>
    <row r="672" spans="2:7" x14ac:dyDescent="0.2">
      <c r="B672" t="s">
        <v>799</v>
      </c>
      <c r="C672">
        <v>55.77</v>
      </c>
      <c r="D672" s="83"/>
      <c r="E672" s="90">
        <f t="shared" si="11"/>
        <v>668</v>
      </c>
      <c r="F672" s="91">
        <f>LEFT(tbl_Reservoir[[#This Row],[time]],10)*1</f>
        <v>44795</v>
      </c>
      <c r="G672" s="92">
        <f>tbl_Reservoir[[#This Row],[Surface Water Area (km2)]]</f>
        <v>55.77</v>
      </c>
    </row>
    <row r="673" spans="2:7" x14ac:dyDescent="0.2">
      <c r="B673" t="s">
        <v>800</v>
      </c>
      <c r="C673">
        <v>55.11</v>
      </c>
      <c r="D673" s="83"/>
      <c r="E673" s="90">
        <f t="shared" si="11"/>
        <v>669</v>
      </c>
      <c r="F673" s="91">
        <f>LEFT(tbl_Reservoir[[#This Row],[time]],10)*1</f>
        <v>44800</v>
      </c>
      <c r="G673" s="92">
        <f>tbl_Reservoir[[#This Row],[Surface Water Area (km2)]]</f>
        <v>55.11</v>
      </c>
    </row>
    <row r="674" spans="2:7" x14ac:dyDescent="0.2">
      <c r="B674" t="s">
        <v>801</v>
      </c>
      <c r="C674">
        <v>53.81</v>
      </c>
      <c r="D674" s="83"/>
      <c r="E674" s="90">
        <f t="shared" si="11"/>
        <v>670</v>
      </c>
      <c r="F674" s="91">
        <f>LEFT(tbl_Reservoir[[#This Row],[time]],10)*1</f>
        <v>44805</v>
      </c>
      <c r="G674" s="92">
        <f>tbl_Reservoir[[#This Row],[Surface Water Area (km2)]]</f>
        <v>53.81</v>
      </c>
    </row>
    <row r="675" spans="2:7" x14ac:dyDescent="0.2">
      <c r="B675" t="s">
        <v>802</v>
      </c>
      <c r="C675">
        <v>53.34</v>
      </c>
      <c r="D675" s="83"/>
      <c r="E675" s="90">
        <f t="shared" si="11"/>
        <v>671</v>
      </c>
      <c r="F675" s="91">
        <f>LEFT(tbl_Reservoir[[#This Row],[time]],10)*1</f>
        <v>44810</v>
      </c>
      <c r="G675" s="92">
        <f>tbl_Reservoir[[#This Row],[Surface Water Area (km2)]]</f>
        <v>53.34</v>
      </c>
    </row>
    <row r="676" spans="2:7" x14ac:dyDescent="0.2">
      <c r="B676" t="s">
        <v>803</v>
      </c>
      <c r="C676">
        <v>53.8</v>
      </c>
      <c r="D676" s="83"/>
      <c r="E676" s="90">
        <f t="shared" si="11"/>
        <v>672</v>
      </c>
      <c r="F676" s="91">
        <f>LEFT(tbl_Reservoir[[#This Row],[time]],10)*1</f>
        <v>44815</v>
      </c>
      <c r="G676" s="92">
        <f>tbl_Reservoir[[#This Row],[Surface Water Area (km2)]]</f>
        <v>53.8</v>
      </c>
    </row>
    <row r="677" spans="2:7" x14ac:dyDescent="0.2">
      <c r="B677" t="s">
        <v>804</v>
      </c>
      <c r="C677">
        <v>53.19</v>
      </c>
      <c r="D677" s="83"/>
      <c r="E677" s="90">
        <f t="shared" si="11"/>
        <v>673</v>
      </c>
      <c r="F677" s="91">
        <f>LEFT(tbl_Reservoir[[#This Row],[time]],10)*1</f>
        <v>44820</v>
      </c>
      <c r="G677" s="92">
        <f>tbl_Reservoir[[#This Row],[Surface Water Area (km2)]]</f>
        <v>53.19</v>
      </c>
    </row>
    <row r="678" spans="2:7" x14ac:dyDescent="0.2">
      <c r="B678" t="s">
        <v>805</v>
      </c>
      <c r="C678">
        <v>50.63</v>
      </c>
      <c r="D678" s="83"/>
      <c r="E678" s="90">
        <f t="shared" si="11"/>
        <v>674</v>
      </c>
      <c r="F678" s="91">
        <f>LEFT(tbl_Reservoir[[#This Row],[time]],10)*1</f>
        <v>44825</v>
      </c>
      <c r="G678" s="92">
        <f>tbl_Reservoir[[#This Row],[Surface Water Area (km2)]]</f>
        <v>50.63</v>
      </c>
    </row>
    <row r="679" spans="2:7" x14ac:dyDescent="0.2">
      <c r="B679" t="s">
        <v>806</v>
      </c>
      <c r="C679">
        <v>50.97</v>
      </c>
      <c r="D679" s="83"/>
      <c r="E679" s="90">
        <f t="shared" si="11"/>
        <v>675</v>
      </c>
      <c r="F679" s="91">
        <f>LEFT(tbl_Reservoir[[#This Row],[time]],10)*1</f>
        <v>44830</v>
      </c>
      <c r="G679" s="92">
        <f>tbl_Reservoir[[#This Row],[Surface Water Area (km2)]]</f>
        <v>50.97</v>
      </c>
    </row>
    <row r="680" spans="2:7" x14ac:dyDescent="0.2">
      <c r="B680" t="s">
        <v>807</v>
      </c>
      <c r="C680">
        <v>50.52</v>
      </c>
      <c r="D680" s="83"/>
      <c r="E680" s="90">
        <f t="shared" si="11"/>
        <v>676</v>
      </c>
      <c r="F680" s="91">
        <f>LEFT(tbl_Reservoir[[#This Row],[time]],10)*1</f>
        <v>44835</v>
      </c>
      <c r="G680" s="92">
        <f>tbl_Reservoir[[#This Row],[Surface Water Area (km2)]]</f>
        <v>50.52</v>
      </c>
    </row>
    <row r="681" spans="2:7" x14ac:dyDescent="0.2">
      <c r="B681" t="s">
        <v>808</v>
      </c>
      <c r="C681">
        <v>49.67</v>
      </c>
      <c r="D681" s="83"/>
      <c r="E681" s="90">
        <f t="shared" si="11"/>
        <v>677</v>
      </c>
      <c r="F681" s="91">
        <f>LEFT(tbl_Reservoir[[#This Row],[time]],10)*1</f>
        <v>44840</v>
      </c>
      <c r="G681" s="92">
        <f>tbl_Reservoir[[#This Row],[Surface Water Area (km2)]]</f>
        <v>49.67</v>
      </c>
    </row>
    <row r="682" spans="2:7" x14ac:dyDescent="0.2">
      <c r="B682" t="s">
        <v>809</v>
      </c>
      <c r="C682">
        <v>48.5</v>
      </c>
      <c r="D682" s="83"/>
      <c r="E682" s="90">
        <f t="shared" si="11"/>
        <v>678</v>
      </c>
      <c r="F682" s="91">
        <f>LEFT(tbl_Reservoir[[#This Row],[time]],10)*1</f>
        <v>44845</v>
      </c>
      <c r="G682" s="92">
        <f>tbl_Reservoir[[#This Row],[Surface Water Area (km2)]]</f>
        <v>48.5</v>
      </c>
    </row>
    <row r="683" spans="2:7" x14ac:dyDescent="0.2">
      <c r="B683" t="s">
        <v>810</v>
      </c>
      <c r="C683">
        <v>48.01</v>
      </c>
      <c r="D683" s="83"/>
      <c r="E683" s="90">
        <f t="shared" si="11"/>
        <v>679</v>
      </c>
      <c r="F683" s="91">
        <f>LEFT(tbl_Reservoir[[#This Row],[time]],10)*1</f>
        <v>44850</v>
      </c>
      <c r="G683" s="92">
        <f>tbl_Reservoir[[#This Row],[Surface Water Area (km2)]]</f>
        <v>48.01</v>
      </c>
    </row>
    <row r="684" spans="2:7" x14ac:dyDescent="0.2">
      <c r="B684" t="s">
        <v>811</v>
      </c>
      <c r="C684">
        <v>47.15</v>
      </c>
      <c r="D684" s="83"/>
      <c r="E684" s="90">
        <f t="shared" si="11"/>
        <v>680</v>
      </c>
      <c r="F684" s="91">
        <f>LEFT(tbl_Reservoir[[#This Row],[time]],10)*1</f>
        <v>44855</v>
      </c>
      <c r="G684" s="92">
        <f>tbl_Reservoir[[#This Row],[Surface Water Area (km2)]]</f>
        <v>47.15</v>
      </c>
    </row>
    <row r="685" spans="2:7" x14ac:dyDescent="0.2">
      <c r="B685" t="s">
        <v>812</v>
      </c>
      <c r="C685">
        <v>46.64</v>
      </c>
      <c r="D685" s="83"/>
      <c r="E685" s="90">
        <f t="shared" si="11"/>
        <v>681</v>
      </c>
      <c r="F685" s="91">
        <f>LEFT(tbl_Reservoir[[#This Row],[time]],10)*1</f>
        <v>44860</v>
      </c>
      <c r="G685" s="92">
        <f>tbl_Reservoir[[#This Row],[Surface Water Area (km2)]]</f>
        <v>46.64</v>
      </c>
    </row>
    <row r="686" spans="2:7" x14ac:dyDescent="0.2">
      <c r="B686" t="s">
        <v>813</v>
      </c>
      <c r="C686">
        <v>46.3</v>
      </c>
      <c r="D686" s="83"/>
      <c r="E686" s="90">
        <f t="shared" si="11"/>
        <v>682</v>
      </c>
      <c r="F686" s="91">
        <f>LEFT(tbl_Reservoir[[#This Row],[time]],10)*1</f>
        <v>44865</v>
      </c>
      <c r="G686" s="92">
        <f>tbl_Reservoir[[#This Row],[Surface Water Area (km2)]]</f>
        <v>46.3</v>
      </c>
    </row>
    <row r="687" spans="2:7" x14ac:dyDescent="0.2">
      <c r="B687" t="s">
        <v>814</v>
      </c>
      <c r="C687">
        <v>46.42</v>
      </c>
      <c r="D687" s="83"/>
      <c r="E687" s="90">
        <f t="shared" si="11"/>
        <v>683</v>
      </c>
      <c r="F687" s="91">
        <f>LEFT(tbl_Reservoir[[#This Row],[time]],10)*1</f>
        <v>44870</v>
      </c>
      <c r="G687" s="92">
        <f>tbl_Reservoir[[#This Row],[Surface Water Area (km2)]]</f>
        <v>46.42</v>
      </c>
    </row>
    <row r="688" spans="2:7" x14ac:dyDescent="0.2">
      <c r="B688" t="s">
        <v>815</v>
      </c>
      <c r="C688">
        <v>45.47</v>
      </c>
      <c r="D688" s="83"/>
      <c r="E688" s="90">
        <f t="shared" si="11"/>
        <v>684</v>
      </c>
      <c r="F688" s="91">
        <f>LEFT(tbl_Reservoir[[#This Row],[time]],10)*1</f>
        <v>44875</v>
      </c>
      <c r="G688" s="92">
        <f>tbl_Reservoir[[#This Row],[Surface Water Area (km2)]]</f>
        <v>45.47</v>
      </c>
    </row>
    <row r="689" spans="2:7" x14ac:dyDescent="0.2">
      <c r="B689" t="s">
        <v>816</v>
      </c>
      <c r="C689">
        <v>45.57</v>
      </c>
      <c r="D689" s="83"/>
      <c r="E689" s="90">
        <f t="shared" si="11"/>
        <v>685</v>
      </c>
      <c r="F689" s="91">
        <f>LEFT(tbl_Reservoir[[#This Row],[time]],10)*1</f>
        <v>44880</v>
      </c>
      <c r="G689" s="92">
        <f>tbl_Reservoir[[#This Row],[Surface Water Area (km2)]]</f>
        <v>45.57</v>
      </c>
    </row>
    <row r="690" spans="2:7" x14ac:dyDescent="0.2">
      <c r="B690" t="s">
        <v>817</v>
      </c>
      <c r="C690">
        <v>44.96</v>
      </c>
      <c r="D690" s="83"/>
      <c r="E690" s="90">
        <f t="shared" si="11"/>
        <v>686</v>
      </c>
      <c r="F690" s="91">
        <f>LEFT(tbl_Reservoir[[#This Row],[time]],10)*1</f>
        <v>44885</v>
      </c>
      <c r="G690" s="92">
        <f>tbl_Reservoir[[#This Row],[Surface Water Area (km2)]]</f>
        <v>44.96</v>
      </c>
    </row>
    <row r="691" spans="2:7" x14ac:dyDescent="0.2">
      <c r="B691" t="s">
        <v>818</v>
      </c>
      <c r="C691">
        <v>43.4</v>
      </c>
      <c r="D691" s="83"/>
      <c r="E691" s="90">
        <f t="shared" si="11"/>
        <v>687</v>
      </c>
      <c r="F691" s="91">
        <f>LEFT(tbl_Reservoir[[#This Row],[time]],10)*1</f>
        <v>44890</v>
      </c>
      <c r="G691" s="92">
        <f>tbl_Reservoir[[#This Row],[Surface Water Area (km2)]]</f>
        <v>43.4</v>
      </c>
    </row>
    <row r="692" spans="2:7" x14ac:dyDescent="0.2">
      <c r="B692" t="s">
        <v>819</v>
      </c>
      <c r="C692">
        <v>42.62</v>
      </c>
      <c r="D692" s="83"/>
      <c r="E692" s="90">
        <f t="shared" si="11"/>
        <v>688</v>
      </c>
      <c r="F692" s="91">
        <f>LEFT(tbl_Reservoir[[#This Row],[time]],10)*1</f>
        <v>44895</v>
      </c>
      <c r="G692" s="92">
        <f>tbl_Reservoir[[#This Row],[Surface Water Area (km2)]]</f>
        <v>42.62</v>
      </c>
    </row>
    <row r="693" spans="2:7" x14ac:dyDescent="0.2">
      <c r="B693" t="s">
        <v>820</v>
      </c>
      <c r="C693">
        <v>42.46</v>
      </c>
      <c r="D693" s="83"/>
      <c r="E693" s="90">
        <f t="shared" si="11"/>
        <v>689</v>
      </c>
      <c r="F693" s="91">
        <f>LEFT(tbl_Reservoir[[#This Row],[time]],10)*1</f>
        <v>44900</v>
      </c>
      <c r="G693" s="92">
        <f>tbl_Reservoir[[#This Row],[Surface Water Area (km2)]]</f>
        <v>42.46</v>
      </c>
    </row>
    <row r="694" spans="2:7" x14ac:dyDescent="0.2">
      <c r="B694" t="s">
        <v>821</v>
      </c>
      <c r="C694">
        <v>42.14</v>
      </c>
      <c r="D694" s="83"/>
      <c r="E694" s="90">
        <f t="shared" si="11"/>
        <v>690</v>
      </c>
      <c r="F694" s="91">
        <f>LEFT(tbl_Reservoir[[#This Row],[time]],10)*1</f>
        <v>44905</v>
      </c>
      <c r="G694" s="92">
        <f>tbl_Reservoir[[#This Row],[Surface Water Area (km2)]]</f>
        <v>42.14</v>
      </c>
    </row>
    <row r="695" spans="2:7" x14ac:dyDescent="0.2">
      <c r="B695" t="s">
        <v>822</v>
      </c>
      <c r="C695">
        <v>40.83</v>
      </c>
      <c r="D695" s="83"/>
      <c r="E695" s="90">
        <f t="shared" si="11"/>
        <v>691</v>
      </c>
      <c r="F695" s="91">
        <f>LEFT(tbl_Reservoir[[#This Row],[time]],10)*1</f>
        <v>44910</v>
      </c>
      <c r="G695" s="92">
        <f>tbl_Reservoir[[#This Row],[Surface Water Area (km2)]]</f>
        <v>40.83</v>
      </c>
    </row>
    <row r="696" spans="2:7" x14ac:dyDescent="0.2">
      <c r="B696" t="s">
        <v>823</v>
      </c>
      <c r="C696">
        <v>40.17</v>
      </c>
      <c r="D696" s="83"/>
      <c r="E696" s="90">
        <f t="shared" si="11"/>
        <v>692</v>
      </c>
      <c r="F696" s="91">
        <f>LEFT(tbl_Reservoir[[#This Row],[time]],10)*1</f>
        <v>44915</v>
      </c>
      <c r="G696" s="92">
        <f>tbl_Reservoir[[#This Row],[Surface Water Area (km2)]]</f>
        <v>40.17</v>
      </c>
    </row>
    <row r="697" spans="2:7" x14ac:dyDescent="0.2">
      <c r="B697" t="s">
        <v>824</v>
      </c>
      <c r="C697">
        <v>41.73</v>
      </c>
      <c r="D697" s="83"/>
      <c r="E697" s="90">
        <f t="shared" si="11"/>
        <v>693</v>
      </c>
      <c r="F697" s="91">
        <f>LEFT(tbl_Reservoir[[#This Row],[time]],10)*1</f>
        <v>44920</v>
      </c>
      <c r="G697" s="92">
        <f>tbl_Reservoir[[#This Row],[Surface Water Area (km2)]]</f>
        <v>41.73</v>
      </c>
    </row>
    <row r="698" spans="2:7" x14ac:dyDescent="0.2">
      <c r="B698" t="s">
        <v>825</v>
      </c>
      <c r="C698">
        <v>48.23</v>
      </c>
      <c r="D698" s="83"/>
      <c r="E698" s="90">
        <f t="shared" si="11"/>
        <v>694</v>
      </c>
      <c r="F698" s="91">
        <f>LEFT(tbl_Reservoir[[#This Row],[time]],10)*1</f>
        <v>44925</v>
      </c>
      <c r="G698" s="92">
        <f>tbl_Reservoir[[#This Row],[Surface Water Area (km2)]]</f>
        <v>48.23</v>
      </c>
    </row>
    <row r="699" spans="2:7" x14ac:dyDescent="0.2">
      <c r="B699" t="s">
        <v>826</v>
      </c>
      <c r="C699">
        <v>47.93</v>
      </c>
      <c r="D699" s="83"/>
      <c r="E699" s="90">
        <f t="shared" si="11"/>
        <v>695</v>
      </c>
      <c r="F699" s="91">
        <f>LEFT(tbl_Reservoir[[#This Row],[time]],10)*1</f>
        <v>44930</v>
      </c>
      <c r="G699" s="92">
        <f>tbl_Reservoir[[#This Row],[Surface Water Area (km2)]]</f>
        <v>47.93</v>
      </c>
    </row>
    <row r="700" spans="2:7" x14ac:dyDescent="0.2">
      <c r="B700" t="s">
        <v>827</v>
      </c>
      <c r="C700">
        <v>47.05</v>
      </c>
      <c r="D700" s="83"/>
      <c r="E700" s="90">
        <f t="shared" si="11"/>
        <v>696</v>
      </c>
      <c r="F700" s="91">
        <f>LEFT(tbl_Reservoir[[#This Row],[time]],10)*1</f>
        <v>44935</v>
      </c>
      <c r="G700" s="92">
        <f>tbl_Reservoir[[#This Row],[Surface Water Area (km2)]]</f>
        <v>47.05</v>
      </c>
    </row>
    <row r="701" spans="2:7" x14ac:dyDescent="0.2">
      <c r="B701" t="s">
        <v>828</v>
      </c>
      <c r="C701">
        <v>46.96</v>
      </c>
      <c r="D701" s="83"/>
      <c r="E701" s="90">
        <f t="shared" si="11"/>
        <v>697</v>
      </c>
      <c r="F701" s="91">
        <f>LEFT(tbl_Reservoir[[#This Row],[time]],10)*1</f>
        <v>44940</v>
      </c>
      <c r="G701" s="92">
        <f>tbl_Reservoir[[#This Row],[Surface Water Area (km2)]]</f>
        <v>46.96</v>
      </c>
    </row>
    <row r="702" spans="2:7" x14ac:dyDescent="0.2">
      <c r="B702" t="s">
        <v>829</v>
      </c>
      <c r="C702">
        <v>46.57</v>
      </c>
      <c r="D702" s="83"/>
      <c r="E702" s="90">
        <f t="shared" si="11"/>
        <v>698</v>
      </c>
      <c r="F702" s="91">
        <f>LEFT(tbl_Reservoir[[#This Row],[time]],10)*1</f>
        <v>44945</v>
      </c>
      <c r="G702" s="92">
        <f>tbl_Reservoir[[#This Row],[Surface Water Area (km2)]]</f>
        <v>46.57</v>
      </c>
    </row>
    <row r="703" spans="2:7" x14ac:dyDescent="0.2">
      <c r="B703" t="s">
        <v>830</v>
      </c>
      <c r="C703">
        <v>45.81</v>
      </c>
      <c r="D703" s="83"/>
      <c r="E703" s="90">
        <f t="shared" si="11"/>
        <v>699</v>
      </c>
      <c r="F703" s="91">
        <f>LEFT(tbl_Reservoir[[#This Row],[time]],10)*1</f>
        <v>44950</v>
      </c>
      <c r="G703" s="92">
        <f>tbl_Reservoir[[#This Row],[Surface Water Area (km2)]]</f>
        <v>45.81</v>
      </c>
    </row>
    <row r="704" spans="2:7" x14ac:dyDescent="0.2">
      <c r="B704" t="s">
        <v>831</v>
      </c>
      <c r="C704">
        <v>45.32</v>
      </c>
      <c r="D704" s="83"/>
      <c r="E704" s="90">
        <f t="shared" si="11"/>
        <v>700</v>
      </c>
      <c r="F704" s="91">
        <f>LEFT(tbl_Reservoir[[#This Row],[time]],10)*1</f>
        <v>44955</v>
      </c>
      <c r="G704" s="92">
        <f>tbl_Reservoir[[#This Row],[Surface Water Area (km2)]]</f>
        <v>45.32</v>
      </c>
    </row>
    <row r="705" spans="2:7" x14ac:dyDescent="0.2">
      <c r="B705" t="s">
        <v>832</v>
      </c>
      <c r="C705">
        <v>45.27</v>
      </c>
      <c r="D705" s="83"/>
      <c r="E705" s="90">
        <f t="shared" si="11"/>
        <v>701</v>
      </c>
      <c r="F705" s="91">
        <f>LEFT(tbl_Reservoir[[#This Row],[time]],10)*1</f>
        <v>44960</v>
      </c>
      <c r="G705" s="92">
        <f>tbl_Reservoir[[#This Row],[Surface Water Area (km2)]]</f>
        <v>45.27</v>
      </c>
    </row>
    <row r="706" spans="2:7" x14ac:dyDescent="0.2">
      <c r="B706" t="s">
        <v>833</v>
      </c>
      <c r="C706">
        <v>44.79</v>
      </c>
      <c r="D706" s="83"/>
      <c r="E706" s="90">
        <f t="shared" si="11"/>
        <v>702</v>
      </c>
      <c r="F706" s="91">
        <f>LEFT(tbl_Reservoir[[#This Row],[time]],10)*1</f>
        <v>44965</v>
      </c>
      <c r="G706" s="92">
        <f>tbl_Reservoir[[#This Row],[Surface Water Area (km2)]]</f>
        <v>44.79</v>
      </c>
    </row>
    <row r="707" spans="2:7" x14ac:dyDescent="0.2">
      <c r="B707" t="s">
        <v>834</v>
      </c>
      <c r="C707">
        <v>44.07</v>
      </c>
      <c r="D707" s="83"/>
      <c r="E707" s="90">
        <f t="shared" si="11"/>
        <v>703</v>
      </c>
      <c r="F707" s="91">
        <f>LEFT(tbl_Reservoir[[#This Row],[time]],10)*1</f>
        <v>44970</v>
      </c>
      <c r="G707" s="92">
        <f>tbl_Reservoir[[#This Row],[Surface Water Area (km2)]]</f>
        <v>44.07</v>
      </c>
    </row>
    <row r="708" spans="2:7" x14ac:dyDescent="0.2">
      <c r="B708" t="s">
        <v>835</v>
      </c>
      <c r="C708">
        <v>42.23</v>
      </c>
      <c r="D708" s="83"/>
      <c r="E708" s="90">
        <f t="shared" si="11"/>
        <v>704</v>
      </c>
      <c r="F708" s="91">
        <f>LEFT(tbl_Reservoir[[#This Row],[time]],10)*1</f>
        <v>44975</v>
      </c>
      <c r="G708" s="92">
        <f>tbl_Reservoir[[#This Row],[Surface Water Area (km2)]]</f>
        <v>42.23</v>
      </c>
    </row>
    <row r="709" spans="2:7" x14ac:dyDescent="0.2">
      <c r="B709" t="s">
        <v>836</v>
      </c>
      <c r="C709">
        <v>42.54</v>
      </c>
      <c r="D709" s="83"/>
      <c r="E709" s="90">
        <f t="shared" si="11"/>
        <v>705</v>
      </c>
      <c r="F709" s="91">
        <f>LEFT(tbl_Reservoir[[#This Row],[time]],10)*1</f>
        <v>44980</v>
      </c>
      <c r="G709" s="92">
        <f>tbl_Reservoir[[#This Row],[Surface Water Area (km2)]]</f>
        <v>42.54</v>
      </c>
    </row>
    <row r="710" spans="2:7" x14ac:dyDescent="0.2">
      <c r="B710" t="s">
        <v>837</v>
      </c>
      <c r="C710">
        <v>42.19</v>
      </c>
      <c r="D710" s="83"/>
      <c r="E710" s="90">
        <f t="shared" ref="E710:E773" si="12">ROW()-4</f>
        <v>706</v>
      </c>
      <c r="F710" s="91">
        <f>LEFT(tbl_Reservoir[[#This Row],[time]],10)*1</f>
        <v>44985</v>
      </c>
      <c r="G710" s="92">
        <f>tbl_Reservoir[[#This Row],[Surface Water Area (km2)]]</f>
        <v>42.19</v>
      </c>
    </row>
    <row r="711" spans="2:7" x14ac:dyDescent="0.2">
      <c r="B711" t="s">
        <v>838</v>
      </c>
      <c r="C711">
        <v>40.36</v>
      </c>
      <c r="D711" s="83"/>
      <c r="E711" s="90">
        <f t="shared" si="12"/>
        <v>707</v>
      </c>
      <c r="F711" s="91">
        <f>LEFT(tbl_Reservoir[[#This Row],[time]],10)*1</f>
        <v>44990</v>
      </c>
      <c r="G711" s="92">
        <f>tbl_Reservoir[[#This Row],[Surface Water Area (km2)]]</f>
        <v>40.36</v>
      </c>
    </row>
    <row r="712" spans="2:7" x14ac:dyDescent="0.2">
      <c r="B712" t="s">
        <v>839</v>
      </c>
      <c r="C712">
        <v>40.6</v>
      </c>
      <c r="D712" s="83"/>
      <c r="E712" s="90">
        <f t="shared" si="12"/>
        <v>708</v>
      </c>
      <c r="F712" s="91">
        <f>LEFT(tbl_Reservoir[[#This Row],[time]],10)*1</f>
        <v>44990</v>
      </c>
      <c r="G712" s="92">
        <f>tbl_Reservoir[[#This Row],[Surface Water Area (km2)]]</f>
        <v>40.6</v>
      </c>
    </row>
    <row r="713" spans="2:7" x14ac:dyDescent="0.2">
      <c r="B713" t="s">
        <v>840</v>
      </c>
      <c r="C713">
        <v>39.979999999999997</v>
      </c>
      <c r="D713" s="83"/>
      <c r="E713" s="90">
        <f t="shared" si="12"/>
        <v>709</v>
      </c>
      <c r="F713" s="91">
        <f>LEFT(tbl_Reservoir[[#This Row],[time]],10)*1</f>
        <v>44995</v>
      </c>
      <c r="G713" s="92">
        <f>tbl_Reservoir[[#This Row],[Surface Water Area (km2)]]</f>
        <v>39.979999999999997</v>
      </c>
    </row>
    <row r="714" spans="2:7" x14ac:dyDescent="0.2">
      <c r="B714" t="s">
        <v>841</v>
      </c>
      <c r="C714">
        <v>39.380000000000003</v>
      </c>
      <c r="D714" s="83"/>
      <c r="E714" s="90">
        <f t="shared" si="12"/>
        <v>710</v>
      </c>
      <c r="F714" s="91">
        <f>LEFT(tbl_Reservoir[[#This Row],[time]],10)*1</f>
        <v>45000</v>
      </c>
      <c r="G714" s="92">
        <f>tbl_Reservoir[[#This Row],[Surface Water Area (km2)]]</f>
        <v>39.380000000000003</v>
      </c>
    </row>
    <row r="715" spans="2:7" x14ac:dyDescent="0.2">
      <c r="B715" t="s">
        <v>842</v>
      </c>
      <c r="C715">
        <v>39.32</v>
      </c>
      <c r="D715" s="83"/>
      <c r="E715" s="90">
        <f t="shared" si="12"/>
        <v>711</v>
      </c>
      <c r="F715" s="91">
        <f>LEFT(tbl_Reservoir[[#This Row],[time]],10)*1</f>
        <v>45005</v>
      </c>
      <c r="G715" s="92">
        <f>tbl_Reservoir[[#This Row],[Surface Water Area (km2)]]</f>
        <v>39.32</v>
      </c>
    </row>
    <row r="716" spans="2:7" x14ac:dyDescent="0.2">
      <c r="B716" t="s">
        <v>843</v>
      </c>
      <c r="C716">
        <v>39.42</v>
      </c>
      <c r="D716" s="83"/>
      <c r="E716" s="90">
        <f t="shared" si="12"/>
        <v>712</v>
      </c>
      <c r="F716" s="91">
        <f>LEFT(tbl_Reservoir[[#This Row],[time]],10)*1</f>
        <v>45005</v>
      </c>
      <c r="G716" s="92">
        <f>tbl_Reservoir[[#This Row],[Surface Water Area (km2)]]</f>
        <v>39.42</v>
      </c>
    </row>
    <row r="717" spans="2:7" x14ac:dyDescent="0.2">
      <c r="B717" t="s">
        <v>844</v>
      </c>
      <c r="C717">
        <v>46.68</v>
      </c>
      <c r="D717" s="83"/>
      <c r="E717" s="90">
        <f t="shared" si="12"/>
        <v>713</v>
      </c>
      <c r="F717" s="91">
        <f>LEFT(tbl_Reservoir[[#This Row],[time]],10)*1</f>
        <v>45010</v>
      </c>
      <c r="G717" s="92">
        <f>tbl_Reservoir[[#This Row],[Surface Water Area (km2)]]</f>
        <v>46.68</v>
      </c>
    </row>
    <row r="718" spans="2:7" x14ac:dyDescent="0.2">
      <c r="B718" t="s">
        <v>845</v>
      </c>
      <c r="C718">
        <v>46.83</v>
      </c>
      <c r="D718" s="83"/>
      <c r="E718" s="90">
        <f t="shared" si="12"/>
        <v>714</v>
      </c>
      <c r="F718" s="91">
        <f>LEFT(tbl_Reservoir[[#This Row],[time]],10)*1</f>
        <v>45015</v>
      </c>
      <c r="G718" s="92">
        <f>tbl_Reservoir[[#This Row],[Surface Water Area (km2)]]</f>
        <v>46.83</v>
      </c>
    </row>
    <row r="719" spans="2:7" x14ac:dyDescent="0.2">
      <c r="B719" t="s">
        <v>846</v>
      </c>
      <c r="C719">
        <v>47.61</v>
      </c>
      <c r="D719" s="83"/>
      <c r="E719" s="90">
        <f t="shared" si="12"/>
        <v>715</v>
      </c>
      <c r="F719" s="91">
        <f>LEFT(tbl_Reservoir[[#This Row],[time]],10)*1</f>
        <v>45020</v>
      </c>
      <c r="G719" s="92">
        <f>tbl_Reservoir[[#This Row],[Surface Water Area (km2)]]</f>
        <v>47.61</v>
      </c>
    </row>
    <row r="720" spans="2:7" x14ac:dyDescent="0.2">
      <c r="B720" t="s">
        <v>847</v>
      </c>
      <c r="C720">
        <v>47.98</v>
      </c>
      <c r="D720" s="83"/>
      <c r="E720" s="90">
        <f t="shared" si="12"/>
        <v>716</v>
      </c>
      <c r="F720" s="91">
        <f>LEFT(tbl_Reservoir[[#This Row],[time]],10)*1</f>
        <v>45025</v>
      </c>
      <c r="G720" s="92">
        <f>tbl_Reservoir[[#This Row],[Surface Water Area (km2)]]</f>
        <v>47.98</v>
      </c>
    </row>
    <row r="721" spans="2:7" x14ac:dyDescent="0.2">
      <c r="B721" t="s">
        <v>848</v>
      </c>
      <c r="C721">
        <v>46.95</v>
      </c>
      <c r="D721" s="83"/>
      <c r="E721" s="90">
        <f t="shared" si="12"/>
        <v>717</v>
      </c>
      <c r="F721" s="91">
        <f>LEFT(tbl_Reservoir[[#This Row],[time]],10)*1</f>
        <v>45030</v>
      </c>
      <c r="G721" s="92">
        <f>tbl_Reservoir[[#This Row],[Surface Water Area (km2)]]</f>
        <v>46.95</v>
      </c>
    </row>
    <row r="722" spans="2:7" x14ac:dyDescent="0.2">
      <c r="B722" t="s">
        <v>849</v>
      </c>
      <c r="C722">
        <v>45.89</v>
      </c>
      <c r="D722" s="83"/>
      <c r="E722" s="90">
        <f t="shared" si="12"/>
        <v>718</v>
      </c>
      <c r="F722" s="91">
        <f>LEFT(tbl_Reservoir[[#This Row],[time]],10)*1</f>
        <v>45035</v>
      </c>
      <c r="G722" s="92">
        <f>tbl_Reservoir[[#This Row],[Surface Water Area (km2)]]</f>
        <v>45.89</v>
      </c>
    </row>
    <row r="723" spans="2:7" x14ac:dyDescent="0.2">
      <c r="B723" t="s">
        <v>850</v>
      </c>
      <c r="C723">
        <v>61.74</v>
      </c>
      <c r="D723" s="83"/>
      <c r="E723" s="90">
        <f t="shared" si="12"/>
        <v>719</v>
      </c>
      <c r="F723" s="91">
        <f>LEFT(tbl_Reservoir[[#This Row],[time]],10)*1</f>
        <v>45040</v>
      </c>
      <c r="G723" s="92">
        <f>tbl_Reservoir[[#This Row],[Surface Water Area (km2)]]</f>
        <v>61.74</v>
      </c>
    </row>
    <row r="724" spans="2:7" x14ac:dyDescent="0.2">
      <c r="B724" t="s">
        <v>851</v>
      </c>
      <c r="C724">
        <v>55.83</v>
      </c>
      <c r="D724" s="83"/>
      <c r="E724" s="90">
        <f t="shared" si="12"/>
        <v>720</v>
      </c>
      <c r="F724" s="91">
        <f>LEFT(tbl_Reservoir[[#This Row],[time]],10)*1</f>
        <v>45050</v>
      </c>
      <c r="G724" s="92">
        <f>tbl_Reservoir[[#This Row],[Surface Water Area (km2)]]</f>
        <v>55.83</v>
      </c>
    </row>
    <row r="725" spans="2:7" x14ac:dyDescent="0.2">
      <c r="B725" t="s">
        <v>852</v>
      </c>
      <c r="C725">
        <v>53.67</v>
      </c>
      <c r="D725" s="83"/>
      <c r="E725" s="90">
        <f t="shared" si="12"/>
        <v>721</v>
      </c>
      <c r="F725" s="91">
        <f>LEFT(tbl_Reservoir[[#This Row],[time]],10)*1</f>
        <v>45055</v>
      </c>
      <c r="G725" s="92">
        <f>tbl_Reservoir[[#This Row],[Surface Water Area (km2)]]</f>
        <v>53.67</v>
      </c>
    </row>
    <row r="726" spans="2:7" x14ac:dyDescent="0.2">
      <c r="B726" t="s">
        <v>853</v>
      </c>
      <c r="C726">
        <v>53.66</v>
      </c>
      <c r="D726" s="83"/>
      <c r="E726" s="90">
        <f t="shared" si="12"/>
        <v>722</v>
      </c>
      <c r="F726" s="91">
        <f>LEFT(tbl_Reservoir[[#This Row],[time]],10)*1</f>
        <v>45060</v>
      </c>
      <c r="G726" s="92">
        <f>tbl_Reservoir[[#This Row],[Surface Water Area (km2)]]</f>
        <v>53.66</v>
      </c>
    </row>
    <row r="727" spans="2:7" x14ac:dyDescent="0.2">
      <c r="B727" t="s">
        <v>854</v>
      </c>
      <c r="C727">
        <v>54.02</v>
      </c>
      <c r="D727" s="83"/>
      <c r="E727" s="90">
        <f t="shared" si="12"/>
        <v>723</v>
      </c>
      <c r="F727" s="91">
        <f>LEFT(tbl_Reservoir[[#This Row],[time]],10)*1</f>
        <v>45070</v>
      </c>
      <c r="G727" s="92">
        <f>tbl_Reservoir[[#This Row],[Surface Water Area (km2)]]</f>
        <v>54.02</v>
      </c>
    </row>
    <row r="728" spans="2:7" x14ac:dyDescent="0.2">
      <c r="B728" t="s">
        <v>855</v>
      </c>
      <c r="C728">
        <v>52.17</v>
      </c>
      <c r="D728" s="83"/>
      <c r="E728" s="90">
        <f t="shared" si="12"/>
        <v>724</v>
      </c>
      <c r="F728" s="91">
        <f>LEFT(tbl_Reservoir[[#This Row],[time]],10)*1</f>
        <v>45080</v>
      </c>
      <c r="G728" s="92">
        <f>tbl_Reservoir[[#This Row],[Surface Water Area (km2)]]</f>
        <v>52.17</v>
      </c>
    </row>
    <row r="729" spans="2:7" x14ac:dyDescent="0.2">
      <c r="B729" t="s">
        <v>856</v>
      </c>
      <c r="C729">
        <v>53.37</v>
      </c>
      <c r="D729" s="83"/>
      <c r="E729" s="90">
        <f t="shared" si="12"/>
        <v>725</v>
      </c>
      <c r="F729" s="91">
        <f>LEFT(tbl_Reservoir[[#This Row],[time]],10)*1</f>
        <v>45085</v>
      </c>
      <c r="G729" s="92">
        <f>tbl_Reservoir[[#This Row],[Surface Water Area (km2)]]</f>
        <v>53.37</v>
      </c>
    </row>
    <row r="730" spans="2:7" x14ac:dyDescent="0.2">
      <c r="B730" t="s">
        <v>857</v>
      </c>
      <c r="C730">
        <v>54.12</v>
      </c>
      <c r="D730" s="83"/>
      <c r="E730" s="90">
        <f t="shared" si="12"/>
        <v>726</v>
      </c>
      <c r="F730" s="91">
        <f>LEFT(tbl_Reservoir[[#This Row],[time]],10)*1</f>
        <v>45090</v>
      </c>
      <c r="G730" s="92">
        <f>tbl_Reservoir[[#This Row],[Surface Water Area (km2)]]</f>
        <v>54.12</v>
      </c>
    </row>
    <row r="731" spans="2:7" x14ac:dyDescent="0.2">
      <c r="B731" t="s">
        <v>858</v>
      </c>
      <c r="C731">
        <v>53.71</v>
      </c>
      <c r="D731" s="83"/>
      <c r="E731" s="90">
        <f t="shared" si="12"/>
        <v>727</v>
      </c>
      <c r="F731" s="91">
        <f>LEFT(tbl_Reservoir[[#This Row],[time]],10)*1</f>
        <v>45095</v>
      </c>
      <c r="G731" s="92">
        <f>tbl_Reservoir[[#This Row],[Surface Water Area (km2)]]</f>
        <v>53.71</v>
      </c>
    </row>
    <row r="732" spans="2:7" x14ac:dyDescent="0.2">
      <c r="B732" t="s">
        <v>859</v>
      </c>
      <c r="C732">
        <v>53.51</v>
      </c>
      <c r="D732" s="83"/>
      <c r="E732" s="90">
        <f t="shared" si="12"/>
        <v>728</v>
      </c>
      <c r="F732" s="91">
        <f>LEFT(tbl_Reservoir[[#This Row],[time]],10)*1</f>
        <v>45100</v>
      </c>
      <c r="G732" s="92">
        <f>tbl_Reservoir[[#This Row],[Surface Water Area (km2)]]</f>
        <v>53.51</v>
      </c>
    </row>
    <row r="733" spans="2:7" x14ac:dyDescent="0.2">
      <c r="B733" t="s">
        <v>860</v>
      </c>
      <c r="C733">
        <v>53.26</v>
      </c>
      <c r="D733" s="83"/>
      <c r="E733" s="90">
        <f t="shared" si="12"/>
        <v>729</v>
      </c>
      <c r="F733" s="91">
        <f>LEFT(tbl_Reservoir[[#This Row],[time]],10)*1</f>
        <v>45105</v>
      </c>
      <c r="G733" s="92">
        <f>tbl_Reservoir[[#This Row],[Surface Water Area (km2)]]</f>
        <v>53.26</v>
      </c>
    </row>
    <row r="734" spans="2:7" x14ac:dyDescent="0.2">
      <c r="B734" t="s">
        <v>861</v>
      </c>
      <c r="C734">
        <v>52.23</v>
      </c>
      <c r="D734" s="83"/>
      <c r="E734" s="90">
        <f t="shared" si="12"/>
        <v>730</v>
      </c>
      <c r="F734" s="91">
        <f>LEFT(tbl_Reservoir[[#This Row],[time]],10)*1</f>
        <v>45110</v>
      </c>
      <c r="G734" s="92">
        <f>tbl_Reservoir[[#This Row],[Surface Water Area (km2)]]</f>
        <v>52.23</v>
      </c>
    </row>
    <row r="735" spans="2:7" x14ac:dyDescent="0.2">
      <c r="B735" t="s">
        <v>862</v>
      </c>
      <c r="C735">
        <v>51.89</v>
      </c>
      <c r="D735" s="83"/>
      <c r="E735" s="90">
        <f t="shared" si="12"/>
        <v>731</v>
      </c>
      <c r="F735" s="91">
        <f>LEFT(tbl_Reservoir[[#This Row],[time]],10)*1</f>
        <v>45115</v>
      </c>
      <c r="G735" s="92">
        <f>tbl_Reservoir[[#This Row],[Surface Water Area (km2)]]</f>
        <v>51.89</v>
      </c>
    </row>
    <row r="736" spans="2:7" x14ac:dyDescent="0.2">
      <c r="B736" t="s">
        <v>863</v>
      </c>
      <c r="C736">
        <v>49.83</v>
      </c>
      <c r="D736" s="83"/>
      <c r="E736" s="90">
        <f t="shared" si="12"/>
        <v>732</v>
      </c>
      <c r="F736" s="91">
        <f>LEFT(tbl_Reservoir[[#This Row],[time]],10)*1</f>
        <v>45120</v>
      </c>
      <c r="G736" s="92">
        <f>tbl_Reservoir[[#This Row],[Surface Water Area (km2)]]</f>
        <v>49.83</v>
      </c>
    </row>
    <row r="737" spans="2:7" x14ac:dyDescent="0.2">
      <c r="B737" t="s">
        <v>864</v>
      </c>
      <c r="C737">
        <v>49.07</v>
      </c>
      <c r="D737" s="83"/>
      <c r="E737" s="90">
        <f t="shared" si="12"/>
        <v>733</v>
      </c>
      <c r="F737" s="91">
        <f>LEFT(tbl_Reservoir[[#This Row],[time]],10)*1</f>
        <v>45125</v>
      </c>
      <c r="G737" s="92">
        <f>tbl_Reservoir[[#This Row],[Surface Water Area (km2)]]</f>
        <v>49.07</v>
      </c>
    </row>
    <row r="738" spans="2:7" x14ac:dyDescent="0.2">
      <c r="B738" t="s">
        <v>865</v>
      </c>
      <c r="C738">
        <v>54.39</v>
      </c>
      <c r="D738" s="83"/>
      <c r="E738" s="90">
        <f t="shared" si="12"/>
        <v>734</v>
      </c>
      <c r="F738" s="91">
        <f>LEFT(tbl_Reservoir[[#This Row],[time]],10)*1</f>
        <v>45150</v>
      </c>
      <c r="G738" s="92">
        <f>tbl_Reservoir[[#This Row],[Surface Water Area (km2)]]</f>
        <v>54.39</v>
      </c>
    </row>
    <row r="739" spans="2:7" x14ac:dyDescent="0.2">
      <c r="B739" t="s">
        <v>866</v>
      </c>
      <c r="C739">
        <v>54.39</v>
      </c>
      <c r="D739" s="83"/>
      <c r="E739" s="90">
        <f t="shared" si="12"/>
        <v>735</v>
      </c>
      <c r="F739" s="91">
        <f>LEFT(tbl_Reservoir[[#This Row],[time]],10)*1</f>
        <v>45155</v>
      </c>
      <c r="G739" s="92">
        <f>tbl_Reservoir[[#This Row],[Surface Water Area (km2)]]</f>
        <v>54.39</v>
      </c>
    </row>
    <row r="740" spans="2:7" x14ac:dyDescent="0.2">
      <c r="B740" t="s">
        <v>867</v>
      </c>
      <c r="C740">
        <v>53.08</v>
      </c>
      <c r="D740" s="83"/>
      <c r="E740" s="90">
        <f t="shared" si="12"/>
        <v>736</v>
      </c>
      <c r="F740" s="91">
        <f>LEFT(tbl_Reservoir[[#This Row],[time]],10)*1</f>
        <v>45160</v>
      </c>
      <c r="G740" s="92">
        <f>tbl_Reservoir[[#This Row],[Surface Water Area (km2)]]</f>
        <v>53.08</v>
      </c>
    </row>
    <row r="741" spans="2:7" x14ac:dyDescent="0.2">
      <c r="B741" t="s">
        <v>868</v>
      </c>
      <c r="C741">
        <v>52.7</v>
      </c>
      <c r="D741" s="83"/>
      <c r="E741" s="90">
        <f t="shared" si="12"/>
        <v>737</v>
      </c>
      <c r="F741" s="91">
        <f>LEFT(tbl_Reservoir[[#This Row],[time]],10)*1</f>
        <v>45165</v>
      </c>
      <c r="G741" s="92">
        <f>tbl_Reservoir[[#This Row],[Surface Water Area (km2)]]</f>
        <v>52.7</v>
      </c>
    </row>
    <row r="742" spans="2:7" x14ac:dyDescent="0.2">
      <c r="B742" t="s">
        <v>869</v>
      </c>
      <c r="C742">
        <v>51.98</v>
      </c>
      <c r="D742" s="83"/>
      <c r="E742" s="90">
        <f t="shared" si="12"/>
        <v>738</v>
      </c>
      <c r="F742" s="91">
        <f>LEFT(tbl_Reservoir[[#This Row],[time]],10)*1</f>
        <v>45175</v>
      </c>
      <c r="G742" s="92">
        <f>tbl_Reservoir[[#This Row],[Surface Water Area (km2)]]</f>
        <v>51.98</v>
      </c>
    </row>
    <row r="743" spans="2:7" x14ac:dyDescent="0.2">
      <c r="B743" t="s">
        <v>870</v>
      </c>
      <c r="C743">
        <v>50.38</v>
      </c>
      <c r="D743" s="83"/>
      <c r="E743" s="90">
        <f t="shared" si="12"/>
        <v>739</v>
      </c>
      <c r="F743" s="91">
        <f>LEFT(tbl_Reservoir[[#This Row],[time]],10)*1</f>
        <v>45180</v>
      </c>
      <c r="G743" s="92">
        <f>tbl_Reservoir[[#This Row],[Surface Water Area (km2)]]</f>
        <v>50.38</v>
      </c>
    </row>
    <row r="744" spans="2:7" x14ac:dyDescent="0.2">
      <c r="B744" t="s">
        <v>871</v>
      </c>
      <c r="C744">
        <v>50.58</v>
      </c>
      <c r="D744" s="83"/>
      <c r="E744" s="90">
        <f t="shared" si="12"/>
        <v>740</v>
      </c>
      <c r="F744" s="91">
        <f>LEFT(tbl_Reservoir[[#This Row],[time]],10)*1</f>
        <v>45185</v>
      </c>
      <c r="G744" s="92">
        <f>tbl_Reservoir[[#This Row],[Surface Water Area (km2)]]</f>
        <v>50.58</v>
      </c>
    </row>
    <row r="745" spans="2:7" x14ac:dyDescent="0.2">
      <c r="B745" t="s">
        <v>872</v>
      </c>
      <c r="C745">
        <v>49.11</v>
      </c>
      <c r="D745" s="83"/>
      <c r="E745" s="90">
        <f t="shared" si="12"/>
        <v>741</v>
      </c>
      <c r="F745" s="91">
        <f>LEFT(tbl_Reservoir[[#This Row],[time]],10)*1</f>
        <v>45190</v>
      </c>
      <c r="G745" s="92">
        <f>tbl_Reservoir[[#This Row],[Surface Water Area (km2)]]</f>
        <v>49.11</v>
      </c>
    </row>
    <row r="746" spans="2:7" x14ac:dyDescent="0.2">
      <c r="B746" t="s">
        <v>873</v>
      </c>
      <c r="C746">
        <v>48.61</v>
      </c>
      <c r="D746" s="83"/>
      <c r="E746" s="90">
        <f t="shared" si="12"/>
        <v>742</v>
      </c>
      <c r="F746" s="91">
        <f>LEFT(tbl_Reservoir[[#This Row],[time]],10)*1</f>
        <v>45195</v>
      </c>
      <c r="G746" s="92">
        <f>tbl_Reservoir[[#This Row],[Surface Water Area (km2)]]</f>
        <v>48.61</v>
      </c>
    </row>
    <row r="747" spans="2:7" x14ac:dyDescent="0.2">
      <c r="B747" t="s">
        <v>874</v>
      </c>
      <c r="C747">
        <v>46.83</v>
      </c>
      <c r="D747" s="83"/>
      <c r="E747" s="90">
        <f t="shared" si="12"/>
        <v>743</v>
      </c>
      <c r="F747" s="91">
        <f>LEFT(tbl_Reservoir[[#This Row],[time]],10)*1</f>
        <v>45200</v>
      </c>
      <c r="G747" s="92">
        <f>tbl_Reservoir[[#This Row],[Surface Water Area (km2)]]</f>
        <v>46.83</v>
      </c>
    </row>
    <row r="748" spans="2:7" x14ac:dyDescent="0.2">
      <c r="B748" t="s">
        <v>875</v>
      </c>
      <c r="C748">
        <v>46.19</v>
      </c>
      <c r="D748" s="83"/>
      <c r="E748" s="90">
        <f t="shared" si="12"/>
        <v>744</v>
      </c>
      <c r="F748" s="91">
        <f>LEFT(tbl_Reservoir[[#This Row],[time]],10)*1</f>
        <v>45205</v>
      </c>
      <c r="G748" s="92">
        <f>tbl_Reservoir[[#This Row],[Surface Water Area (km2)]]</f>
        <v>46.19</v>
      </c>
    </row>
    <row r="749" spans="2:7" x14ac:dyDescent="0.2">
      <c r="B749" t="s">
        <v>876</v>
      </c>
      <c r="C749">
        <v>44.57</v>
      </c>
      <c r="D749" s="83"/>
      <c r="E749" s="90">
        <f t="shared" si="12"/>
        <v>745</v>
      </c>
      <c r="F749" s="91">
        <f>LEFT(tbl_Reservoir[[#This Row],[time]],10)*1</f>
        <v>45210</v>
      </c>
      <c r="G749" s="92">
        <f>tbl_Reservoir[[#This Row],[Surface Water Area (km2)]]</f>
        <v>44.57</v>
      </c>
    </row>
    <row r="750" spans="2:7" x14ac:dyDescent="0.2">
      <c r="B750" t="s">
        <v>877</v>
      </c>
      <c r="C750">
        <v>44.23</v>
      </c>
      <c r="D750" s="83"/>
      <c r="E750" s="90">
        <f t="shared" si="12"/>
        <v>746</v>
      </c>
      <c r="F750" s="91">
        <f>LEFT(tbl_Reservoir[[#This Row],[time]],10)*1</f>
        <v>45215</v>
      </c>
      <c r="G750" s="92">
        <f>tbl_Reservoir[[#This Row],[Surface Water Area (km2)]]</f>
        <v>44.23</v>
      </c>
    </row>
    <row r="751" spans="2:7" x14ac:dyDescent="0.2">
      <c r="B751" t="s">
        <v>878</v>
      </c>
      <c r="C751">
        <v>45.94</v>
      </c>
      <c r="D751" s="83"/>
      <c r="E751" s="90">
        <f t="shared" si="12"/>
        <v>747</v>
      </c>
      <c r="F751" s="91">
        <f>LEFT(tbl_Reservoir[[#This Row],[time]],10)*1</f>
        <v>45220</v>
      </c>
      <c r="G751" s="92">
        <f>tbl_Reservoir[[#This Row],[Surface Water Area (km2)]]</f>
        <v>45.94</v>
      </c>
    </row>
    <row r="752" spans="2:7" x14ac:dyDescent="0.2">
      <c r="B752" t="s">
        <v>879</v>
      </c>
      <c r="C752">
        <v>47.35</v>
      </c>
      <c r="D752" s="83"/>
      <c r="E752" s="90">
        <f t="shared" si="12"/>
        <v>748</v>
      </c>
      <c r="F752" s="91">
        <f>LEFT(tbl_Reservoir[[#This Row],[time]],10)*1</f>
        <v>45225</v>
      </c>
      <c r="G752" s="92">
        <f>tbl_Reservoir[[#This Row],[Surface Water Area (km2)]]</f>
        <v>47.35</v>
      </c>
    </row>
    <row r="753" spans="2:7" x14ac:dyDescent="0.2">
      <c r="B753" t="s">
        <v>880</v>
      </c>
      <c r="C753">
        <v>46.75</v>
      </c>
      <c r="D753" s="83"/>
      <c r="E753" s="90">
        <f t="shared" si="12"/>
        <v>749</v>
      </c>
      <c r="F753" s="91">
        <f>LEFT(tbl_Reservoir[[#This Row],[time]],10)*1</f>
        <v>45230</v>
      </c>
      <c r="G753" s="92">
        <f>tbl_Reservoir[[#This Row],[Surface Water Area (km2)]]</f>
        <v>46.75</v>
      </c>
    </row>
    <row r="754" spans="2:7" x14ac:dyDescent="0.2">
      <c r="B754" t="s">
        <v>881</v>
      </c>
      <c r="C754">
        <v>46.62</v>
      </c>
      <c r="D754" s="83"/>
      <c r="E754" s="90">
        <f t="shared" si="12"/>
        <v>750</v>
      </c>
      <c r="F754" s="91">
        <f>LEFT(tbl_Reservoir[[#This Row],[time]],10)*1</f>
        <v>45235</v>
      </c>
      <c r="G754" s="92">
        <f>tbl_Reservoir[[#This Row],[Surface Water Area (km2)]]</f>
        <v>46.62</v>
      </c>
    </row>
    <row r="755" spans="2:7" x14ac:dyDescent="0.2">
      <c r="B755" t="s">
        <v>882</v>
      </c>
      <c r="C755">
        <v>44.09</v>
      </c>
      <c r="D755" s="83"/>
      <c r="E755" s="90">
        <f t="shared" si="12"/>
        <v>751</v>
      </c>
      <c r="F755" s="91">
        <f>LEFT(tbl_Reservoir[[#This Row],[time]],10)*1</f>
        <v>45240</v>
      </c>
      <c r="G755" s="92">
        <f>tbl_Reservoir[[#This Row],[Surface Water Area (km2)]]</f>
        <v>44.09</v>
      </c>
    </row>
    <row r="756" spans="2:7" x14ac:dyDescent="0.2">
      <c r="B756" t="s">
        <v>883</v>
      </c>
      <c r="C756">
        <v>43.53</v>
      </c>
      <c r="D756" s="83"/>
      <c r="E756" s="90">
        <f t="shared" si="12"/>
        <v>752</v>
      </c>
      <c r="F756" s="91">
        <f>LEFT(tbl_Reservoir[[#This Row],[time]],10)*1</f>
        <v>45245</v>
      </c>
      <c r="G756" s="92">
        <f>tbl_Reservoir[[#This Row],[Surface Water Area (km2)]]</f>
        <v>43.53</v>
      </c>
    </row>
    <row r="757" spans="2:7" x14ac:dyDescent="0.2">
      <c r="B757" t="s">
        <v>884</v>
      </c>
      <c r="C757">
        <v>43.07</v>
      </c>
      <c r="D757" s="83"/>
      <c r="E757" s="90">
        <f t="shared" si="12"/>
        <v>753</v>
      </c>
      <c r="F757" s="91">
        <f>LEFT(tbl_Reservoir[[#This Row],[time]],10)*1</f>
        <v>45250</v>
      </c>
      <c r="G757" s="92">
        <f>tbl_Reservoir[[#This Row],[Surface Water Area (km2)]]</f>
        <v>43.07</v>
      </c>
    </row>
    <row r="758" spans="2:7" x14ac:dyDescent="0.2">
      <c r="B758" t="s">
        <v>885</v>
      </c>
      <c r="C758">
        <v>42.79</v>
      </c>
      <c r="D758" s="83"/>
      <c r="E758" s="90">
        <f t="shared" si="12"/>
        <v>754</v>
      </c>
      <c r="F758" s="91">
        <f>LEFT(tbl_Reservoir[[#This Row],[time]],10)*1</f>
        <v>45260</v>
      </c>
      <c r="G758" s="92">
        <f>tbl_Reservoir[[#This Row],[Surface Water Area (km2)]]</f>
        <v>42.79</v>
      </c>
    </row>
    <row r="759" spans="2:7" x14ac:dyDescent="0.2">
      <c r="B759" t="s">
        <v>886</v>
      </c>
      <c r="C759">
        <v>41.57</v>
      </c>
      <c r="D759" s="83"/>
      <c r="E759" s="90">
        <f t="shared" si="12"/>
        <v>755</v>
      </c>
      <c r="F759" s="91">
        <f>LEFT(tbl_Reservoir[[#This Row],[time]],10)*1</f>
        <v>45270</v>
      </c>
      <c r="G759" s="92">
        <f>tbl_Reservoir[[#This Row],[Surface Water Area (km2)]]</f>
        <v>41.57</v>
      </c>
    </row>
    <row r="760" spans="2:7" x14ac:dyDescent="0.2">
      <c r="B760" t="s">
        <v>887</v>
      </c>
      <c r="C760">
        <v>42.94</v>
      </c>
      <c r="D760" s="83"/>
      <c r="E760" s="90">
        <f t="shared" si="12"/>
        <v>756</v>
      </c>
      <c r="F760" s="91">
        <f>LEFT(tbl_Reservoir[[#This Row],[time]],10)*1</f>
        <v>45275</v>
      </c>
      <c r="G760" s="92">
        <f>tbl_Reservoir[[#This Row],[Surface Water Area (km2)]]</f>
        <v>42.94</v>
      </c>
    </row>
    <row r="761" spans="2:7" x14ac:dyDescent="0.2">
      <c r="B761" t="s">
        <v>888</v>
      </c>
      <c r="C761">
        <v>40.229999999999997</v>
      </c>
      <c r="D761" s="83"/>
      <c r="E761" s="90">
        <f t="shared" si="12"/>
        <v>757</v>
      </c>
      <c r="F761" s="91">
        <f>LEFT(tbl_Reservoir[[#This Row],[time]],10)*1</f>
        <v>45280</v>
      </c>
      <c r="G761" s="92">
        <f>tbl_Reservoir[[#This Row],[Surface Water Area (km2)]]</f>
        <v>40.229999999999997</v>
      </c>
    </row>
    <row r="762" spans="2:7" x14ac:dyDescent="0.2">
      <c r="B762" t="s">
        <v>889</v>
      </c>
      <c r="C762">
        <v>39.69</v>
      </c>
      <c r="D762" s="83"/>
      <c r="E762" s="90">
        <f t="shared" si="12"/>
        <v>758</v>
      </c>
      <c r="F762" s="91">
        <f>LEFT(tbl_Reservoir[[#This Row],[time]],10)*1</f>
        <v>45285</v>
      </c>
      <c r="G762" s="92">
        <f>tbl_Reservoir[[#This Row],[Surface Water Area (km2)]]</f>
        <v>39.69</v>
      </c>
    </row>
    <row r="763" spans="2:7" x14ac:dyDescent="0.2">
      <c r="B763" t="s">
        <v>890</v>
      </c>
      <c r="C763">
        <v>39.4</v>
      </c>
      <c r="D763" s="83"/>
      <c r="E763" s="90">
        <f t="shared" si="12"/>
        <v>759</v>
      </c>
      <c r="F763" s="91">
        <f>LEFT(tbl_Reservoir[[#This Row],[time]],10)*1</f>
        <v>45290</v>
      </c>
      <c r="G763" s="92">
        <f>tbl_Reservoir[[#This Row],[Surface Water Area (km2)]]</f>
        <v>39.4</v>
      </c>
    </row>
    <row r="764" spans="2:7" x14ac:dyDescent="0.2">
      <c r="B764" t="s">
        <v>891</v>
      </c>
      <c r="C764">
        <v>38.770000000000003</v>
      </c>
      <c r="D764" s="83"/>
      <c r="E764" s="90">
        <f t="shared" si="12"/>
        <v>760</v>
      </c>
      <c r="F764" s="91">
        <f>LEFT(tbl_Reservoir[[#This Row],[time]],10)*1</f>
        <v>45295</v>
      </c>
      <c r="G764" s="92">
        <f>tbl_Reservoir[[#This Row],[Surface Water Area (km2)]]</f>
        <v>38.770000000000003</v>
      </c>
    </row>
    <row r="765" spans="2:7" x14ac:dyDescent="0.2">
      <c r="B765" t="s">
        <v>892</v>
      </c>
      <c r="C765">
        <v>38.32</v>
      </c>
      <c r="D765" s="83"/>
      <c r="E765" s="90">
        <f t="shared" si="12"/>
        <v>761</v>
      </c>
      <c r="F765" s="91">
        <f>LEFT(tbl_Reservoir[[#This Row],[time]],10)*1</f>
        <v>45300</v>
      </c>
      <c r="G765" s="92">
        <f>tbl_Reservoir[[#This Row],[Surface Water Area (km2)]]</f>
        <v>38.32</v>
      </c>
    </row>
    <row r="766" spans="2:7" x14ac:dyDescent="0.2">
      <c r="B766" t="s">
        <v>893</v>
      </c>
      <c r="C766">
        <v>38.630000000000003</v>
      </c>
      <c r="D766" s="83"/>
      <c r="E766" s="90">
        <f t="shared" si="12"/>
        <v>762</v>
      </c>
      <c r="F766" s="91">
        <f>LEFT(tbl_Reservoir[[#This Row],[time]],10)*1</f>
        <v>45305</v>
      </c>
      <c r="G766" s="92">
        <f>tbl_Reservoir[[#This Row],[Surface Water Area (km2)]]</f>
        <v>38.630000000000003</v>
      </c>
    </row>
    <row r="767" spans="2:7" x14ac:dyDescent="0.2">
      <c r="B767" t="s">
        <v>894</v>
      </c>
      <c r="C767">
        <v>39.19</v>
      </c>
      <c r="D767" s="83"/>
      <c r="E767" s="90">
        <f t="shared" si="12"/>
        <v>763</v>
      </c>
      <c r="F767" s="91">
        <f>LEFT(tbl_Reservoir[[#This Row],[time]],10)*1</f>
        <v>45310</v>
      </c>
      <c r="G767" s="92">
        <f>tbl_Reservoir[[#This Row],[Surface Water Area (km2)]]</f>
        <v>39.19</v>
      </c>
    </row>
    <row r="768" spans="2:7" x14ac:dyDescent="0.2">
      <c r="B768" t="s">
        <v>895</v>
      </c>
      <c r="C768">
        <v>37.14</v>
      </c>
      <c r="D768" s="83"/>
      <c r="E768" s="90">
        <f t="shared" si="12"/>
        <v>764</v>
      </c>
      <c r="F768" s="91">
        <f>LEFT(tbl_Reservoir[[#This Row],[time]],10)*1</f>
        <v>45315</v>
      </c>
      <c r="G768" s="92">
        <f>tbl_Reservoir[[#This Row],[Surface Water Area (km2)]]</f>
        <v>37.14</v>
      </c>
    </row>
    <row r="769" spans="2:7" x14ac:dyDescent="0.2">
      <c r="B769" t="s">
        <v>896</v>
      </c>
      <c r="C769">
        <v>37.130000000000003</v>
      </c>
      <c r="D769" s="83"/>
      <c r="E769" s="90">
        <f t="shared" si="12"/>
        <v>765</v>
      </c>
      <c r="F769" s="91">
        <f>LEFT(tbl_Reservoir[[#This Row],[time]],10)*1</f>
        <v>45320</v>
      </c>
      <c r="G769" s="92">
        <f>tbl_Reservoir[[#This Row],[Surface Water Area (km2)]]</f>
        <v>37.130000000000003</v>
      </c>
    </row>
    <row r="770" spans="2:7" x14ac:dyDescent="0.2">
      <c r="B770" t="s">
        <v>897</v>
      </c>
      <c r="C770">
        <v>43.52</v>
      </c>
      <c r="D770" s="83"/>
      <c r="E770" s="90">
        <f t="shared" si="12"/>
        <v>766</v>
      </c>
      <c r="F770" s="91">
        <f>LEFT(tbl_Reservoir[[#This Row],[time]],10)*1</f>
        <v>45325</v>
      </c>
      <c r="G770" s="92">
        <f>tbl_Reservoir[[#This Row],[Surface Water Area (km2)]]</f>
        <v>43.52</v>
      </c>
    </row>
    <row r="771" spans="2:7" x14ac:dyDescent="0.2">
      <c r="B771" t="s">
        <v>898</v>
      </c>
      <c r="C771">
        <v>49.42</v>
      </c>
      <c r="D771" s="83"/>
      <c r="E771" s="90">
        <f t="shared" si="12"/>
        <v>767</v>
      </c>
      <c r="F771" s="91">
        <f>LEFT(tbl_Reservoir[[#This Row],[time]],10)*1</f>
        <v>45330</v>
      </c>
      <c r="G771" s="92">
        <f>tbl_Reservoir[[#This Row],[Surface Water Area (km2)]]</f>
        <v>49.42</v>
      </c>
    </row>
    <row r="772" spans="2:7" x14ac:dyDescent="0.2">
      <c r="B772" t="s">
        <v>899</v>
      </c>
      <c r="C772">
        <v>50.7</v>
      </c>
      <c r="D772" s="83"/>
      <c r="E772" s="90">
        <f t="shared" si="12"/>
        <v>768</v>
      </c>
      <c r="F772" s="91">
        <f>LEFT(tbl_Reservoir[[#This Row],[time]],10)*1</f>
        <v>45335</v>
      </c>
      <c r="G772" s="92">
        <f>tbl_Reservoir[[#This Row],[Surface Water Area (km2)]]</f>
        <v>50.7</v>
      </c>
    </row>
    <row r="773" spans="2:7" x14ac:dyDescent="0.2">
      <c r="B773" t="s">
        <v>900</v>
      </c>
      <c r="C773">
        <v>53.78</v>
      </c>
      <c r="D773" s="83"/>
      <c r="E773" s="90">
        <f t="shared" si="12"/>
        <v>769</v>
      </c>
      <c r="F773" s="91">
        <f>LEFT(tbl_Reservoir[[#This Row],[time]],10)*1</f>
        <v>45340</v>
      </c>
      <c r="G773" s="92">
        <f>tbl_Reservoir[[#This Row],[Surface Water Area (km2)]]</f>
        <v>53.78</v>
      </c>
    </row>
    <row r="774" spans="2:7" x14ac:dyDescent="0.2">
      <c r="B774" t="s">
        <v>901</v>
      </c>
      <c r="C774">
        <v>52.41</v>
      </c>
      <c r="D774" s="83"/>
      <c r="E774" s="90">
        <f t="shared" ref="E774:E837" si="13">ROW()-4</f>
        <v>770</v>
      </c>
      <c r="F774" s="91">
        <f>LEFT(tbl_Reservoir[[#This Row],[time]],10)*1</f>
        <v>45345</v>
      </c>
      <c r="G774" s="92">
        <f>tbl_Reservoir[[#This Row],[Surface Water Area (km2)]]</f>
        <v>52.41</v>
      </c>
    </row>
    <row r="775" spans="2:7" x14ac:dyDescent="0.2">
      <c r="B775" t="s">
        <v>902</v>
      </c>
      <c r="C775">
        <v>55.86</v>
      </c>
      <c r="D775" s="83"/>
      <c r="E775" s="90">
        <f t="shared" si="13"/>
        <v>771</v>
      </c>
      <c r="F775" s="91">
        <f>LEFT(tbl_Reservoir[[#This Row],[time]],10)*1</f>
        <v>45355</v>
      </c>
      <c r="G775" s="92">
        <f>tbl_Reservoir[[#This Row],[Surface Water Area (km2)]]</f>
        <v>55.86</v>
      </c>
    </row>
    <row r="776" spans="2:7" x14ac:dyDescent="0.2">
      <c r="B776" t="s">
        <v>903</v>
      </c>
      <c r="C776">
        <v>49.57</v>
      </c>
      <c r="D776" s="83"/>
      <c r="E776" s="90">
        <f t="shared" si="13"/>
        <v>772</v>
      </c>
      <c r="F776" s="91">
        <f>LEFT(tbl_Reservoir[[#This Row],[time]],10)*1</f>
        <v>45360</v>
      </c>
      <c r="G776" s="92">
        <f>tbl_Reservoir[[#This Row],[Surface Water Area (km2)]]</f>
        <v>49.57</v>
      </c>
    </row>
    <row r="777" spans="2:7" x14ac:dyDescent="0.2">
      <c r="B777" t="s">
        <v>904</v>
      </c>
      <c r="C777">
        <v>53.02</v>
      </c>
      <c r="D777" s="83"/>
      <c r="E777" s="90">
        <f t="shared" si="13"/>
        <v>773</v>
      </c>
      <c r="F777" s="91">
        <f>LEFT(tbl_Reservoir[[#This Row],[time]],10)*1</f>
        <v>45365</v>
      </c>
      <c r="G777" s="92">
        <f>tbl_Reservoir[[#This Row],[Surface Water Area (km2)]]</f>
        <v>53.02</v>
      </c>
    </row>
    <row r="778" spans="2:7" x14ac:dyDescent="0.2">
      <c r="B778" t="s">
        <v>905</v>
      </c>
      <c r="C778">
        <v>52.68</v>
      </c>
      <c r="D778" s="83"/>
      <c r="E778" s="90">
        <f t="shared" si="13"/>
        <v>774</v>
      </c>
      <c r="F778" s="91">
        <f>LEFT(tbl_Reservoir[[#This Row],[time]],10)*1</f>
        <v>45370</v>
      </c>
      <c r="G778" s="92">
        <f>tbl_Reservoir[[#This Row],[Surface Water Area (km2)]]</f>
        <v>52.68</v>
      </c>
    </row>
    <row r="779" spans="2:7" x14ac:dyDescent="0.2">
      <c r="B779" t="s">
        <v>906</v>
      </c>
      <c r="C779">
        <v>55.06</v>
      </c>
      <c r="D779" s="83"/>
      <c r="E779" s="90">
        <f t="shared" si="13"/>
        <v>775</v>
      </c>
      <c r="F779" s="91">
        <f>LEFT(tbl_Reservoir[[#This Row],[time]],10)*1</f>
        <v>45375</v>
      </c>
      <c r="G779" s="92">
        <f>tbl_Reservoir[[#This Row],[Surface Water Area (km2)]]</f>
        <v>55.06</v>
      </c>
    </row>
    <row r="780" spans="2:7" x14ac:dyDescent="0.2">
      <c r="B780" t="s">
        <v>907</v>
      </c>
      <c r="C780">
        <v>52.31</v>
      </c>
      <c r="D780" s="83"/>
      <c r="E780" s="90">
        <f t="shared" si="13"/>
        <v>776</v>
      </c>
      <c r="F780" s="91">
        <f>LEFT(tbl_Reservoir[[#This Row],[time]],10)*1</f>
        <v>45380</v>
      </c>
      <c r="G780" s="92">
        <f>tbl_Reservoir[[#This Row],[Surface Water Area (km2)]]</f>
        <v>52.31</v>
      </c>
    </row>
    <row r="781" spans="2:7" x14ac:dyDescent="0.2">
      <c r="B781" t="s">
        <v>908</v>
      </c>
      <c r="C781">
        <v>52.09</v>
      </c>
      <c r="D781" s="83"/>
      <c r="E781" s="90">
        <f t="shared" si="13"/>
        <v>777</v>
      </c>
      <c r="F781" s="91">
        <f>LEFT(tbl_Reservoir[[#This Row],[time]],10)*1</f>
        <v>45385</v>
      </c>
      <c r="G781" s="92">
        <f>tbl_Reservoir[[#This Row],[Surface Water Area (km2)]]</f>
        <v>52.09</v>
      </c>
    </row>
    <row r="782" spans="2:7" x14ac:dyDescent="0.2">
      <c r="B782" t="s">
        <v>909</v>
      </c>
      <c r="C782">
        <v>51.33</v>
      </c>
      <c r="D782" s="83"/>
      <c r="E782" s="90">
        <f t="shared" si="13"/>
        <v>778</v>
      </c>
      <c r="F782" s="91">
        <f>LEFT(tbl_Reservoir[[#This Row],[time]],10)*1</f>
        <v>45390</v>
      </c>
      <c r="G782" s="92">
        <f>tbl_Reservoir[[#This Row],[Surface Water Area (km2)]]</f>
        <v>51.33</v>
      </c>
    </row>
    <row r="783" spans="2:7" x14ac:dyDescent="0.2">
      <c r="B783" t="s">
        <v>910</v>
      </c>
      <c r="C783">
        <v>58.88</v>
      </c>
      <c r="D783" s="83"/>
      <c r="E783" s="90">
        <f t="shared" si="13"/>
        <v>779</v>
      </c>
      <c r="F783" s="91">
        <f>LEFT(tbl_Reservoir[[#This Row],[time]],10)*1</f>
        <v>45400</v>
      </c>
      <c r="G783" s="92">
        <f>tbl_Reservoir[[#This Row],[Surface Water Area (km2)]]</f>
        <v>58.88</v>
      </c>
    </row>
    <row r="784" spans="2:7" x14ac:dyDescent="0.2">
      <c r="B784" t="s">
        <v>911</v>
      </c>
      <c r="C784">
        <v>55.24</v>
      </c>
      <c r="D784" s="83"/>
      <c r="E784" s="90">
        <f t="shared" si="13"/>
        <v>780</v>
      </c>
      <c r="F784" s="91">
        <f>LEFT(tbl_Reservoir[[#This Row],[time]],10)*1</f>
        <v>45405</v>
      </c>
      <c r="G784" s="92">
        <f>tbl_Reservoir[[#This Row],[Surface Water Area (km2)]]</f>
        <v>55.24</v>
      </c>
    </row>
    <row r="785" spans="2:7" x14ac:dyDescent="0.2">
      <c r="B785" t="s">
        <v>912</v>
      </c>
      <c r="C785">
        <v>54.32</v>
      </c>
      <c r="D785" s="83"/>
      <c r="E785" s="90">
        <f t="shared" si="13"/>
        <v>781</v>
      </c>
      <c r="F785" s="91">
        <f>LEFT(tbl_Reservoir[[#This Row],[time]],10)*1</f>
        <v>45410</v>
      </c>
      <c r="G785" s="92">
        <f>tbl_Reservoir[[#This Row],[Surface Water Area (km2)]]</f>
        <v>54.32</v>
      </c>
    </row>
    <row r="786" spans="2:7" x14ac:dyDescent="0.2">
      <c r="B786" t="s">
        <v>913</v>
      </c>
      <c r="C786">
        <v>53.39</v>
      </c>
      <c r="D786" s="83"/>
      <c r="E786" s="90">
        <f t="shared" si="13"/>
        <v>782</v>
      </c>
      <c r="F786" s="91">
        <f>LEFT(tbl_Reservoir[[#This Row],[time]],10)*1</f>
        <v>45415</v>
      </c>
      <c r="G786" s="92">
        <f>tbl_Reservoir[[#This Row],[Surface Water Area (km2)]]</f>
        <v>53.39</v>
      </c>
    </row>
    <row r="787" spans="2:7" x14ac:dyDescent="0.2">
      <c r="B787" t="s">
        <v>914</v>
      </c>
      <c r="C787">
        <v>53.18</v>
      </c>
      <c r="D787" s="83"/>
      <c r="E787" s="90">
        <f t="shared" si="13"/>
        <v>783</v>
      </c>
      <c r="F787" s="91">
        <f>LEFT(tbl_Reservoir[[#This Row],[time]],10)*1</f>
        <v>45420</v>
      </c>
      <c r="G787" s="92">
        <f>tbl_Reservoir[[#This Row],[Surface Water Area (km2)]]</f>
        <v>53.18</v>
      </c>
    </row>
    <row r="788" spans="2:7" x14ac:dyDescent="0.2">
      <c r="B788" t="s">
        <v>915</v>
      </c>
      <c r="C788">
        <v>52.78</v>
      </c>
      <c r="D788" s="83"/>
      <c r="E788" s="90">
        <f t="shared" si="13"/>
        <v>784</v>
      </c>
      <c r="F788" s="91">
        <f>LEFT(tbl_Reservoir[[#This Row],[time]],10)*1</f>
        <v>45425</v>
      </c>
      <c r="G788" s="92">
        <f>tbl_Reservoir[[#This Row],[Surface Water Area (km2)]]</f>
        <v>52.78</v>
      </c>
    </row>
    <row r="789" spans="2:7" x14ac:dyDescent="0.2">
      <c r="B789" t="s">
        <v>916</v>
      </c>
      <c r="C789">
        <v>52.64</v>
      </c>
      <c r="D789" s="83"/>
      <c r="E789" s="90">
        <f t="shared" si="13"/>
        <v>785</v>
      </c>
      <c r="F789" s="91">
        <f>LEFT(tbl_Reservoir[[#This Row],[time]],10)*1</f>
        <v>45430</v>
      </c>
      <c r="G789" s="92">
        <f>tbl_Reservoir[[#This Row],[Surface Water Area (km2)]]</f>
        <v>52.64</v>
      </c>
    </row>
    <row r="790" spans="2:7" x14ac:dyDescent="0.2">
      <c r="B790" t="s">
        <v>917</v>
      </c>
      <c r="C790">
        <v>52.39</v>
      </c>
      <c r="D790" s="83"/>
      <c r="E790" s="90">
        <f t="shared" si="13"/>
        <v>786</v>
      </c>
      <c r="F790" s="91">
        <f>LEFT(tbl_Reservoir[[#This Row],[time]],10)*1</f>
        <v>45435</v>
      </c>
      <c r="G790" s="92">
        <f>tbl_Reservoir[[#This Row],[Surface Water Area (km2)]]</f>
        <v>52.39</v>
      </c>
    </row>
    <row r="791" spans="2:7" x14ac:dyDescent="0.2">
      <c r="B791" t="s">
        <v>918</v>
      </c>
      <c r="C791">
        <v>52.46</v>
      </c>
      <c r="D791" s="83"/>
      <c r="E791" s="90">
        <f t="shared" si="13"/>
        <v>787</v>
      </c>
      <c r="F791" s="91">
        <f>LEFT(tbl_Reservoir[[#This Row],[time]],10)*1</f>
        <v>45440</v>
      </c>
      <c r="G791" s="92">
        <f>tbl_Reservoir[[#This Row],[Surface Water Area (km2)]]</f>
        <v>52.46</v>
      </c>
    </row>
    <row r="792" spans="2:7" x14ac:dyDescent="0.2">
      <c r="B792" t="s">
        <v>919</v>
      </c>
      <c r="C792">
        <v>50.7</v>
      </c>
      <c r="D792" s="83"/>
      <c r="E792" s="90">
        <f t="shared" si="13"/>
        <v>788</v>
      </c>
      <c r="F792" s="91">
        <f>LEFT(tbl_Reservoir[[#This Row],[time]],10)*1</f>
        <v>45450</v>
      </c>
      <c r="G792" s="92">
        <f>tbl_Reservoir[[#This Row],[Surface Water Area (km2)]]</f>
        <v>50.7</v>
      </c>
    </row>
    <row r="793" spans="2:7" x14ac:dyDescent="0.2">
      <c r="B793" t="s">
        <v>920</v>
      </c>
      <c r="C793">
        <v>51.71</v>
      </c>
      <c r="D793" s="83"/>
      <c r="E793" s="90">
        <f t="shared" si="13"/>
        <v>789</v>
      </c>
      <c r="F793" s="91">
        <f>LEFT(tbl_Reservoir[[#This Row],[time]],10)*1</f>
        <v>45454</v>
      </c>
      <c r="G793" s="92">
        <f>tbl_Reservoir[[#This Row],[Surface Water Area (km2)]]</f>
        <v>51.71</v>
      </c>
    </row>
    <row r="794" spans="2:7" x14ac:dyDescent="0.2">
      <c r="B794" t="s">
        <v>921</v>
      </c>
      <c r="C794">
        <v>51.74</v>
      </c>
      <c r="D794" s="83"/>
      <c r="E794" s="90">
        <f t="shared" si="13"/>
        <v>790</v>
      </c>
      <c r="F794" s="91">
        <f>LEFT(tbl_Reservoir[[#This Row],[time]],10)*1</f>
        <v>45455</v>
      </c>
      <c r="G794" s="92">
        <f>tbl_Reservoir[[#This Row],[Surface Water Area (km2)]]</f>
        <v>51.74</v>
      </c>
    </row>
    <row r="795" spans="2:7" x14ac:dyDescent="0.2">
      <c r="B795" t="s">
        <v>922</v>
      </c>
      <c r="C795">
        <v>52.46</v>
      </c>
      <c r="D795" s="83"/>
      <c r="E795" s="90">
        <f t="shared" si="13"/>
        <v>791</v>
      </c>
      <c r="F795" s="91">
        <f>LEFT(tbl_Reservoir[[#This Row],[time]],10)*1</f>
        <v>45460</v>
      </c>
      <c r="G795" s="92">
        <f>tbl_Reservoir[[#This Row],[Surface Water Area (km2)]]</f>
        <v>52.46</v>
      </c>
    </row>
    <row r="796" spans="2:7" x14ac:dyDescent="0.2">
      <c r="B796" t="s">
        <v>923</v>
      </c>
      <c r="C796">
        <v>52</v>
      </c>
      <c r="D796" s="83"/>
      <c r="E796" s="90">
        <f t="shared" si="13"/>
        <v>792</v>
      </c>
      <c r="F796" s="91">
        <f>LEFT(tbl_Reservoir[[#This Row],[time]],10)*1</f>
        <v>45465</v>
      </c>
      <c r="G796" s="92">
        <f>tbl_Reservoir[[#This Row],[Surface Water Area (km2)]]</f>
        <v>52</v>
      </c>
    </row>
    <row r="797" spans="2:7" x14ac:dyDescent="0.2">
      <c r="B797" t="s">
        <v>924</v>
      </c>
      <c r="C797">
        <v>52.04</v>
      </c>
      <c r="D797" s="83"/>
      <c r="E797" s="90">
        <f t="shared" si="13"/>
        <v>793</v>
      </c>
      <c r="F797" s="91">
        <f>LEFT(tbl_Reservoir[[#This Row],[time]],10)*1</f>
        <v>45470</v>
      </c>
      <c r="G797" s="92">
        <f>tbl_Reservoir[[#This Row],[Surface Water Area (km2)]]</f>
        <v>52.04</v>
      </c>
    </row>
    <row r="798" spans="2:7" x14ac:dyDescent="0.2">
      <c r="B798" t="s">
        <v>925</v>
      </c>
      <c r="C798">
        <v>51.37</v>
      </c>
      <c r="D798" s="83"/>
      <c r="E798" s="90">
        <f t="shared" si="13"/>
        <v>794</v>
      </c>
      <c r="F798" s="91">
        <f>LEFT(tbl_Reservoir[[#This Row],[time]],10)*1</f>
        <v>45475</v>
      </c>
      <c r="G798" s="92">
        <f>tbl_Reservoir[[#This Row],[Surface Water Area (km2)]]</f>
        <v>51.37</v>
      </c>
    </row>
    <row r="799" spans="2:7" x14ac:dyDescent="0.2">
      <c r="B799" t="s">
        <v>926</v>
      </c>
      <c r="C799">
        <v>50.33</v>
      </c>
      <c r="D799" s="83"/>
      <c r="E799" s="90">
        <f t="shared" si="13"/>
        <v>795</v>
      </c>
      <c r="F799" s="91">
        <f>LEFT(tbl_Reservoir[[#This Row],[time]],10)*1</f>
        <v>45480</v>
      </c>
      <c r="G799" s="92">
        <f>tbl_Reservoir[[#This Row],[Surface Water Area (km2)]]</f>
        <v>50.33</v>
      </c>
    </row>
    <row r="800" spans="2:7" x14ac:dyDescent="0.2">
      <c r="B800" t="s">
        <v>927</v>
      </c>
      <c r="C800">
        <v>45.43</v>
      </c>
      <c r="D800" s="83"/>
      <c r="E800" s="90">
        <f t="shared" si="13"/>
        <v>796</v>
      </c>
      <c r="F800" s="91">
        <f>LEFT(tbl_Reservoir[[#This Row],[time]],10)*1</f>
        <v>45485</v>
      </c>
      <c r="G800" s="92">
        <f>tbl_Reservoir[[#This Row],[Surface Water Area (km2)]]</f>
        <v>45.43</v>
      </c>
    </row>
    <row r="801" spans="2:7" x14ac:dyDescent="0.2">
      <c r="B801" t="s">
        <v>928</v>
      </c>
      <c r="C801">
        <v>49.56</v>
      </c>
      <c r="D801" s="83"/>
      <c r="E801" s="90">
        <f t="shared" si="13"/>
        <v>797</v>
      </c>
      <c r="F801" s="91">
        <f>LEFT(tbl_Reservoir[[#This Row],[time]],10)*1</f>
        <v>45486</v>
      </c>
      <c r="G801" s="92">
        <f>tbl_Reservoir[[#This Row],[Surface Water Area (km2)]]</f>
        <v>49.56</v>
      </c>
    </row>
    <row r="802" spans="2:7" x14ac:dyDescent="0.2">
      <c r="B802" t="s">
        <v>929</v>
      </c>
      <c r="C802">
        <v>49.72</v>
      </c>
      <c r="D802" s="83"/>
      <c r="E802" s="90">
        <f t="shared" si="13"/>
        <v>798</v>
      </c>
      <c r="F802" s="91">
        <f>LEFT(tbl_Reservoir[[#This Row],[time]],10)*1</f>
        <v>45490</v>
      </c>
      <c r="G802" s="92">
        <f>tbl_Reservoir[[#This Row],[Surface Water Area (km2)]]</f>
        <v>49.72</v>
      </c>
    </row>
    <row r="803" spans="2:7" x14ac:dyDescent="0.2">
      <c r="B803" t="s">
        <v>930</v>
      </c>
      <c r="C803">
        <v>47.24</v>
      </c>
      <c r="D803" s="83"/>
      <c r="E803" s="90">
        <f t="shared" si="13"/>
        <v>799</v>
      </c>
      <c r="F803" s="91">
        <f>LEFT(tbl_Reservoir[[#This Row],[time]],10)*1</f>
        <v>45495</v>
      </c>
      <c r="G803" s="92">
        <f>tbl_Reservoir[[#This Row],[Surface Water Area (km2)]]</f>
        <v>47.24</v>
      </c>
    </row>
    <row r="804" spans="2:7" x14ac:dyDescent="0.2">
      <c r="B804" t="s">
        <v>931</v>
      </c>
      <c r="C804">
        <v>45.94</v>
      </c>
      <c r="D804" s="83"/>
      <c r="E804" s="90">
        <f t="shared" si="13"/>
        <v>800</v>
      </c>
      <c r="F804" s="91">
        <f>LEFT(tbl_Reservoir[[#This Row],[time]],10)*1</f>
        <v>45500</v>
      </c>
      <c r="G804" s="92">
        <f>tbl_Reservoir[[#This Row],[Surface Water Area (km2)]]</f>
        <v>45.94</v>
      </c>
    </row>
    <row r="805" spans="2:7" x14ac:dyDescent="0.2">
      <c r="B805" t="s">
        <v>932</v>
      </c>
      <c r="C805">
        <v>44.99</v>
      </c>
      <c r="D805" s="83"/>
      <c r="E805" s="90">
        <f t="shared" si="13"/>
        <v>801</v>
      </c>
      <c r="F805" s="91">
        <f>LEFT(tbl_Reservoir[[#This Row],[time]],10)*1</f>
        <v>45502</v>
      </c>
      <c r="G805" s="92">
        <f>tbl_Reservoir[[#This Row],[Surface Water Area (km2)]]</f>
        <v>44.99</v>
      </c>
    </row>
    <row r="806" spans="2:7" x14ac:dyDescent="0.2">
      <c r="B806" t="s">
        <v>933</v>
      </c>
      <c r="C806">
        <v>45.41</v>
      </c>
      <c r="D806" s="83"/>
      <c r="E806" s="90">
        <f t="shared" si="13"/>
        <v>802</v>
      </c>
      <c r="F806" s="91">
        <f>LEFT(tbl_Reservoir[[#This Row],[time]],10)*1</f>
        <v>45505</v>
      </c>
      <c r="G806" s="92">
        <f>tbl_Reservoir[[#This Row],[Surface Water Area (km2)]]</f>
        <v>45.41</v>
      </c>
    </row>
    <row r="807" spans="2:7" x14ac:dyDescent="0.2">
      <c r="B807" t="s">
        <v>934</v>
      </c>
      <c r="C807">
        <v>51.69</v>
      </c>
      <c r="D807" s="83"/>
      <c r="E807" s="90">
        <f t="shared" si="13"/>
        <v>803</v>
      </c>
      <c r="F807" s="91">
        <f>LEFT(tbl_Reservoir[[#This Row],[time]],10)*1</f>
        <v>45530</v>
      </c>
      <c r="G807" s="92">
        <f>tbl_Reservoir[[#This Row],[Surface Water Area (km2)]]</f>
        <v>51.69</v>
      </c>
    </row>
    <row r="808" spans="2:7" x14ac:dyDescent="0.2">
      <c r="B808" t="s">
        <v>935</v>
      </c>
      <c r="C808">
        <v>49.25</v>
      </c>
      <c r="D808" s="83"/>
      <c r="E808" s="90">
        <f t="shared" si="13"/>
        <v>804</v>
      </c>
      <c r="F808" s="91">
        <f>LEFT(tbl_Reservoir[[#This Row],[time]],10)*1</f>
        <v>45535</v>
      </c>
      <c r="G808" s="92">
        <f>tbl_Reservoir[[#This Row],[Surface Water Area (km2)]]</f>
        <v>49.25</v>
      </c>
    </row>
    <row r="809" spans="2:7" x14ac:dyDescent="0.2">
      <c r="B809" t="s">
        <v>936</v>
      </c>
      <c r="C809">
        <v>52.04</v>
      </c>
      <c r="D809" s="83"/>
      <c r="E809" s="90">
        <f t="shared" si="13"/>
        <v>805</v>
      </c>
      <c r="F809" s="91">
        <f>LEFT(tbl_Reservoir[[#This Row],[time]],10)*1</f>
        <v>45540</v>
      </c>
      <c r="G809" s="92">
        <f>tbl_Reservoir[[#This Row],[Surface Water Area (km2)]]</f>
        <v>52.04</v>
      </c>
    </row>
    <row r="810" spans="2:7" x14ac:dyDescent="0.2">
      <c r="B810" t="s">
        <v>937</v>
      </c>
      <c r="C810">
        <v>50.33</v>
      </c>
      <c r="D810" s="83"/>
      <c r="E810" s="90">
        <f t="shared" si="13"/>
        <v>806</v>
      </c>
      <c r="F810" s="91">
        <f>LEFT(tbl_Reservoir[[#This Row],[time]],10)*1</f>
        <v>45545</v>
      </c>
      <c r="G810" s="92">
        <f>tbl_Reservoir[[#This Row],[Surface Water Area (km2)]]</f>
        <v>50.33</v>
      </c>
    </row>
    <row r="811" spans="2:7" x14ac:dyDescent="0.2">
      <c r="B811" t="s">
        <v>938</v>
      </c>
      <c r="C811">
        <v>50.2</v>
      </c>
      <c r="D811" s="83"/>
      <c r="E811" s="90">
        <f t="shared" si="13"/>
        <v>807</v>
      </c>
      <c r="F811" s="91">
        <f>LEFT(tbl_Reservoir[[#This Row],[time]],10)*1</f>
        <v>45550</v>
      </c>
      <c r="G811" s="92">
        <f>tbl_Reservoir[[#This Row],[Surface Water Area (km2)]]</f>
        <v>50.2</v>
      </c>
    </row>
    <row r="812" spans="2:7" x14ac:dyDescent="0.2">
      <c r="B812" t="s">
        <v>939</v>
      </c>
      <c r="C812">
        <v>49.16</v>
      </c>
      <c r="D812" s="83"/>
      <c r="E812" s="90">
        <f t="shared" si="13"/>
        <v>808</v>
      </c>
      <c r="F812" s="91">
        <f>LEFT(tbl_Reservoir[[#This Row],[time]],10)*1</f>
        <v>45555</v>
      </c>
      <c r="G812" s="92">
        <f>tbl_Reservoir[[#This Row],[Surface Water Area (km2)]]</f>
        <v>49.16</v>
      </c>
    </row>
    <row r="813" spans="2:7" x14ac:dyDescent="0.2">
      <c r="B813" t="s">
        <v>940</v>
      </c>
      <c r="C813">
        <v>48.23</v>
      </c>
      <c r="D813" s="83"/>
      <c r="E813" s="90">
        <f t="shared" si="13"/>
        <v>809</v>
      </c>
      <c r="F813" s="91">
        <f>LEFT(tbl_Reservoir[[#This Row],[time]],10)*1</f>
        <v>45560</v>
      </c>
      <c r="G813" s="92">
        <f>tbl_Reservoir[[#This Row],[Surface Water Area (km2)]]</f>
        <v>48.23</v>
      </c>
    </row>
    <row r="814" spans="2:7" x14ac:dyDescent="0.2">
      <c r="B814" t="s">
        <v>941</v>
      </c>
      <c r="C814">
        <v>47.49</v>
      </c>
      <c r="D814" s="83"/>
      <c r="E814" s="90">
        <f t="shared" si="13"/>
        <v>810</v>
      </c>
      <c r="F814" s="91">
        <f>LEFT(tbl_Reservoir[[#This Row],[time]],10)*1</f>
        <v>45565</v>
      </c>
      <c r="G814" s="92">
        <f>tbl_Reservoir[[#This Row],[Surface Water Area (km2)]]</f>
        <v>47.49</v>
      </c>
    </row>
    <row r="815" spans="2:7" x14ac:dyDescent="0.2">
      <c r="B815" t="s">
        <v>942</v>
      </c>
      <c r="C815">
        <v>46.62</v>
      </c>
      <c r="D815" s="83"/>
      <c r="E815" s="90">
        <f t="shared" si="13"/>
        <v>811</v>
      </c>
      <c r="F815" s="91">
        <f>LEFT(tbl_Reservoir[[#This Row],[time]],10)*1</f>
        <v>45566</v>
      </c>
      <c r="G815" s="92">
        <f>tbl_Reservoir[[#This Row],[Surface Water Area (km2)]]</f>
        <v>46.62</v>
      </c>
    </row>
    <row r="816" spans="2:7" x14ac:dyDescent="0.2">
      <c r="B816" t="s">
        <v>943</v>
      </c>
      <c r="C816">
        <v>46.71</v>
      </c>
      <c r="D816" s="83"/>
      <c r="E816" s="90">
        <f t="shared" si="13"/>
        <v>812</v>
      </c>
      <c r="F816" s="91">
        <f>LEFT(tbl_Reservoir[[#This Row],[time]],10)*1</f>
        <v>45570</v>
      </c>
      <c r="G816" s="92">
        <f>tbl_Reservoir[[#This Row],[Surface Water Area (km2)]]</f>
        <v>46.71</v>
      </c>
    </row>
    <row r="817" spans="2:7" x14ac:dyDescent="0.2">
      <c r="B817" t="s">
        <v>944</v>
      </c>
      <c r="C817">
        <v>45.93</v>
      </c>
      <c r="D817" s="83"/>
      <c r="E817" s="90">
        <f t="shared" si="13"/>
        <v>813</v>
      </c>
      <c r="F817" s="91">
        <f>LEFT(tbl_Reservoir[[#This Row],[time]],10)*1</f>
        <v>45575</v>
      </c>
      <c r="G817" s="92">
        <f>tbl_Reservoir[[#This Row],[Surface Water Area (km2)]]</f>
        <v>45.93</v>
      </c>
    </row>
    <row r="818" spans="2:7" x14ac:dyDescent="0.2">
      <c r="B818" t="s">
        <v>945</v>
      </c>
      <c r="C818">
        <v>28.27</v>
      </c>
      <c r="D818" s="83"/>
      <c r="E818" s="90">
        <f t="shared" si="13"/>
        <v>814</v>
      </c>
      <c r="F818" s="91">
        <f>LEFT(tbl_Reservoir[[#This Row],[time]],10)*1</f>
        <v>45580</v>
      </c>
      <c r="G818" s="92">
        <f>tbl_Reservoir[[#This Row],[Surface Water Area (km2)]]</f>
        <v>28.27</v>
      </c>
    </row>
    <row r="819" spans="2:7" x14ac:dyDescent="0.2">
      <c r="B819" t="s">
        <v>946</v>
      </c>
      <c r="C819">
        <v>43.65</v>
      </c>
      <c r="D819" s="83"/>
      <c r="E819" s="90">
        <f t="shared" si="13"/>
        <v>815</v>
      </c>
      <c r="F819" s="91">
        <f>LEFT(tbl_Reservoir[[#This Row],[time]],10)*1</f>
        <v>45582</v>
      </c>
      <c r="G819" s="92">
        <f>tbl_Reservoir[[#This Row],[Surface Water Area (km2)]]</f>
        <v>43.65</v>
      </c>
    </row>
    <row r="820" spans="2:7" x14ac:dyDescent="0.2">
      <c r="B820" t="s">
        <v>947</v>
      </c>
      <c r="C820">
        <v>43.34</v>
      </c>
      <c r="D820" s="83"/>
      <c r="E820" s="90">
        <f t="shared" si="13"/>
        <v>816</v>
      </c>
      <c r="F820" s="91">
        <f>LEFT(tbl_Reservoir[[#This Row],[time]],10)*1</f>
        <v>45585</v>
      </c>
      <c r="G820" s="92">
        <f>tbl_Reservoir[[#This Row],[Surface Water Area (km2)]]</f>
        <v>43.34</v>
      </c>
    </row>
    <row r="821" spans="2:7" x14ac:dyDescent="0.2">
      <c r="B821" t="s">
        <v>948</v>
      </c>
      <c r="C821">
        <v>42.67</v>
      </c>
      <c r="D821" s="83"/>
      <c r="E821" s="90">
        <f t="shared" si="13"/>
        <v>817</v>
      </c>
      <c r="F821" s="91">
        <f>LEFT(tbl_Reservoir[[#This Row],[time]],10)*1</f>
        <v>45590</v>
      </c>
      <c r="G821" s="92">
        <f>tbl_Reservoir[[#This Row],[Surface Water Area (km2)]]</f>
        <v>42.67</v>
      </c>
    </row>
    <row r="822" spans="2:7" x14ac:dyDescent="0.2">
      <c r="B822" t="s">
        <v>949</v>
      </c>
      <c r="C822">
        <v>43.06</v>
      </c>
      <c r="D822" s="83"/>
      <c r="E822" s="90">
        <f t="shared" si="13"/>
        <v>818</v>
      </c>
      <c r="F822" s="91">
        <f>LEFT(tbl_Reservoir[[#This Row],[time]],10)*1</f>
        <v>45595</v>
      </c>
      <c r="G822" s="92">
        <f>tbl_Reservoir[[#This Row],[Surface Water Area (km2)]]</f>
        <v>43.06</v>
      </c>
    </row>
    <row r="823" spans="2:7" x14ac:dyDescent="0.2">
      <c r="B823" t="s">
        <v>950</v>
      </c>
      <c r="C823">
        <v>41.85</v>
      </c>
      <c r="D823" s="83"/>
      <c r="E823" s="90">
        <f t="shared" si="13"/>
        <v>819</v>
      </c>
      <c r="F823" s="91">
        <f>LEFT(tbl_Reservoir[[#This Row],[time]],10)*1</f>
        <v>45598</v>
      </c>
      <c r="G823" s="92">
        <f>tbl_Reservoir[[#This Row],[Surface Water Area (km2)]]</f>
        <v>41.85</v>
      </c>
    </row>
    <row r="824" spans="2:7" x14ac:dyDescent="0.2">
      <c r="B824" t="s">
        <v>951</v>
      </c>
      <c r="C824">
        <v>41.08</v>
      </c>
      <c r="D824" s="83"/>
      <c r="E824" s="90">
        <f t="shared" si="13"/>
        <v>820</v>
      </c>
      <c r="F824" s="91">
        <f>LEFT(tbl_Reservoir[[#This Row],[time]],10)*1</f>
        <v>45600</v>
      </c>
      <c r="G824" s="92">
        <f>tbl_Reservoir[[#This Row],[Surface Water Area (km2)]]</f>
        <v>41.08</v>
      </c>
    </row>
    <row r="825" spans="2:7" x14ac:dyDescent="0.2">
      <c r="B825" t="s">
        <v>952</v>
      </c>
      <c r="C825">
        <v>39.93</v>
      </c>
      <c r="D825" s="83"/>
      <c r="E825" s="90">
        <f t="shared" si="13"/>
        <v>821</v>
      </c>
      <c r="F825" s="91">
        <f>LEFT(tbl_Reservoir[[#This Row],[time]],10)*1</f>
        <v>45610</v>
      </c>
      <c r="G825" s="92">
        <f>tbl_Reservoir[[#This Row],[Surface Water Area (km2)]]</f>
        <v>39.93</v>
      </c>
    </row>
    <row r="826" spans="2:7" x14ac:dyDescent="0.2">
      <c r="B826" t="s">
        <v>953</v>
      </c>
      <c r="C826">
        <v>39.53</v>
      </c>
      <c r="D826" s="83"/>
      <c r="E826" s="90">
        <f t="shared" si="13"/>
        <v>822</v>
      </c>
      <c r="F826" s="91">
        <f>LEFT(tbl_Reservoir[[#This Row],[time]],10)*1</f>
        <v>45614</v>
      </c>
      <c r="G826" s="92">
        <f>tbl_Reservoir[[#This Row],[Surface Water Area (km2)]]</f>
        <v>39.53</v>
      </c>
    </row>
    <row r="827" spans="2:7" x14ac:dyDescent="0.2">
      <c r="B827" t="s">
        <v>954</v>
      </c>
      <c r="C827">
        <v>39.61</v>
      </c>
      <c r="D827" s="83"/>
      <c r="E827" s="90">
        <f t="shared" si="13"/>
        <v>823</v>
      </c>
      <c r="F827" s="91">
        <f>LEFT(tbl_Reservoir[[#This Row],[time]],10)*1</f>
        <v>45615</v>
      </c>
      <c r="G827" s="92">
        <f>tbl_Reservoir[[#This Row],[Surface Water Area (km2)]]</f>
        <v>39.61</v>
      </c>
    </row>
    <row r="828" spans="2:7" x14ac:dyDescent="0.2">
      <c r="B828" t="s">
        <v>955</v>
      </c>
      <c r="C828">
        <v>38.78</v>
      </c>
      <c r="D828" s="83"/>
      <c r="E828" s="90">
        <f t="shared" si="13"/>
        <v>824</v>
      </c>
      <c r="F828" s="91">
        <f>LEFT(tbl_Reservoir[[#This Row],[time]],10)*1</f>
        <v>45620</v>
      </c>
      <c r="G828" s="92">
        <f>tbl_Reservoir[[#This Row],[Surface Water Area (km2)]]</f>
        <v>38.78</v>
      </c>
    </row>
    <row r="829" spans="2:7" x14ac:dyDescent="0.2">
      <c r="B829" t="s">
        <v>956</v>
      </c>
      <c r="C829">
        <v>40.53</v>
      </c>
      <c r="D829" s="83"/>
      <c r="E829" s="90">
        <f t="shared" si="13"/>
        <v>825</v>
      </c>
      <c r="F829" s="91">
        <f>LEFT(tbl_Reservoir[[#This Row],[time]],10)*1</f>
        <v>45625</v>
      </c>
      <c r="G829" s="92">
        <f>tbl_Reservoir[[#This Row],[Surface Water Area (km2)]]</f>
        <v>40.53</v>
      </c>
    </row>
    <row r="830" spans="2:7" x14ac:dyDescent="0.2">
      <c r="B830" t="s">
        <v>957</v>
      </c>
      <c r="C830">
        <v>36.659999999999997</v>
      </c>
      <c r="D830" s="83"/>
      <c r="E830" s="90">
        <f t="shared" si="13"/>
        <v>826</v>
      </c>
      <c r="F830" s="91">
        <f>LEFT(tbl_Reservoir[[#This Row],[time]],10)*1</f>
        <v>45630</v>
      </c>
      <c r="G830" s="92">
        <f>tbl_Reservoir[[#This Row],[Surface Water Area (km2)]]</f>
        <v>36.659999999999997</v>
      </c>
    </row>
    <row r="831" spans="2:7" x14ac:dyDescent="0.2">
      <c r="B831" t="s">
        <v>958</v>
      </c>
      <c r="C831">
        <v>36.82</v>
      </c>
      <c r="D831" s="83"/>
      <c r="E831" s="90">
        <f t="shared" si="13"/>
        <v>827</v>
      </c>
      <c r="F831" s="91">
        <f>LEFT(tbl_Reservoir[[#This Row],[time]],10)*1</f>
        <v>45635</v>
      </c>
      <c r="G831" s="92">
        <f>tbl_Reservoir[[#This Row],[Surface Water Area (km2)]]</f>
        <v>36.82</v>
      </c>
    </row>
    <row r="832" spans="2:7" x14ac:dyDescent="0.2">
      <c r="B832" t="s">
        <v>959</v>
      </c>
      <c r="C832">
        <v>36.22</v>
      </c>
      <c r="D832" s="83"/>
      <c r="E832" s="90">
        <f t="shared" si="13"/>
        <v>828</v>
      </c>
      <c r="F832" s="91">
        <f>LEFT(tbl_Reservoir[[#This Row],[time]],10)*1</f>
        <v>45640</v>
      </c>
      <c r="G832" s="92">
        <f>tbl_Reservoir[[#This Row],[Surface Water Area (km2)]]</f>
        <v>36.22</v>
      </c>
    </row>
    <row r="833" spans="2:7" x14ac:dyDescent="0.2">
      <c r="B833" t="s">
        <v>960</v>
      </c>
      <c r="C833">
        <v>35.82</v>
      </c>
      <c r="D833" s="83"/>
      <c r="E833" s="90">
        <f t="shared" si="13"/>
        <v>829</v>
      </c>
      <c r="F833" s="91">
        <f>LEFT(tbl_Reservoir[[#This Row],[time]],10)*1</f>
        <v>45645</v>
      </c>
      <c r="G833" s="92">
        <f>tbl_Reservoir[[#This Row],[Surface Water Area (km2)]]</f>
        <v>35.82</v>
      </c>
    </row>
    <row r="834" spans="2:7" x14ac:dyDescent="0.2">
      <c r="B834" t="s">
        <v>961</v>
      </c>
      <c r="C834">
        <v>35.53</v>
      </c>
      <c r="D834" s="83"/>
      <c r="E834" s="90">
        <f t="shared" si="13"/>
        <v>830</v>
      </c>
      <c r="F834" s="91">
        <f>LEFT(tbl_Reservoir[[#This Row],[time]],10)*1</f>
        <v>45650</v>
      </c>
      <c r="G834" s="92">
        <f>tbl_Reservoir[[#This Row],[Surface Water Area (km2)]]</f>
        <v>35.53</v>
      </c>
    </row>
    <row r="835" spans="2:7" x14ac:dyDescent="0.2">
      <c r="B835" t="s">
        <v>962</v>
      </c>
      <c r="C835">
        <v>37.770000000000003</v>
      </c>
      <c r="D835" s="83"/>
      <c r="E835" s="90">
        <f t="shared" si="13"/>
        <v>831</v>
      </c>
      <c r="F835" s="91">
        <f>LEFT(tbl_Reservoir[[#This Row],[time]],10)*1</f>
        <v>45655</v>
      </c>
      <c r="G835" s="92">
        <f>tbl_Reservoir[[#This Row],[Surface Water Area (km2)]]</f>
        <v>37.770000000000003</v>
      </c>
    </row>
    <row r="836" spans="2:7" x14ac:dyDescent="0.2">
      <c r="B836" t="s">
        <v>963</v>
      </c>
      <c r="C836">
        <v>35.43</v>
      </c>
      <c r="D836" s="83"/>
      <c r="E836" s="90">
        <f t="shared" si="13"/>
        <v>832</v>
      </c>
      <c r="F836" s="91">
        <f>LEFT(tbl_Reservoir[[#This Row],[time]],10)*1</f>
        <v>45660</v>
      </c>
      <c r="G836" s="92">
        <f>tbl_Reservoir[[#This Row],[Surface Water Area (km2)]]</f>
        <v>35.43</v>
      </c>
    </row>
    <row r="837" spans="2:7" x14ac:dyDescent="0.2">
      <c r="B837" t="s">
        <v>964</v>
      </c>
      <c r="C837">
        <v>35.18</v>
      </c>
      <c r="D837" s="83"/>
      <c r="E837" s="90">
        <f t="shared" si="13"/>
        <v>833</v>
      </c>
      <c r="F837" s="91">
        <f>LEFT(tbl_Reservoir[[#This Row],[time]],10)*1</f>
        <v>45662</v>
      </c>
      <c r="G837" s="92">
        <f>tbl_Reservoir[[#This Row],[Surface Water Area (km2)]]</f>
        <v>35.18</v>
      </c>
    </row>
    <row r="838" spans="2:7" x14ac:dyDescent="0.2">
      <c r="B838" t="s">
        <v>965</v>
      </c>
      <c r="C838">
        <v>35.61</v>
      </c>
      <c r="D838" s="83"/>
      <c r="E838" s="90">
        <f t="shared" ref="E838:E876" si="14">ROW()-4</f>
        <v>834</v>
      </c>
      <c r="F838" s="91">
        <f>LEFT(tbl_Reservoir[[#This Row],[time]],10)*1</f>
        <v>45665</v>
      </c>
      <c r="G838" s="92">
        <f>tbl_Reservoir[[#This Row],[Surface Water Area (km2)]]</f>
        <v>35.61</v>
      </c>
    </row>
    <row r="839" spans="2:7" x14ac:dyDescent="0.2">
      <c r="B839" t="s">
        <v>966</v>
      </c>
      <c r="C839">
        <v>34.54</v>
      </c>
      <c r="D839" s="83"/>
      <c r="E839" s="90">
        <f t="shared" si="14"/>
        <v>835</v>
      </c>
      <c r="F839" s="91">
        <f>LEFT(tbl_Reservoir[[#This Row],[time]],10)*1</f>
        <v>45670</v>
      </c>
      <c r="G839" s="92">
        <f>tbl_Reservoir[[#This Row],[Surface Water Area (km2)]]</f>
        <v>34.54</v>
      </c>
    </row>
    <row r="840" spans="2:7" x14ac:dyDescent="0.2">
      <c r="B840" t="s">
        <v>967</v>
      </c>
      <c r="C840">
        <v>36.869999999999997</v>
      </c>
      <c r="D840" s="83"/>
      <c r="E840" s="90">
        <f t="shared" si="14"/>
        <v>836</v>
      </c>
      <c r="F840" s="91">
        <f>LEFT(tbl_Reservoir[[#This Row],[time]],10)*1</f>
        <v>45678</v>
      </c>
      <c r="G840" s="92">
        <f>tbl_Reservoir[[#This Row],[Surface Water Area (km2)]]</f>
        <v>36.869999999999997</v>
      </c>
    </row>
    <row r="841" spans="2:7" x14ac:dyDescent="0.2">
      <c r="B841" t="s">
        <v>968</v>
      </c>
      <c r="C841">
        <v>34.950000000000003</v>
      </c>
      <c r="D841" s="83"/>
      <c r="E841" s="90">
        <f t="shared" si="14"/>
        <v>837</v>
      </c>
      <c r="F841" s="91">
        <f>LEFT(tbl_Reservoir[[#This Row],[time]],10)*1</f>
        <v>45680</v>
      </c>
      <c r="G841" s="92">
        <f>tbl_Reservoir[[#This Row],[Surface Water Area (km2)]]</f>
        <v>34.950000000000003</v>
      </c>
    </row>
    <row r="842" spans="2:7" x14ac:dyDescent="0.2">
      <c r="B842" t="s">
        <v>969</v>
      </c>
      <c r="C842">
        <v>32.86</v>
      </c>
      <c r="D842" s="83"/>
      <c r="E842" s="90">
        <f t="shared" si="14"/>
        <v>838</v>
      </c>
      <c r="F842" s="91">
        <f>LEFT(tbl_Reservoir[[#This Row],[time]],10)*1</f>
        <v>45690</v>
      </c>
      <c r="G842" s="92">
        <f>tbl_Reservoir[[#This Row],[Surface Water Area (km2)]]</f>
        <v>32.86</v>
      </c>
    </row>
    <row r="843" spans="2:7" x14ac:dyDescent="0.2">
      <c r="B843" t="s">
        <v>970</v>
      </c>
      <c r="C843">
        <v>32.520000000000003</v>
      </c>
      <c r="D843" s="83"/>
      <c r="E843" s="90">
        <f t="shared" si="14"/>
        <v>839</v>
      </c>
      <c r="F843" s="91">
        <f>LEFT(tbl_Reservoir[[#This Row],[time]],10)*1</f>
        <v>45694</v>
      </c>
      <c r="G843" s="92">
        <f>tbl_Reservoir[[#This Row],[Surface Water Area (km2)]]</f>
        <v>32.520000000000003</v>
      </c>
    </row>
    <row r="844" spans="2:7" x14ac:dyDescent="0.2">
      <c r="B844" t="s">
        <v>971</v>
      </c>
      <c r="C844">
        <v>36.36</v>
      </c>
      <c r="D844" s="83"/>
      <c r="E844" s="90">
        <f t="shared" si="14"/>
        <v>840</v>
      </c>
      <c r="F844" s="91">
        <f>LEFT(tbl_Reservoir[[#This Row],[time]],10)*1</f>
        <v>45695</v>
      </c>
      <c r="G844" s="92">
        <f>tbl_Reservoir[[#This Row],[Surface Water Area (km2)]]</f>
        <v>36.36</v>
      </c>
    </row>
    <row r="845" spans="2:7" x14ac:dyDescent="0.2">
      <c r="B845" t="s">
        <v>972</v>
      </c>
      <c r="C845">
        <v>32.049999999999997</v>
      </c>
      <c r="D845" s="83"/>
      <c r="E845" s="90">
        <f t="shared" si="14"/>
        <v>841</v>
      </c>
      <c r="F845" s="91">
        <f>LEFT(tbl_Reservoir[[#This Row],[time]],10)*1</f>
        <v>45700</v>
      </c>
      <c r="G845" s="92">
        <f>tbl_Reservoir[[#This Row],[Surface Water Area (km2)]]</f>
        <v>32.049999999999997</v>
      </c>
    </row>
    <row r="846" spans="2:7" x14ac:dyDescent="0.2">
      <c r="B846" t="s">
        <v>973</v>
      </c>
      <c r="C846">
        <v>31.16</v>
      </c>
      <c r="D846" s="83"/>
      <c r="E846" s="90">
        <f t="shared" si="14"/>
        <v>842</v>
      </c>
      <c r="F846" s="91">
        <f>LEFT(tbl_Reservoir[[#This Row],[time]],10)*1</f>
        <v>45710</v>
      </c>
      <c r="G846" s="92">
        <f>tbl_Reservoir[[#This Row],[Surface Water Area (km2)]]</f>
        <v>31.16</v>
      </c>
    </row>
    <row r="847" spans="2:7" x14ac:dyDescent="0.2">
      <c r="B847" t="s">
        <v>974</v>
      </c>
      <c r="C847">
        <v>29.18</v>
      </c>
      <c r="D847" s="83"/>
      <c r="E847" s="90">
        <f t="shared" si="14"/>
        <v>843</v>
      </c>
      <c r="F847" s="91">
        <f>LEFT(tbl_Reservoir[[#This Row],[time]],10)*1</f>
        <v>45720</v>
      </c>
      <c r="G847" s="92">
        <f>tbl_Reservoir[[#This Row],[Surface Water Area (km2)]]</f>
        <v>29.18</v>
      </c>
    </row>
    <row r="848" spans="2:7" x14ac:dyDescent="0.2">
      <c r="B848" t="s">
        <v>975</v>
      </c>
      <c r="C848">
        <v>31.08</v>
      </c>
      <c r="D848" s="83"/>
      <c r="E848" s="90">
        <f t="shared" si="14"/>
        <v>844</v>
      </c>
      <c r="F848" s="91">
        <f>LEFT(tbl_Reservoir[[#This Row],[time]],10)*1</f>
        <v>45725</v>
      </c>
      <c r="G848" s="92">
        <f>tbl_Reservoir[[#This Row],[Surface Water Area (km2)]]</f>
        <v>31.08</v>
      </c>
    </row>
    <row r="849" spans="2:7" x14ac:dyDescent="0.2">
      <c r="B849" t="s">
        <v>976</v>
      </c>
      <c r="C849">
        <v>27.99</v>
      </c>
      <c r="D849" s="83"/>
      <c r="E849" s="90">
        <f t="shared" si="14"/>
        <v>845</v>
      </c>
      <c r="F849" s="91">
        <f>LEFT(tbl_Reservoir[[#This Row],[time]],10)*1</f>
        <v>45730</v>
      </c>
      <c r="G849" s="92">
        <f>tbl_Reservoir[[#This Row],[Surface Water Area (km2)]]</f>
        <v>27.99</v>
      </c>
    </row>
    <row r="850" spans="2:7" x14ac:dyDescent="0.2">
      <c r="B850" t="s">
        <v>977</v>
      </c>
      <c r="C850">
        <v>27.17</v>
      </c>
      <c r="D850" s="83"/>
      <c r="E850" s="90">
        <f t="shared" si="14"/>
        <v>846</v>
      </c>
      <c r="F850" s="91">
        <f>LEFT(tbl_Reservoir[[#This Row],[time]],10)*1</f>
        <v>45735</v>
      </c>
      <c r="G850" s="92">
        <f>tbl_Reservoir[[#This Row],[Surface Water Area (km2)]]</f>
        <v>27.17</v>
      </c>
    </row>
    <row r="851" spans="2:7" x14ac:dyDescent="0.2">
      <c r="B851" t="s">
        <v>978</v>
      </c>
      <c r="C851">
        <v>25.59</v>
      </c>
      <c r="D851" s="83"/>
      <c r="E851" s="90">
        <f t="shared" si="14"/>
        <v>847</v>
      </c>
      <c r="F851" s="91">
        <f>LEFT(tbl_Reservoir[[#This Row],[time]],10)*1</f>
        <v>45740</v>
      </c>
      <c r="G851" s="92">
        <f>tbl_Reservoir[[#This Row],[Surface Water Area (km2)]]</f>
        <v>25.59</v>
      </c>
    </row>
    <row r="852" spans="2:7" x14ac:dyDescent="0.2">
      <c r="B852" t="s">
        <v>979</v>
      </c>
      <c r="C852">
        <v>26.23</v>
      </c>
      <c r="D852" s="83"/>
      <c r="E852" s="90">
        <f t="shared" si="14"/>
        <v>848</v>
      </c>
      <c r="F852" s="91">
        <f>LEFT(tbl_Reservoir[[#This Row],[time]],10)*1</f>
        <v>45742</v>
      </c>
      <c r="G852" s="92">
        <f>tbl_Reservoir[[#This Row],[Surface Water Area (km2)]]</f>
        <v>26.23</v>
      </c>
    </row>
    <row r="853" spans="2:7" x14ac:dyDescent="0.2">
      <c r="B853" t="s">
        <v>980</v>
      </c>
      <c r="C853">
        <v>24.75</v>
      </c>
      <c r="D853" s="83"/>
      <c r="E853" s="90">
        <f t="shared" si="14"/>
        <v>849</v>
      </c>
      <c r="F853" s="91">
        <f>LEFT(tbl_Reservoir[[#This Row],[time]],10)*1</f>
        <v>45745</v>
      </c>
      <c r="G853" s="92">
        <f>tbl_Reservoir[[#This Row],[Surface Water Area (km2)]]</f>
        <v>24.75</v>
      </c>
    </row>
    <row r="854" spans="2:7" x14ac:dyDescent="0.2">
      <c r="B854" t="s">
        <v>981</v>
      </c>
      <c r="C854">
        <v>24.43</v>
      </c>
      <c r="D854" s="83"/>
      <c r="E854" s="90">
        <f t="shared" si="14"/>
        <v>850</v>
      </c>
      <c r="F854" s="91">
        <f>LEFT(tbl_Reservoir[[#This Row],[time]],10)*1</f>
        <v>45750</v>
      </c>
      <c r="G854" s="92">
        <f>tbl_Reservoir[[#This Row],[Surface Water Area (km2)]]</f>
        <v>24.43</v>
      </c>
    </row>
    <row r="855" spans="2:7" x14ac:dyDescent="0.2">
      <c r="B855" t="s">
        <v>982</v>
      </c>
      <c r="C855">
        <v>40.9</v>
      </c>
      <c r="D855" s="83"/>
      <c r="E855" s="90">
        <f t="shared" si="14"/>
        <v>851</v>
      </c>
      <c r="F855" s="91">
        <f>LEFT(tbl_Reservoir[[#This Row],[time]],10)*1</f>
        <v>45755</v>
      </c>
      <c r="G855" s="92">
        <f>tbl_Reservoir[[#This Row],[Surface Water Area (km2)]]</f>
        <v>40.9</v>
      </c>
    </row>
    <row r="856" spans="2:7" x14ac:dyDescent="0.2">
      <c r="B856" t="s">
        <v>983</v>
      </c>
      <c r="C856">
        <v>22.8</v>
      </c>
      <c r="D856" s="83"/>
      <c r="E856" s="90">
        <f t="shared" si="14"/>
        <v>852</v>
      </c>
      <c r="F856" s="91">
        <f>LEFT(tbl_Reservoir[[#This Row],[time]],10)*1</f>
        <v>45758</v>
      </c>
      <c r="G856" s="92">
        <f>tbl_Reservoir[[#This Row],[Surface Water Area (km2)]]</f>
        <v>22.8</v>
      </c>
    </row>
    <row r="857" spans="2:7" x14ac:dyDescent="0.2">
      <c r="B857" t="s">
        <v>984</v>
      </c>
      <c r="C857">
        <v>22.49</v>
      </c>
      <c r="D857" s="83"/>
      <c r="E857" s="90">
        <f t="shared" si="14"/>
        <v>853</v>
      </c>
      <c r="F857" s="91">
        <f>LEFT(tbl_Reservoir[[#This Row],[time]],10)*1</f>
        <v>45760</v>
      </c>
      <c r="G857" s="92">
        <f>tbl_Reservoir[[#This Row],[Surface Water Area (km2)]]</f>
        <v>22.49</v>
      </c>
    </row>
    <row r="858" spans="2:7" x14ac:dyDescent="0.2">
      <c r="B858" t="s">
        <v>985</v>
      </c>
      <c r="C858">
        <v>22.27</v>
      </c>
      <c r="D858" s="83"/>
      <c r="E858" s="90">
        <f t="shared" si="14"/>
        <v>854</v>
      </c>
      <c r="F858" s="91">
        <f>LEFT(tbl_Reservoir[[#This Row],[time]],10)*1</f>
        <v>45762</v>
      </c>
      <c r="G858" s="92">
        <f>tbl_Reservoir[[#This Row],[Surface Water Area (km2)]]</f>
        <v>22.27</v>
      </c>
    </row>
    <row r="859" spans="2:7" x14ac:dyDescent="0.2">
      <c r="B859" t="s">
        <v>986</v>
      </c>
      <c r="C859">
        <v>21.41</v>
      </c>
      <c r="D859" s="83"/>
      <c r="E859" s="90">
        <f t="shared" si="14"/>
        <v>855</v>
      </c>
      <c r="F859" s="91">
        <f>LEFT(tbl_Reservoir[[#This Row],[time]],10)*1</f>
        <v>45770</v>
      </c>
      <c r="G859" s="92">
        <f>tbl_Reservoir[[#This Row],[Surface Water Area (km2)]]</f>
        <v>21.41</v>
      </c>
    </row>
    <row r="860" spans="2:7" x14ac:dyDescent="0.2">
      <c r="B860" t="s">
        <v>987</v>
      </c>
      <c r="C860">
        <v>20.61</v>
      </c>
      <c r="D860" s="83"/>
      <c r="E860" s="90">
        <f t="shared" si="14"/>
        <v>856</v>
      </c>
      <c r="F860" s="91">
        <f>LEFT(tbl_Reservoir[[#This Row],[time]],10)*1</f>
        <v>45775</v>
      </c>
      <c r="G860" s="92">
        <f>tbl_Reservoir[[#This Row],[Surface Water Area (km2)]]</f>
        <v>20.61</v>
      </c>
    </row>
    <row r="861" spans="2:7" x14ac:dyDescent="0.2">
      <c r="B861" t="s">
        <v>988</v>
      </c>
      <c r="C861">
        <v>20.25</v>
      </c>
      <c r="D861" s="83"/>
      <c r="E861" s="90">
        <f t="shared" si="14"/>
        <v>857</v>
      </c>
      <c r="F861" s="91">
        <f>LEFT(tbl_Reservoir[[#This Row],[time]],10)*1</f>
        <v>45780</v>
      </c>
      <c r="G861" s="92">
        <f>tbl_Reservoir[[#This Row],[Surface Water Area (km2)]]</f>
        <v>20.25</v>
      </c>
    </row>
    <row r="862" spans="2:7" x14ac:dyDescent="0.2">
      <c r="B862" t="s">
        <v>989</v>
      </c>
      <c r="C862">
        <v>19.79</v>
      </c>
      <c r="D862" s="83"/>
      <c r="E862" s="90">
        <f t="shared" si="14"/>
        <v>858</v>
      </c>
      <c r="F862" s="91">
        <f>LEFT(tbl_Reservoir[[#This Row],[time]],10)*1</f>
        <v>45782</v>
      </c>
      <c r="G862" s="92">
        <f>tbl_Reservoir[[#This Row],[Surface Water Area (km2)]]</f>
        <v>19.79</v>
      </c>
    </row>
    <row r="863" spans="2:7" x14ac:dyDescent="0.2">
      <c r="B863" t="s">
        <v>990</v>
      </c>
      <c r="C863">
        <v>19.920000000000002</v>
      </c>
      <c r="D863" s="83"/>
      <c r="E863" s="90">
        <f t="shared" si="14"/>
        <v>859</v>
      </c>
      <c r="F863" s="91">
        <f>LEFT(tbl_Reservoir[[#This Row],[time]],10)*1</f>
        <v>45785</v>
      </c>
      <c r="G863" s="92">
        <f>tbl_Reservoir[[#This Row],[Surface Water Area (km2)]]</f>
        <v>19.920000000000002</v>
      </c>
    </row>
    <row r="864" spans="2:7" x14ac:dyDescent="0.2">
      <c r="B864" t="s">
        <v>991</v>
      </c>
      <c r="C864">
        <v>23.56</v>
      </c>
      <c r="D864" s="83"/>
      <c r="E864" s="90">
        <f t="shared" si="14"/>
        <v>860</v>
      </c>
      <c r="F864" s="91">
        <f>LEFT(tbl_Reservoir[[#This Row],[time]],10)*1</f>
        <v>45790</v>
      </c>
      <c r="G864" s="92">
        <f>tbl_Reservoir[[#This Row],[Surface Water Area (km2)]]</f>
        <v>23.56</v>
      </c>
    </row>
    <row r="865" spans="2:7" x14ac:dyDescent="0.2">
      <c r="B865" t="s">
        <v>992</v>
      </c>
      <c r="C865">
        <v>24.03</v>
      </c>
      <c r="D865" s="83"/>
      <c r="E865" s="90">
        <f t="shared" si="14"/>
        <v>861</v>
      </c>
      <c r="F865" s="91">
        <f>LEFT(tbl_Reservoir[[#This Row],[time]],10)*1</f>
        <v>45795</v>
      </c>
      <c r="G865" s="92">
        <f>tbl_Reservoir[[#This Row],[Surface Water Area (km2)]]</f>
        <v>24.03</v>
      </c>
    </row>
    <row r="866" spans="2:7" x14ac:dyDescent="0.2">
      <c r="B866" t="s">
        <v>993</v>
      </c>
      <c r="C866">
        <v>22.43</v>
      </c>
      <c r="D866" s="83"/>
      <c r="E866" s="90">
        <f t="shared" si="14"/>
        <v>862</v>
      </c>
      <c r="F866" s="91">
        <f>LEFT(tbl_Reservoir[[#This Row],[time]],10)*1</f>
        <v>45800</v>
      </c>
      <c r="G866" s="92">
        <f>tbl_Reservoir[[#This Row],[Surface Water Area (km2)]]</f>
        <v>22.43</v>
      </c>
    </row>
    <row r="867" spans="2:7" x14ac:dyDescent="0.2">
      <c r="B867" t="s">
        <v>994</v>
      </c>
      <c r="C867">
        <v>22.34</v>
      </c>
      <c r="D867" s="83"/>
      <c r="E867" s="90">
        <f t="shared" si="14"/>
        <v>863</v>
      </c>
      <c r="F867" s="91">
        <f>LEFT(tbl_Reservoir[[#This Row],[time]],10)*1</f>
        <v>45802</v>
      </c>
      <c r="G867" s="92">
        <f>tbl_Reservoir[[#This Row],[Surface Water Area (km2)]]</f>
        <v>22.34</v>
      </c>
    </row>
    <row r="868" spans="2:7" x14ac:dyDescent="0.2">
      <c r="B868" t="s">
        <v>995</v>
      </c>
      <c r="C868">
        <v>21.64</v>
      </c>
      <c r="D868" s="83"/>
      <c r="E868" s="90">
        <f t="shared" si="14"/>
        <v>864</v>
      </c>
      <c r="F868" s="91">
        <f>LEFT(tbl_Reservoir[[#This Row],[time]],10)*1</f>
        <v>45805</v>
      </c>
      <c r="G868" s="92">
        <f>tbl_Reservoir[[#This Row],[Surface Water Area (km2)]]</f>
        <v>21.64</v>
      </c>
    </row>
    <row r="869" spans="2:7" x14ac:dyDescent="0.2">
      <c r="B869" t="s">
        <v>996</v>
      </c>
      <c r="C869">
        <v>20.16</v>
      </c>
      <c r="D869" s="83"/>
      <c r="E869" s="90">
        <f t="shared" si="14"/>
        <v>865</v>
      </c>
      <c r="F869" s="91">
        <f>LEFT(tbl_Reservoir[[#This Row],[time]],10)*1</f>
        <v>45810</v>
      </c>
      <c r="G869" s="92">
        <f>tbl_Reservoir[[#This Row],[Surface Water Area (km2)]]</f>
        <v>20.16</v>
      </c>
    </row>
    <row r="870" spans="2:7" x14ac:dyDescent="0.2">
      <c r="B870" t="s">
        <v>997</v>
      </c>
      <c r="C870">
        <v>24.17</v>
      </c>
      <c r="D870" s="83"/>
      <c r="E870" s="90">
        <f t="shared" si="14"/>
        <v>866</v>
      </c>
      <c r="F870" s="91">
        <f>LEFT(tbl_Reservoir[[#This Row],[time]],10)*1</f>
        <v>45813</v>
      </c>
      <c r="G870" s="92">
        <f>tbl_Reservoir[[#This Row],[Surface Water Area (km2)]]</f>
        <v>24.17</v>
      </c>
    </row>
    <row r="871" spans="2:7" x14ac:dyDescent="0.2">
      <c r="B871" t="s">
        <v>998</v>
      </c>
      <c r="C871">
        <v>19.559999999999999</v>
      </c>
      <c r="D871" s="83"/>
      <c r="E871" s="90">
        <f t="shared" si="14"/>
        <v>867</v>
      </c>
      <c r="F871" s="91">
        <f>LEFT(tbl_Reservoir[[#This Row],[time]],10)*1</f>
        <v>45815</v>
      </c>
      <c r="G871" s="92">
        <f>tbl_Reservoir[[#This Row],[Surface Water Area (km2)]]</f>
        <v>19.559999999999999</v>
      </c>
    </row>
    <row r="872" spans="2:7" x14ac:dyDescent="0.2">
      <c r="B872" t="s">
        <v>999</v>
      </c>
      <c r="C872">
        <v>19</v>
      </c>
      <c r="D872" s="83"/>
      <c r="E872" s="90">
        <f t="shared" si="14"/>
        <v>868</v>
      </c>
      <c r="F872" s="91">
        <f>LEFT(tbl_Reservoir[[#This Row],[time]],10)*1</f>
        <v>45820</v>
      </c>
      <c r="G872" s="92">
        <f>tbl_Reservoir[[#This Row],[Surface Water Area (km2)]]</f>
        <v>19</v>
      </c>
    </row>
    <row r="873" spans="2:7" x14ac:dyDescent="0.2">
      <c r="B873" t="s">
        <v>1000</v>
      </c>
      <c r="C873">
        <v>18.510000000000002</v>
      </c>
      <c r="D873" s="83"/>
      <c r="E873" s="90">
        <f t="shared" si="14"/>
        <v>869</v>
      </c>
      <c r="F873" s="91">
        <f>LEFT(tbl_Reservoir[[#This Row],[time]],10)*1</f>
        <v>45822</v>
      </c>
      <c r="G873" s="92">
        <f>tbl_Reservoir[[#This Row],[Surface Water Area (km2)]]</f>
        <v>18.510000000000002</v>
      </c>
    </row>
    <row r="874" spans="2:7" x14ac:dyDescent="0.2">
      <c r="B874" t="s">
        <v>1001</v>
      </c>
      <c r="C874">
        <v>17.71</v>
      </c>
      <c r="D874" s="83"/>
      <c r="E874" s="90">
        <f t="shared" si="14"/>
        <v>870</v>
      </c>
      <c r="F874" s="91">
        <f>LEFT(tbl_Reservoir[[#This Row],[time]],10)*1</f>
        <v>45825</v>
      </c>
      <c r="G874" s="92">
        <f>tbl_Reservoir[[#This Row],[Surface Water Area (km2)]]</f>
        <v>17.71</v>
      </c>
    </row>
    <row r="875" spans="2:7" x14ac:dyDescent="0.2">
      <c r="B875" t="s">
        <v>1002</v>
      </c>
      <c r="C875">
        <v>75.08</v>
      </c>
      <c r="D875" s="83"/>
      <c r="E875" s="90">
        <f t="shared" si="14"/>
        <v>871</v>
      </c>
      <c r="F875" s="91">
        <f>LEFT(tbl_Reservoir[[#This Row],[time]],10)*1</f>
        <v>45830</v>
      </c>
      <c r="G875" s="92">
        <f>tbl_Reservoir[[#This Row],[Surface Water Area (km2)]]</f>
        <v>75.08</v>
      </c>
    </row>
    <row r="876" spans="2:7" x14ac:dyDescent="0.2">
      <c r="B876" t="s">
        <v>1003</v>
      </c>
      <c r="C876">
        <v>24.86</v>
      </c>
      <c r="D876" s="83"/>
      <c r="E876" s="90">
        <f t="shared" si="14"/>
        <v>872</v>
      </c>
      <c r="F876" s="91">
        <f>LEFT(tbl_Reservoir[[#This Row],[time]],10)*1</f>
        <v>45835</v>
      </c>
      <c r="G876" s="92">
        <f>tbl_Reservoir[[#This Row],[Surface Water Area (km2)]]</f>
        <v>24.86</v>
      </c>
    </row>
  </sheetData>
  <phoneticPr fontId="11" type="noConversion"/>
  <pageMargins left="0.75" right="0.75" top="1" bottom="1" header="0.5" footer="0.5"/>
  <pageSetup paperSize="9"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9951-67D8-784F-A1BB-F4C7A9B875C3}">
  <dimension ref="B1:I873"/>
  <sheetViews>
    <sheetView zoomScaleNormal="100" workbookViewId="0">
      <selection activeCell="B5" sqref="B5"/>
    </sheetView>
  </sheetViews>
  <sheetFormatPr baseColWidth="10" defaultColWidth="10.6640625" defaultRowHeight="15" x14ac:dyDescent="0.2"/>
  <cols>
    <col min="1" max="1" width="5.6640625" customWidth="1"/>
    <col min="2" max="2" width="10.83203125" style="11"/>
    <col min="3" max="3" width="10.83203125" style="12"/>
    <col min="4" max="4" width="12.33203125" style="10" customWidth="1"/>
    <col min="5" max="5" width="14" style="13" customWidth="1"/>
    <col min="6" max="6" width="14.33203125" style="13" customWidth="1"/>
    <col min="8" max="8" width="11" customWidth="1"/>
  </cols>
  <sheetData>
    <row r="1" spans="2:9" ht="16" thickBot="1" x14ac:dyDescent="0.25"/>
    <row r="2" spans="2:9" x14ac:dyDescent="0.2">
      <c r="B2" s="98" t="s">
        <v>77</v>
      </c>
      <c r="C2" s="96"/>
      <c r="D2" s="97"/>
      <c r="E2" s="31" t="s">
        <v>40</v>
      </c>
      <c r="F2" s="32"/>
      <c r="G2" s="32"/>
      <c r="H2" s="32"/>
      <c r="I2" s="33"/>
    </row>
    <row r="3" spans="2:9" x14ac:dyDescent="0.2">
      <c r="B3" s="7" t="s">
        <v>33</v>
      </c>
      <c r="C3" s="8"/>
      <c r="D3" s="8"/>
      <c r="E3" s="34" t="s">
        <v>23</v>
      </c>
      <c r="F3" s="9"/>
      <c r="G3" s="9"/>
      <c r="H3" s="9"/>
      <c r="I3" s="35"/>
    </row>
    <row r="4" spans="2:9" ht="43" customHeight="1" x14ac:dyDescent="0.2">
      <c r="B4" s="2" t="s">
        <v>27</v>
      </c>
      <c r="C4" s="14" t="s">
        <v>25</v>
      </c>
      <c r="D4" s="6" t="s">
        <v>16</v>
      </c>
      <c r="E4" s="36" t="s">
        <v>17</v>
      </c>
      <c r="F4" s="37" t="s">
        <v>28</v>
      </c>
      <c r="G4" s="2" t="s">
        <v>20</v>
      </c>
      <c r="H4" s="2" t="s">
        <v>21</v>
      </c>
      <c r="I4" s="38" t="s">
        <v>34</v>
      </c>
    </row>
    <row r="5" spans="2:9" ht="16" x14ac:dyDescent="0.2">
      <c r="B5" s="94">
        <v>1</v>
      </c>
      <c r="C5" s="91">
        <v>38966</v>
      </c>
      <c r="D5" s="92">
        <v>15.42</v>
      </c>
      <c r="E5" s="50" cm="1">
        <f t="array" ref="E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89.876437664618081</v>
      </c>
      <c r="F5" s="48" cm="1">
        <f t="array" ref="F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66.440444834650279</v>
      </c>
      <c r="G5" s="19">
        <f>tbl_Monitoring[[#This Row],[Area (km2)]]/4046.8564224*1000000</f>
        <v>3810.3649822236894</v>
      </c>
      <c r="H5" s="19">
        <f>tbl_Monitoring[[#This Row],[Volume (MCM)]]/1233.4818375475*1000000</f>
        <v>72864.01382554369</v>
      </c>
      <c r="I5" s="39">
        <f>tbl_Monitoring[[#This Row],[Elevation (SRTM30-m)]]*3.280839895</f>
        <v>217.98046205506733</v>
      </c>
    </row>
    <row r="6" spans="2:9" ht="16" x14ac:dyDescent="0.2">
      <c r="B6" s="90">
        <v>2</v>
      </c>
      <c r="C6" s="91">
        <v>38982</v>
      </c>
      <c r="D6" s="92">
        <v>14.6</v>
      </c>
      <c r="E6" s="51" cm="1">
        <f t="array" ref="E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83.250204126426681</v>
      </c>
      <c r="F6" s="49" cm="1">
        <f t="array" ref="F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66.040483855233632</v>
      </c>
      <c r="G6" s="20">
        <f>tbl_Monitoring[[#This Row],[Area (km2)]]/4046.8564224*1000000</f>
        <v>3607.7385694206137</v>
      </c>
      <c r="H6" s="20">
        <f>tbl_Monitoring[[#This Row],[Volume (MCM)]]/1233.4818375475*1000000</f>
        <v>67492.038870998629</v>
      </c>
      <c r="I6" s="40">
        <f>tbl_Monitoring[[#This Row],[Elevation (SRTM30-m)]]*3.280839895</f>
        <v>216.66825411735391</v>
      </c>
    </row>
    <row r="7" spans="2:9" ht="16" x14ac:dyDescent="0.2">
      <c r="B7" s="90">
        <v>3</v>
      </c>
      <c r="C7" s="91">
        <v>39014</v>
      </c>
      <c r="D7" s="92">
        <v>15.72</v>
      </c>
      <c r="E7" s="51" cm="1">
        <f t="array" ref="E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92.300669446883234</v>
      </c>
      <c r="F7" s="49" cm="1">
        <f t="array" ref="F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66.586772022241732</v>
      </c>
      <c r="G7" s="20">
        <f>tbl_Monitoring[[#This Row],[Area (km2)]]/4046.8564224*1000000</f>
        <v>3884.4965966638392</v>
      </c>
      <c r="H7" s="20">
        <f>tbl_Monitoring[[#This Row],[Volume (MCM)]]/1233.4818375475*1000000</f>
        <v>74829.37051623092</v>
      </c>
      <c r="I7" s="40">
        <f>tbl_Monitoring[[#This Row],[Elevation (SRTM30-m)]]*3.280839895</f>
        <v>218.4605381298405</v>
      </c>
    </row>
    <row r="8" spans="2:9" ht="16" x14ac:dyDescent="0.2">
      <c r="B8" s="90">
        <v>4</v>
      </c>
      <c r="C8" s="91">
        <v>39174</v>
      </c>
      <c r="D8" s="92">
        <v>32.56</v>
      </c>
      <c r="E8" s="51" cm="1">
        <f t="array" ref="E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215.47146378162452</v>
      </c>
      <c r="F8" s="49" cm="1">
        <f t="array" ref="F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71.58203876313064</v>
      </c>
      <c r="G8" s="20">
        <f>tbl_Monitoring[[#This Row],[Area (km2)]]/4046.8564224*1000000</f>
        <v>8045.7512205709036</v>
      </c>
      <c r="H8" s="20">
        <f>tbl_Monitoring[[#This Row],[Volume (MCM)]]/1233.4818375475*1000000</f>
        <v>174685.55857299111</v>
      </c>
      <c r="I8" s="40">
        <f>tbl_Monitoring[[#This Row],[Elevation (SRTM30-m)]]*3.280839895</f>
        <v>234.84920853951547</v>
      </c>
    </row>
    <row r="9" spans="2:9" ht="16" x14ac:dyDescent="0.2">
      <c r="B9" s="90">
        <v>5</v>
      </c>
      <c r="C9" s="91">
        <v>39190</v>
      </c>
      <c r="D9" s="92">
        <v>31.8</v>
      </c>
      <c r="E9" s="51" cm="1">
        <f t="array" ref="E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209.92362280768501</v>
      </c>
      <c r="F9" s="49" cm="1">
        <f t="array" ref="F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71.421406378796519</v>
      </c>
      <c r="G9" s="20">
        <f>tbl_Monitoring[[#This Row],[Area (km2)]]/4046.8564224*1000000</f>
        <v>7857.9511306558579</v>
      </c>
      <c r="H9" s="20">
        <f>tbl_Monitoring[[#This Row],[Volume (MCM)]]/1233.4818375475*1000000</f>
        <v>170187.85069836999</v>
      </c>
      <c r="I9" s="40">
        <f>tbl_Monitoring[[#This Row],[Elevation (SRTM30-m)]]*3.280839895</f>
        <v>234.32219940456312</v>
      </c>
    </row>
    <row r="10" spans="2:9" ht="16" x14ac:dyDescent="0.2">
      <c r="B10" s="90">
        <v>6</v>
      </c>
      <c r="C10" s="91">
        <v>39206</v>
      </c>
      <c r="D10" s="92">
        <v>31.49</v>
      </c>
      <c r="E10" s="51" cm="1">
        <f t="array" ref="E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207.66068767357808</v>
      </c>
      <c r="F10" s="49" cm="1">
        <f t="array" ref="F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71.355885274660238</v>
      </c>
      <c r="G10" s="20">
        <f>tbl_Monitoring[[#This Row],[Area (km2)]]/4046.8564224*1000000</f>
        <v>7781.3484624010362</v>
      </c>
      <c r="H10" s="20">
        <f>tbl_Monitoring[[#This Row],[Volume (MCM)]]/1233.4818375475*1000000</f>
        <v>168353.25932845875</v>
      </c>
      <c r="I10" s="40">
        <f>tbl_Monitoring[[#This Row],[Elevation (SRTM30-m)]]*3.280839895</f>
        <v>234.10723515214835</v>
      </c>
    </row>
    <row r="11" spans="2:9" ht="16" x14ac:dyDescent="0.2">
      <c r="B11" s="90">
        <v>7</v>
      </c>
      <c r="C11" s="91">
        <v>39286</v>
      </c>
      <c r="D11" s="92">
        <v>61</v>
      </c>
      <c r="E11" s="51" cm="1">
        <f t="array" ref="E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419.26778796522109</v>
      </c>
      <c r="F11" s="49" cm="1">
        <f t="array" ref="F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75.761189457934236</v>
      </c>
      <c r="G11" s="20">
        <f>tbl_Monitoring[[#This Row],[Area (km2)]]/4046.8564224*1000000</f>
        <v>15073.428269497086</v>
      </c>
      <c r="H11" s="20">
        <f>tbl_Monitoring[[#This Row],[Volume (MCM)]]/1233.4818375475*1000000</f>
        <v>339905.92743452173</v>
      </c>
      <c r="I11" s="40">
        <f>tbl_Monitoring[[#This Row],[Elevation (SRTM30-m)]]*3.280839895</f>
        <v>248.56033286624407</v>
      </c>
    </row>
    <row r="12" spans="2:9" ht="16" x14ac:dyDescent="0.2">
      <c r="B12" s="90">
        <v>8</v>
      </c>
      <c r="C12" s="91">
        <v>39302</v>
      </c>
      <c r="D12" s="92">
        <v>59.72</v>
      </c>
      <c r="E12" s="51" cm="1">
        <f t="array" ref="E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409.76313310359455</v>
      </c>
      <c r="F12" s="49" cm="1">
        <f t="array" ref="F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75.610386550265673</v>
      </c>
      <c r="G12" s="20">
        <f>tbl_Monitoring[[#This Row],[Area (km2)]]/4046.8564224*1000000</f>
        <v>14757.133381219113</v>
      </c>
      <c r="H12" s="20">
        <f>tbl_Monitoring[[#This Row],[Volume (MCM)]]/1233.4818375475*1000000</f>
        <v>332200.37833578157</v>
      </c>
      <c r="I12" s="40">
        <f>tbl_Monitoring[[#This Row],[Elevation (SRTM30-m)]]*3.280839895</f>
        <v>248.06557267048305</v>
      </c>
    </row>
    <row r="13" spans="2:9" ht="16" x14ac:dyDescent="0.2">
      <c r="B13" s="90">
        <v>9</v>
      </c>
      <c r="C13" s="91">
        <v>39334</v>
      </c>
      <c r="D13" s="92">
        <v>58.55</v>
      </c>
      <c r="E13" s="51" cm="1">
        <f t="array" ref="E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401.07528451913902</v>
      </c>
      <c r="F13" s="49" cm="1">
        <f t="array" ref="F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75.472543267474876</v>
      </c>
      <c r="G13" s="20">
        <f>tbl_Monitoring[[#This Row],[Area (km2)]]/4046.8564224*1000000</f>
        <v>14468.02008490253</v>
      </c>
      <c r="H13" s="20">
        <f>tbl_Monitoring[[#This Row],[Volume (MCM)]]/1233.4818375475*1000000</f>
        <v>325157.02486271434</v>
      </c>
      <c r="I13" s="40">
        <f>tbl_Monitoring[[#This Row],[Elevation (SRTM30-m)]]*3.280839895</f>
        <v>247.61333092904525</v>
      </c>
    </row>
    <row r="14" spans="2:9" ht="16" x14ac:dyDescent="0.2">
      <c r="B14" s="90">
        <v>10</v>
      </c>
      <c r="C14" s="91">
        <v>39350</v>
      </c>
      <c r="D14" s="92">
        <v>57.62</v>
      </c>
      <c r="E14" s="51" cm="1">
        <f t="array" ref="E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394.16955872123845</v>
      </c>
      <c r="F14" s="49" cm="1">
        <f t="array" ref="F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75.362975529871932</v>
      </c>
      <c r="G14" s="20">
        <f>tbl_Monitoring[[#This Row],[Area (km2)]]/4046.8564224*1000000</f>
        <v>14238.212080138066</v>
      </c>
      <c r="H14" s="20">
        <f>tbl_Monitoring[[#This Row],[Volume (MCM)]]/1233.4818375475*1000000</f>
        <v>319558.46184566087</v>
      </c>
      <c r="I14" s="40">
        <f>tbl_Monitoring[[#This Row],[Elevation (SRTM30-m)]]*3.280839895</f>
        <v>247.25385672431261</v>
      </c>
    </row>
    <row r="15" spans="2:9" ht="16" x14ac:dyDescent="0.2">
      <c r="B15" s="90">
        <v>11</v>
      </c>
      <c r="C15" s="91">
        <v>39366</v>
      </c>
      <c r="D15" s="92">
        <v>56.13</v>
      </c>
      <c r="E15" s="51" cm="1">
        <f t="array" ref="E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383.10554642137635</v>
      </c>
      <c r="F15" s="49" cm="1">
        <f t="array" ref="F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75.187431520163997</v>
      </c>
      <c r="G15" s="20">
        <f>tbl_Monitoring[[#This Row],[Area (km2)]]/4046.8564224*1000000</f>
        <v>13870.025061751991</v>
      </c>
      <c r="H15" s="20">
        <f>tbl_Monitoring[[#This Row],[Volume (MCM)]]/1233.4818375475*1000000</f>
        <v>310588.72109790868</v>
      </c>
      <c r="I15" s="40">
        <f>tbl_Monitoring[[#This Row],[Elevation (SRTM30-m)]]*3.280839895</f>
        <v>246.67792493393455</v>
      </c>
    </row>
    <row r="16" spans="2:9" ht="16" x14ac:dyDescent="0.2">
      <c r="B16" s="90">
        <v>12</v>
      </c>
      <c r="C16" s="91">
        <v>39478</v>
      </c>
      <c r="D16" s="92">
        <v>60.93</v>
      </c>
      <c r="E16" s="51" cm="1">
        <f t="array" ref="E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418.74800215247586</v>
      </c>
      <c r="F16" s="49" cm="1">
        <f t="array" ref="F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75.752942423921112</v>
      </c>
      <c r="G16" s="20">
        <f>tbl_Monitoring[[#This Row],[Area (km2)]]/4046.8564224*1000000</f>
        <v>15056.130892794385</v>
      </c>
      <c r="H16" s="20">
        <f>tbl_Monitoring[[#This Row],[Volume (MCM)]]/1233.4818375475*1000000</f>
        <v>339484.5302181844</v>
      </c>
      <c r="I16" s="40">
        <f>tbl_Monitoring[[#This Row],[Elevation (SRTM30-m)]]*3.280839895</f>
        <v>248.53327566803841</v>
      </c>
    </row>
    <row r="17" spans="2:9" ht="16" x14ac:dyDescent="0.2">
      <c r="B17" s="90">
        <v>13</v>
      </c>
      <c r="C17" s="91">
        <v>39510</v>
      </c>
      <c r="D17" s="92">
        <v>59.01</v>
      </c>
      <c r="E17" s="51" cm="1">
        <f t="array" ref="E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404.49101986003603</v>
      </c>
      <c r="F17" s="49" cm="1">
        <f t="array" ref="F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75.526738062418261</v>
      </c>
      <c r="G17" s="20">
        <f>tbl_Monitoring[[#This Row],[Area (km2)]]/4046.8564224*1000000</f>
        <v>14581.688560377426</v>
      </c>
      <c r="H17" s="20">
        <f>tbl_Monitoring[[#This Row],[Volume (MCM)]]/1233.4818375475*1000000</f>
        <v>327926.20657007408</v>
      </c>
      <c r="I17" s="40">
        <f>tbl_Monitoring[[#This Row],[Elevation (SRTM30-m)]]*3.280839895</f>
        <v>247.79113537439684</v>
      </c>
    </row>
    <row r="18" spans="2:9" ht="16" x14ac:dyDescent="0.2">
      <c r="B18" s="90">
        <v>14</v>
      </c>
      <c r="C18" s="91">
        <v>39526</v>
      </c>
      <c r="D18" s="92">
        <v>58.94</v>
      </c>
      <c r="E18" s="51" cm="1">
        <f t="array" ref="E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403.97123404729086</v>
      </c>
      <c r="F18" s="49" cm="1">
        <f t="array" ref="F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75.518491028405137</v>
      </c>
      <c r="G18" s="20">
        <f>tbl_Monitoring[[#This Row],[Area (km2)]]/4046.8564224*1000000</f>
        <v>14564.391183674725</v>
      </c>
      <c r="H18" s="20">
        <f>tbl_Monitoring[[#This Row],[Volume (MCM)]]/1233.4818375475*1000000</f>
        <v>327504.80935373675</v>
      </c>
      <c r="I18" s="40">
        <f>tbl_Monitoring[[#This Row],[Elevation (SRTM30-m)]]*3.280839895</f>
        <v>247.76407817619116</v>
      </c>
    </row>
    <row r="19" spans="2:9" ht="16" x14ac:dyDescent="0.2">
      <c r="B19" s="90">
        <v>15</v>
      </c>
      <c r="C19" s="91">
        <v>39542</v>
      </c>
      <c r="D19" s="92">
        <v>58.78</v>
      </c>
      <c r="E19" s="51" cm="1">
        <f t="array" ref="E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402.78315218958755</v>
      </c>
      <c r="F19" s="49" cm="1">
        <f t="array" ref="F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75.499640664946568</v>
      </c>
      <c r="G19" s="20">
        <f>tbl_Monitoring[[#This Row],[Area (km2)]]/4046.8564224*1000000</f>
        <v>14524.85432263998</v>
      </c>
      <c r="H19" s="20">
        <f>tbl_Monitoring[[#This Row],[Volume (MCM)]]/1233.4818375475*1000000</f>
        <v>326541.61571639421</v>
      </c>
      <c r="I19" s="40">
        <f>tbl_Monitoring[[#This Row],[Elevation (SRTM30-m)]]*3.280839895</f>
        <v>247.70223315172103</v>
      </c>
    </row>
    <row r="20" spans="2:9" ht="16" x14ac:dyDescent="0.2">
      <c r="B20" s="90">
        <v>16</v>
      </c>
      <c r="C20" s="91">
        <v>39558</v>
      </c>
      <c r="D20" s="92">
        <v>57.1</v>
      </c>
      <c r="E20" s="51" cm="1">
        <f t="array" ref="E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390.30829268370269</v>
      </c>
      <c r="F20" s="49" cm="1">
        <f t="array" ref="F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75.301711848631584</v>
      </c>
      <c r="G20" s="20">
        <f>tbl_Monitoring[[#This Row],[Area (km2)]]/4046.8564224*1000000</f>
        <v>14109.71728177514</v>
      </c>
      <c r="H20" s="20">
        <f>tbl_Monitoring[[#This Row],[Volume (MCM)]]/1233.4818375475*1000000</f>
        <v>316428.0825242977</v>
      </c>
      <c r="I20" s="40">
        <f>tbl_Monitoring[[#This Row],[Elevation (SRTM30-m)]]*3.280839895</f>
        <v>247.05286039478472</v>
      </c>
    </row>
    <row r="21" spans="2:9" ht="16" x14ac:dyDescent="0.2">
      <c r="B21" s="90">
        <v>17</v>
      </c>
      <c r="C21" s="91">
        <v>39590</v>
      </c>
      <c r="D21" s="92">
        <v>53.81</v>
      </c>
      <c r="E21" s="51" cm="1">
        <f t="array" ref="E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366.18033298623169</v>
      </c>
      <c r="F21" s="49" cm="1">
        <f t="array" ref="F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74.906269685165896</v>
      </c>
      <c r="G21" s="20">
        <f>tbl_Monitoring[[#This Row],[Area (km2)]]/4046.8564224*1000000</f>
        <v>13296.740576748169</v>
      </c>
      <c r="H21" s="20">
        <f>tbl_Monitoring[[#This Row],[Volume (MCM)]]/1233.4818375475*1000000</f>
        <v>296867.22725832637</v>
      </c>
      <c r="I21" s="40">
        <f>tbl_Monitoring[[#This Row],[Elevation (SRTM30-m)]]*3.280839895</f>
        <v>245.75547796872138</v>
      </c>
    </row>
    <row r="22" spans="2:9" ht="16" x14ac:dyDescent="0.2">
      <c r="B22" s="90">
        <v>18</v>
      </c>
      <c r="C22" s="91">
        <v>39606</v>
      </c>
      <c r="D22" s="92">
        <v>52.9</v>
      </c>
      <c r="E22" s="51" cm="1">
        <f t="array" ref="E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359.80001480967258</v>
      </c>
      <c r="F22" s="49" cm="1">
        <f t="array" ref="F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74.789283556378322</v>
      </c>
      <c r="G22" s="20">
        <f>tbl_Monitoring[[#This Row],[Area (km2)]]/4046.8564224*1000000</f>
        <v>13071.874679613045</v>
      </c>
      <c r="H22" s="20">
        <f>tbl_Monitoring[[#This Row],[Volume (MCM)]]/1233.4818375475*1000000</f>
        <v>291694.61913201225</v>
      </c>
      <c r="I22" s="40">
        <f>tbl_Monitoring[[#This Row],[Elevation (SRTM30-m)]]*3.280839895</f>
        <v>245.37166521023349</v>
      </c>
    </row>
    <row r="23" spans="2:9" ht="16" x14ac:dyDescent="0.2">
      <c r="B23" s="90">
        <v>19</v>
      </c>
      <c r="C23" s="91">
        <v>39654</v>
      </c>
      <c r="D23" s="92">
        <v>49.63</v>
      </c>
      <c r="E23" s="51" cm="1">
        <f t="array" ref="E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336.8729374059933</v>
      </c>
      <c r="F23" s="49" cm="1">
        <f t="array" ref="F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74.368904829855893</v>
      </c>
      <c r="G23" s="20">
        <f>tbl_Monitoring[[#This Row],[Area (km2)]]/4046.8564224*1000000</f>
        <v>12263.840082215416</v>
      </c>
      <c r="H23" s="20">
        <f>tbl_Monitoring[[#This Row],[Volume (MCM)]]/1233.4818375475*1000000</f>
        <v>273107.33498580661</v>
      </c>
      <c r="I23" s="40">
        <f>tbl_Monitoring[[#This Row],[Elevation (SRTM30-m)]]*3.280839895</f>
        <v>243.99246991324941</v>
      </c>
    </row>
    <row r="24" spans="2:9" ht="16" x14ac:dyDescent="0.2">
      <c r="B24" s="90">
        <v>20</v>
      </c>
      <c r="C24" s="91">
        <v>39670</v>
      </c>
      <c r="D24" s="92">
        <v>58.01</v>
      </c>
      <c r="E24" s="51" cm="1">
        <f t="array" ref="E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397.06550824939029</v>
      </c>
      <c r="F24" s="49" cm="1">
        <f t="array" ref="F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75.408923290802207</v>
      </c>
      <c r="G24" s="20">
        <f>tbl_Monitoring[[#This Row],[Area (km2)]]/4046.8564224*1000000</f>
        <v>14334.583178910261</v>
      </c>
      <c r="H24" s="20">
        <f>tbl_Monitoring[[#This Row],[Volume (MCM)]]/1233.4818375475*1000000</f>
        <v>321906.24633668328</v>
      </c>
      <c r="I24" s="40">
        <f>tbl_Monitoring[[#This Row],[Elevation (SRTM30-m)]]*3.280839895</f>
        <v>247.40460397145858</v>
      </c>
    </row>
    <row r="25" spans="2:9" ht="16" x14ac:dyDescent="0.2">
      <c r="B25" s="90">
        <v>21</v>
      </c>
      <c r="C25" s="91">
        <v>39686</v>
      </c>
      <c r="D25" s="92">
        <v>55.32</v>
      </c>
      <c r="E25" s="51" cm="1">
        <f t="array" ref="E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377.09088201675331</v>
      </c>
      <c r="F25" s="49" cm="1">
        <f t="array" ref="F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75.09200155515498</v>
      </c>
      <c r="G25" s="20">
        <f>tbl_Monitoring[[#This Row],[Area (km2)]]/4046.8564224*1000000</f>
        <v>13669.869702763586</v>
      </c>
      <c r="H25" s="20">
        <f>tbl_Monitoring[[#This Row],[Volume (MCM)]]/1233.4818375475*1000000</f>
        <v>305712.55330886215</v>
      </c>
      <c r="I25" s="40">
        <f>tbl_Monitoring[[#This Row],[Elevation (SRTM30-m)]]*3.280839895</f>
        <v>246.36483449755451</v>
      </c>
    </row>
    <row r="26" spans="2:9" ht="16" x14ac:dyDescent="0.2">
      <c r="B26" s="90">
        <v>22</v>
      </c>
      <c r="C26" s="91">
        <v>39702</v>
      </c>
      <c r="D26" s="92">
        <v>54.47</v>
      </c>
      <c r="E26" s="51" cm="1">
        <f t="array" ref="E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370.80781649890088</v>
      </c>
      <c r="F26" s="49" cm="1">
        <f t="array" ref="F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74.991116767583279</v>
      </c>
      <c r="G26" s="20">
        <f>tbl_Monitoring[[#This Row],[Area (km2)]]/4046.8564224*1000000</f>
        <v>13459.830128516494</v>
      </c>
      <c r="H26" s="20">
        <f>tbl_Monitoring[[#This Row],[Volume (MCM)]]/1233.4818375475*1000000</f>
        <v>300618.78919609264</v>
      </c>
      <c r="I26" s="40">
        <f>tbl_Monitoring[[#This Row],[Elevation (SRTM30-m)]]*3.280839895</f>
        <v>246.03384766169069</v>
      </c>
    </row>
    <row r="27" spans="2:9" ht="16" x14ac:dyDescent="0.2">
      <c r="B27" s="90">
        <v>23</v>
      </c>
      <c r="C27" s="91">
        <v>39718</v>
      </c>
      <c r="D27" s="92">
        <v>49.75</v>
      </c>
      <c r="E27" s="51" cm="1">
        <f t="array" ref="E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337.71429804466044</v>
      </c>
      <c r="F27" s="49" cm="1">
        <f t="array" ref="F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74.384331572113595</v>
      </c>
      <c r="G27" s="20">
        <f>tbl_Monitoring[[#This Row],[Area (km2)]]/4046.8564224*1000000</f>
        <v>12293.492727991475</v>
      </c>
      <c r="H27" s="20">
        <f>tbl_Monitoring[[#This Row],[Volume (MCM)]]/1233.4818375475*1000000</f>
        <v>273789.43715630955</v>
      </c>
      <c r="I27" s="40">
        <f>tbl_Monitoring[[#This Row],[Elevation (SRTM30-m)]]*3.280839895</f>
        <v>244.04308258469837</v>
      </c>
    </row>
    <row r="28" spans="2:9" ht="16" x14ac:dyDescent="0.2">
      <c r="B28" s="90">
        <v>24</v>
      </c>
      <c r="C28" s="91">
        <v>39734</v>
      </c>
      <c r="D28" s="92">
        <v>51.23</v>
      </c>
      <c r="E28" s="51" cm="1">
        <f t="array" ref="E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348.09107925488837</v>
      </c>
      <c r="F28" s="49" cm="1">
        <f t="array" ref="F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74.574594726625278</v>
      </c>
      <c r="G28" s="20">
        <f>tbl_Monitoring[[#This Row],[Area (km2)]]/4046.8564224*1000000</f>
        <v>12659.208692562879</v>
      </c>
      <c r="H28" s="20">
        <f>tbl_Monitoring[[#This Row],[Volume (MCM)]]/1233.4818375475*1000000</f>
        <v>282202.03059251269</v>
      </c>
      <c r="I28" s="40">
        <f>tbl_Monitoring[[#This Row],[Elevation (SRTM30-m)]]*3.280839895</f>
        <v>244.66730553256883</v>
      </c>
    </row>
    <row r="29" spans="2:9" ht="16" x14ac:dyDescent="0.2">
      <c r="B29" s="90">
        <v>25</v>
      </c>
      <c r="C29" s="91">
        <v>39750</v>
      </c>
      <c r="D29" s="92">
        <v>49.75</v>
      </c>
      <c r="E29" s="51" cm="1">
        <f t="array" ref="E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337.71429804466044</v>
      </c>
      <c r="F29" s="49" cm="1">
        <f t="array" ref="F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74.384331572113595</v>
      </c>
      <c r="G29" s="20">
        <f>tbl_Monitoring[[#This Row],[Area (km2)]]/4046.8564224*1000000</f>
        <v>12293.492727991475</v>
      </c>
      <c r="H29" s="20">
        <f>tbl_Monitoring[[#This Row],[Volume (MCM)]]/1233.4818375475*1000000</f>
        <v>273789.43715630955</v>
      </c>
      <c r="I29" s="40">
        <f>tbl_Monitoring[[#This Row],[Elevation (SRTM30-m)]]*3.280839895</f>
        <v>244.04308258469837</v>
      </c>
    </row>
    <row r="30" spans="2:9" ht="16" x14ac:dyDescent="0.2">
      <c r="B30" s="90">
        <v>26</v>
      </c>
      <c r="C30" s="91">
        <v>39766</v>
      </c>
      <c r="D30" s="92">
        <v>47.87</v>
      </c>
      <c r="E30" s="51" cm="1">
        <f t="array" ref="E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324.53298137220872</v>
      </c>
      <c r="F30" s="49" cm="1">
        <f t="array" ref="F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74.142645943409562</v>
      </c>
      <c r="G30" s="20">
        <f>tbl_Monitoring[[#This Row],[Area (km2)]]/4046.8564224*1000000</f>
        <v>11828.934610833205</v>
      </c>
      <c r="H30" s="20">
        <f>tbl_Monitoring[[#This Row],[Volume (MCM)]]/1233.4818375475*1000000</f>
        <v>263103.1698184298</v>
      </c>
      <c r="I30" s="40">
        <f>tbl_Monitoring[[#This Row],[Elevation (SRTM30-m)]]*3.280839895</f>
        <v>243.25015073199802</v>
      </c>
    </row>
    <row r="31" spans="2:9" ht="16" x14ac:dyDescent="0.2">
      <c r="B31" s="90">
        <v>27</v>
      </c>
      <c r="C31" s="91">
        <v>39782</v>
      </c>
      <c r="D31" s="92">
        <v>46.89</v>
      </c>
      <c r="E31" s="51" cm="1">
        <f t="array" ref="E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317.66186948976053</v>
      </c>
      <c r="F31" s="49" cm="1">
        <f t="array" ref="F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74.016660881638316</v>
      </c>
      <c r="G31" s="20">
        <f>tbl_Monitoring[[#This Row],[Area (km2)]]/4046.8564224*1000000</f>
        <v>11586.771336995382</v>
      </c>
      <c r="H31" s="20">
        <f>tbl_Monitoring[[#This Row],[Volume (MCM)]]/1233.4818375475*1000000</f>
        <v>257532.66875932235</v>
      </c>
      <c r="I31" s="40">
        <f>tbl_Monitoring[[#This Row],[Elevation (SRTM30-m)]]*3.280839895</f>
        <v>242.83681391516487</v>
      </c>
    </row>
    <row r="32" spans="2:9" ht="16" x14ac:dyDescent="0.2">
      <c r="B32" s="90">
        <v>28</v>
      </c>
      <c r="C32" s="91">
        <v>39878</v>
      </c>
      <c r="D32" s="92">
        <v>54.84</v>
      </c>
      <c r="E32" s="51" cm="1">
        <f t="array" ref="E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373.52663644364338</v>
      </c>
      <c r="F32" s="49" cm="1">
        <f t="array" ref="F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75.035450464779274</v>
      </c>
      <c r="G32" s="20">
        <f>tbl_Monitoring[[#This Row],[Area (km2)]]/4046.8564224*1000000</f>
        <v>13551.259119659348</v>
      </c>
      <c r="H32" s="20">
        <f>tbl_Monitoring[[#This Row],[Volume (MCM)]]/1233.4818375475*1000000</f>
        <v>302822.97239683458</v>
      </c>
      <c r="I32" s="40">
        <f>tbl_Monitoring[[#This Row],[Elevation (SRTM30-m)]]*3.280839895</f>
        <v>246.17929942414415</v>
      </c>
    </row>
    <row r="33" spans="2:9" ht="16" x14ac:dyDescent="0.2">
      <c r="B33" s="90">
        <v>29</v>
      </c>
      <c r="C33" s="91">
        <v>39926</v>
      </c>
      <c r="D33" s="92">
        <v>56.55</v>
      </c>
      <c r="E33" s="51" cm="1">
        <f t="array" ref="E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386.22426129784753</v>
      </c>
      <c r="F33" s="49" cm="1">
        <f t="array" ref="F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75.23691372424274</v>
      </c>
      <c r="G33" s="20">
        <f>tbl_Monitoring[[#This Row],[Area (km2)]]/4046.8564224*1000000</f>
        <v>13973.8093219682</v>
      </c>
      <c r="H33" s="20">
        <f>tbl_Monitoring[[#This Row],[Volume (MCM)]]/1233.4818375475*1000000</f>
        <v>313117.10439593275</v>
      </c>
      <c r="I33" s="40">
        <f>tbl_Monitoring[[#This Row],[Elevation (SRTM30-m)]]*3.280839895</f>
        <v>246.84026812316861</v>
      </c>
    </row>
    <row r="34" spans="2:9" ht="16" x14ac:dyDescent="0.2">
      <c r="B34" s="90">
        <v>30</v>
      </c>
      <c r="C34" s="91">
        <v>39942</v>
      </c>
      <c r="D34" s="92">
        <v>56.51</v>
      </c>
      <c r="E34" s="51" cm="1">
        <f t="array" ref="E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385.92724083342171</v>
      </c>
      <c r="F34" s="49" cm="1">
        <f t="array" ref="F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75.232201133378098</v>
      </c>
      <c r="G34" s="20">
        <f>tbl_Monitoring[[#This Row],[Area (km2)]]/4046.8564224*1000000</f>
        <v>13963.925106709514</v>
      </c>
      <c r="H34" s="20">
        <f>tbl_Monitoring[[#This Row],[Volume (MCM)]]/1233.4818375475*1000000</f>
        <v>312876.30598659714</v>
      </c>
      <c r="I34" s="40">
        <f>tbl_Monitoring[[#This Row],[Elevation (SRTM30-m)]]*3.280839895</f>
        <v>246.82480686705108</v>
      </c>
    </row>
    <row r="35" spans="2:9" ht="16" x14ac:dyDescent="0.2">
      <c r="B35" s="90">
        <v>31</v>
      </c>
      <c r="C35" s="91">
        <v>39958</v>
      </c>
      <c r="D35" s="92">
        <v>54.1</v>
      </c>
      <c r="E35" s="51" cm="1">
        <f t="array" ref="E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368.21362119634387</v>
      </c>
      <c r="F35" s="49" cm="1">
        <f t="array" ref="F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74.943550978955358</v>
      </c>
      <c r="G35" s="20">
        <f>tbl_Monitoring[[#This Row],[Area (km2)]]/4046.8564224*1000000</f>
        <v>13368.401137373645</v>
      </c>
      <c r="H35" s="20">
        <f>tbl_Monitoring[[#This Row],[Volume (MCM)]]/1233.4818375475*1000000</f>
        <v>298515.64083704184</v>
      </c>
      <c r="I35" s="40">
        <f>tbl_Monitoring[[#This Row],[Elevation (SRTM30-m)]]*3.280839895</f>
        <v>245.87779192472306</v>
      </c>
    </row>
    <row r="36" spans="2:9" ht="16" x14ac:dyDescent="0.2">
      <c r="B36" s="90">
        <v>32</v>
      </c>
      <c r="C36" s="91">
        <v>39974</v>
      </c>
      <c r="D36" s="92">
        <v>52.22</v>
      </c>
      <c r="E36" s="51" cm="1">
        <f t="array" ref="E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355.03230452389221</v>
      </c>
      <c r="F36" s="49" cm="1">
        <f t="array" ref="F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74.701865350251325</v>
      </c>
      <c r="G36" s="20">
        <f>tbl_Monitoring[[#This Row],[Area (km2)]]/4046.8564224*1000000</f>
        <v>12903.843020215372</v>
      </c>
      <c r="H36" s="20">
        <f>tbl_Monitoring[[#This Row],[Volume (MCM)]]/1233.4818375475*1000000</f>
        <v>287829.37349916215</v>
      </c>
      <c r="I36" s="40">
        <f>tbl_Monitoring[[#This Row],[Elevation (SRTM30-m)]]*3.280839895</f>
        <v>245.08486007202271</v>
      </c>
    </row>
    <row r="37" spans="2:9" ht="16" x14ac:dyDescent="0.2">
      <c r="B37" s="90">
        <v>33</v>
      </c>
      <c r="C37" s="91">
        <v>39990</v>
      </c>
      <c r="D37" s="92">
        <v>49.16</v>
      </c>
      <c r="E37" s="51" cm="1">
        <f t="array" ref="E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333.57760823788038</v>
      </c>
      <c r="F37" s="49" cm="1">
        <f t="array" ref="F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74.308483422679885</v>
      </c>
      <c r="G37" s="20">
        <f>tbl_Monitoring[[#This Row],[Area (km2)]]/4046.8564224*1000000</f>
        <v>12147.700552925846</v>
      </c>
      <c r="H37" s="20">
        <f>tbl_Monitoring[[#This Row],[Volume (MCM)]]/1233.4818375475*1000000</f>
        <v>270435.76815133664</v>
      </c>
      <c r="I37" s="40">
        <f>tbl_Monitoring[[#This Row],[Elevation (SRTM30-m)]]*3.280839895</f>
        <v>243.79423695007432</v>
      </c>
    </row>
    <row r="38" spans="2:9" ht="16" x14ac:dyDescent="0.2">
      <c r="B38" s="90">
        <v>34</v>
      </c>
      <c r="C38" s="91">
        <v>40070</v>
      </c>
      <c r="D38" s="92">
        <v>36.68</v>
      </c>
      <c r="E38" s="51" cm="1">
        <f t="array" ref="E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245.38562400648823</v>
      </c>
      <c r="F38" s="49" cm="1">
        <f t="array" ref="F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72.386140398305855</v>
      </c>
      <c r="G38" s="20">
        <f>tbl_Monitoring[[#This Row],[Area (km2)]]/4046.8564224*1000000</f>
        <v>9063.8253922156237</v>
      </c>
      <c r="H38" s="20">
        <f>tbl_Monitoring[[#This Row],[Volume (MCM)]]/1233.4818375475*1000000</f>
        <v>198937.36294843396</v>
      </c>
      <c r="I38" s="40">
        <f>tbl_Monitoring[[#This Row],[Elevation (SRTM30-m)]]*3.280839895</f>
        <v>237.48733726383304</v>
      </c>
    </row>
    <row r="39" spans="2:9" ht="16" x14ac:dyDescent="0.2">
      <c r="B39" s="90">
        <v>35</v>
      </c>
      <c r="C39" s="91">
        <v>40086</v>
      </c>
      <c r="D39" s="92">
        <v>36.64</v>
      </c>
      <c r="E39" s="51" cm="1">
        <f t="array" ref="E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245.09663779399838</v>
      </c>
      <c r="F39" s="49" cm="1">
        <f t="array" ref="F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72.378931242678206</v>
      </c>
      <c r="G39" s="20">
        <f>tbl_Monitoring[[#This Row],[Area (km2)]]/4046.8564224*1000000</f>
        <v>9053.9411769569379</v>
      </c>
      <c r="H39" s="20">
        <f>tbl_Monitoring[[#This Row],[Volume (MCM)]]/1233.4818375475*1000000</f>
        <v>198703.07801314504</v>
      </c>
      <c r="I39" s="40">
        <f>tbl_Monitoring[[#This Row],[Elevation (SRTM30-m)]]*3.280839895</f>
        <v>237.46368517844058</v>
      </c>
    </row>
    <row r="40" spans="2:9" ht="16" x14ac:dyDescent="0.2">
      <c r="B40" s="90">
        <v>36</v>
      </c>
      <c r="C40" s="91">
        <v>40102</v>
      </c>
      <c r="D40" s="92">
        <v>36.67</v>
      </c>
      <c r="E40" s="51" cm="1">
        <f t="array" ref="E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245.31337745336577</v>
      </c>
      <c r="F40" s="49" cm="1">
        <f t="array" ref="F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72.384338109398939</v>
      </c>
      <c r="G40" s="20">
        <f>tbl_Monitoring[[#This Row],[Area (km2)]]/4046.8564224*1000000</f>
        <v>9061.3543384009536</v>
      </c>
      <c r="H40" s="20">
        <f>tbl_Monitoring[[#This Row],[Volume (MCM)]]/1233.4818375475*1000000</f>
        <v>198878.79171461173</v>
      </c>
      <c r="I40" s="40">
        <f>tbl_Monitoring[[#This Row],[Elevation (SRTM30-m)]]*3.280839895</f>
        <v>237.48142424248493</v>
      </c>
    </row>
    <row r="41" spans="2:9" ht="16" x14ac:dyDescent="0.2">
      <c r="B41" s="90">
        <v>37</v>
      </c>
      <c r="C41" s="91">
        <v>40118</v>
      </c>
      <c r="D41" s="92">
        <v>35.46</v>
      </c>
      <c r="E41" s="51" cm="1">
        <f t="array" ref="E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236.57154452554744</v>
      </c>
      <c r="F41" s="49" cm="1">
        <f t="array" ref="F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72.16626115166261</v>
      </c>
      <c r="G41" s="20">
        <f>tbl_Monitoring[[#This Row],[Area (km2)]]/4046.8564224*1000000</f>
        <v>8762.356826825684</v>
      </c>
      <c r="H41" s="20">
        <f>tbl_Monitoring[[#This Row],[Volume (MCM)]]/1233.4818375475*1000000</f>
        <v>191791.67242212218</v>
      </c>
      <c r="I41" s="40">
        <f>tbl_Monitoring[[#This Row],[Elevation (SRTM30-m)]]*3.280839895</f>
        <v>236.76594865936335</v>
      </c>
    </row>
    <row r="42" spans="2:9" ht="16" x14ac:dyDescent="0.2">
      <c r="B42" s="90">
        <v>38</v>
      </c>
      <c r="C42" s="91">
        <v>40134</v>
      </c>
      <c r="D42" s="92">
        <v>33.94</v>
      </c>
      <c r="E42" s="51" cm="1">
        <f t="array" ref="E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225.5451750237778</v>
      </c>
      <c r="F42" s="49" cm="1">
        <f t="array" ref="F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71.873713355737323</v>
      </c>
      <c r="G42" s="20">
        <f>tbl_Monitoring[[#This Row],[Area (km2)]]/4046.8564224*1000000</f>
        <v>8386.7566469955909</v>
      </c>
      <c r="H42" s="20">
        <f>tbl_Monitoring[[#This Row],[Volume (MCM)]]/1233.4818375475*1000000</f>
        <v>182852.44918743469</v>
      </c>
      <c r="I42" s="40">
        <f>tbl_Monitoring[[#This Row],[Elevation (SRTM30-m)]]*3.280839895</f>
        <v>235.80614617929734</v>
      </c>
    </row>
    <row r="43" spans="2:9" ht="16" x14ac:dyDescent="0.2">
      <c r="B43" s="90">
        <v>39</v>
      </c>
      <c r="C43" s="91">
        <v>40246</v>
      </c>
      <c r="D43" s="92">
        <v>58.75</v>
      </c>
      <c r="E43" s="51" cm="1">
        <f t="array" ref="E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402.56038684126815</v>
      </c>
      <c r="F43" s="49" cm="1">
        <f t="array" ref="F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75.496106221798087</v>
      </c>
      <c r="G43" s="20">
        <f>tbl_Monitoring[[#This Row],[Area (km2)]]/4046.8564224*1000000</f>
        <v>14517.441161195964</v>
      </c>
      <c r="H43" s="20">
        <f>tbl_Monitoring[[#This Row],[Volume (MCM)]]/1233.4818375475*1000000</f>
        <v>326361.01690939249</v>
      </c>
      <c r="I43" s="40">
        <f>tbl_Monitoring[[#This Row],[Elevation (SRTM30-m)]]*3.280839895</f>
        <v>247.69063720963288</v>
      </c>
    </row>
    <row r="44" spans="2:9" ht="16" x14ac:dyDescent="0.2">
      <c r="B44" s="90">
        <v>40</v>
      </c>
      <c r="C44" s="91">
        <v>40262</v>
      </c>
      <c r="D44" s="92">
        <v>57.31</v>
      </c>
      <c r="E44" s="51" cm="1">
        <f t="array" ref="E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391.86765012193831</v>
      </c>
      <c r="F44" s="49" cm="1">
        <f t="array" ref="F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75.326452950670955</v>
      </c>
      <c r="G44" s="20">
        <f>tbl_Monitoring[[#This Row],[Area (km2)]]/4046.8564224*1000000</f>
        <v>14161.609411883246</v>
      </c>
      <c r="H44" s="20">
        <f>tbl_Monitoring[[#This Row],[Volume (MCM)]]/1233.4818375475*1000000</f>
        <v>317692.27417330979</v>
      </c>
      <c r="I44" s="40">
        <f>tbl_Monitoring[[#This Row],[Elevation (SRTM30-m)]]*3.280839895</f>
        <v>247.13403198940176</v>
      </c>
    </row>
    <row r="45" spans="2:9" ht="16" x14ac:dyDescent="0.2">
      <c r="B45" s="90">
        <v>41</v>
      </c>
      <c r="C45" s="91">
        <v>40310</v>
      </c>
      <c r="D45" s="92">
        <v>54.29</v>
      </c>
      <c r="E45" s="51" cm="1">
        <f t="array" ref="E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369.54577554090019</v>
      </c>
      <c r="F45" s="49" cm="1">
        <f t="array" ref="F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74.967976654196718</v>
      </c>
      <c r="G45" s="20">
        <f>tbl_Monitoring[[#This Row],[Area (km2)]]/4046.8564224*1000000</f>
        <v>13415.351159852406</v>
      </c>
      <c r="H45" s="20">
        <f>tbl_Monitoring[[#This Row],[Volume (MCM)]]/1233.4818375475*1000000</f>
        <v>299595.63594033819</v>
      </c>
      <c r="I45" s="40">
        <f>tbl_Monitoring[[#This Row],[Elevation (SRTM30-m)]]*3.280839895</f>
        <v>245.95792865451722</v>
      </c>
    </row>
    <row r="46" spans="2:9" ht="16" x14ac:dyDescent="0.2">
      <c r="B46" s="90">
        <v>42</v>
      </c>
      <c r="C46" s="91">
        <v>40326</v>
      </c>
      <c r="D46" s="92">
        <v>52.69</v>
      </c>
      <c r="E46" s="51" cm="1">
        <f t="array" ref="E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358.32763369200512</v>
      </c>
      <c r="F46" s="49" cm="1">
        <f t="array" ref="F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74.762286757427333</v>
      </c>
      <c r="G46" s="20">
        <f>tbl_Monitoring[[#This Row],[Area (km2)]]/4046.8564224*1000000</f>
        <v>13019.982549504941</v>
      </c>
      <c r="H46" s="20">
        <f>tbl_Monitoring[[#This Row],[Volume (MCM)]]/1233.4818375475*1000000</f>
        <v>290500.94033363205</v>
      </c>
      <c r="I46" s="40">
        <f>tbl_Monitoring[[#This Row],[Elevation (SRTM30-m)]]*3.280839895</f>
        <v>245.28309303519779</v>
      </c>
    </row>
    <row r="47" spans="2:9" ht="16" x14ac:dyDescent="0.2">
      <c r="B47" s="90">
        <v>43</v>
      </c>
      <c r="C47" s="91">
        <v>40342</v>
      </c>
      <c r="D47" s="92">
        <v>55.99</v>
      </c>
      <c r="E47" s="51" cm="1">
        <f t="array" ref="E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382.06597479588595</v>
      </c>
      <c r="F47" s="49" cm="1">
        <f t="array" ref="F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75.17093745213775</v>
      </c>
      <c r="G47" s="20">
        <f>tbl_Monitoring[[#This Row],[Area (km2)]]/4046.8564224*1000000</f>
        <v>13835.430308346587</v>
      </c>
      <c r="H47" s="20">
        <f>tbl_Monitoring[[#This Row],[Volume (MCM)]]/1233.4818375475*1000000</f>
        <v>309745.92666523397</v>
      </c>
      <c r="I47" s="40">
        <f>tbl_Monitoring[[#This Row],[Elevation (SRTM30-m)]]*3.280839895</f>
        <v>246.62381053752318</v>
      </c>
    </row>
    <row r="48" spans="2:9" ht="16" x14ac:dyDescent="0.2">
      <c r="B48" s="90">
        <v>44</v>
      </c>
      <c r="C48" s="91">
        <v>40358</v>
      </c>
      <c r="D48" s="92">
        <v>55.37</v>
      </c>
      <c r="E48" s="51" cm="1">
        <f t="array" ref="E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377.46215759728557</v>
      </c>
      <c r="F48" s="49" cm="1">
        <f t="array" ref="F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75.097892293735782</v>
      </c>
      <c r="G48" s="20">
        <f>tbl_Monitoring[[#This Row],[Area (km2)]]/4046.8564224*1000000</f>
        <v>13682.224971836944</v>
      </c>
      <c r="H48" s="20">
        <f>tbl_Monitoring[[#This Row],[Volume (MCM)]]/1233.4818375475*1000000</f>
        <v>306013.55132053164</v>
      </c>
      <c r="I48" s="40">
        <f>tbl_Monitoring[[#This Row],[Elevation (SRTM30-m)]]*3.280839895</f>
        <v>246.38416106770143</v>
      </c>
    </row>
    <row r="49" spans="2:9" ht="16" x14ac:dyDescent="0.2">
      <c r="B49" s="90">
        <v>45</v>
      </c>
      <c r="C49" s="91">
        <v>40470</v>
      </c>
      <c r="D49" s="92">
        <v>42.53</v>
      </c>
      <c r="E49" s="51" cm="1">
        <f t="array" ref="E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287.11530053937435</v>
      </c>
      <c r="F49" s="49" cm="1">
        <f t="array" ref="F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73.366175236725397</v>
      </c>
      <c r="G49" s="20">
        <f>tbl_Monitoring[[#This Row],[Area (km2)]]/4046.8564224*1000000</f>
        <v>10509.391873798542</v>
      </c>
      <c r="H49" s="20">
        <f>tbl_Monitoring[[#This Row],[Volume (MCM)]]/1233.4818375475*1000000</f>
        <v>232768.16228623057</v>
      </c>
      <c r="I49" s="40">
        <f>tbl_Monitoring[[#This Row],[Elevation (SRTM30-m)]]*3.280839895</f>
        <v>240.70267466020977</v>
      </c>
    </row>
    <row r="50" spans="2:9" ht="16" x14ac:dyDescent="0.2">
      <c r="B50" s="90">
        <v>46</v>
      </c>
      <c r="C50" s="91">
        <v>40486</v>
      </c>
      <c r="D50" s="92">
        <v>42.06</v>
      </c>
      <c r="E50" s="51" cm="1">
        <f t="array" ref="E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283.82251197411006</v>
      </c>
      <c r="F50" s="49" cm="1">
        <f t="array" ref="F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73.295756921970508</v>
      </c>
      <c r="G50" s="20">
        <f>tbl_Monitoring[[#This Row],[Area (km2)]]/4046.8564224*1000000</f>
        <v>10393.252344508974</v>
      </c>
      <c r="H50" s="20">
        <f>tbl_Monitoring[[#This Row],[Volume (MCM)]]/1233.4818375475*1000000</f>
        <v>230098.65515201021</v>
      </c>
      <c r="I50" s="40">
        <f>tbl_Monitoring[[#This Row],[Elevation (SRTM30-m)]]*3.280839895</f>
        <v>240.47164344382327</v>
      </c>
    </row>
    <row r="51" spans="2:9" ht="16" x14ac:dyDescent="0.2">
      <c r="B51" s="90">
        <v>47</v>
      </c>
      <c r="C51" s="91">
        <v>40662</v>
      </c>
      <c r="D51" s="92">
        <v>54.51</v>
      </c>
      <c r="E51" s="51" cm="1">
        <f t="array" ref="E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371.08827004512324</v>
      </c>
      <c r="F51" s="49" cm="1">
        <f t="array" ref="F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74.996259015002508</v>
      </c>
      <c r="G51" s="20">
        <f>tbl_Monitoring[[#This Row],[Area (km2)]]/4046.8564224*1000000</f>
        <v>13469.714343775182</v>
      </c>
      <c r="H51" s="20">
        <f>tbl_Monitoring[[#This Row],[Volume (MCM)]]/1233.4818375475*1000000</f>
        <v>300846.1565862603</v>
      </c>
      <c r="I51" s="40">
        <f>tbl_Monitoring[[#This Row],[Elevation (SRTM30-m)]]*3.280839895</f>
        <v>246.05071855217363</v>
      </c>
    </row>
    <row r="52" spans="2:9" ht="16" x14ac:dyDescent="0.2">
      <c r="B52" s="90">
        <v>48</v>
      </c>
      <c r="C52" s="91">
        <v>40678</v>
      </c>
      <c r="D52" s="92">
        <v>55.23</v>
      </c>
      <c r="E52" s="51" cm="1">
        <f t="array" ref="E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376.42258597179517</v>
      </c>
      <c r="F52" s="49" cm="1">
        <f t="array" ref="F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75.081398225709535</v>
      </c>
      <c r="G52" s="20">
        <f>tbl_Monitoring[[#This Row],[Area (km2)]]/4046.8564224*1000000</f>
        <v>13647.630218431541</v>
      </c>
      <c r="H52" s="20">
        <f>tbl_Monitoring[[#This Row],[Volume (MCM)]]/1233.4818375475*1000000</f>
        <v>305170.75688785693</v>
      </c>
      <c r="I52" s="40">
        <f>tbl_Monitoring[[#This Row],[Elevation (SRTM30-m)]]*3.280839895</f>
        <v>246.33004667129006</v>
      </c>
    </row>
    <row r="53" spans="2:9" ht="16" x14ac:dyDescent="0.2">
      <c r="B53" s="90">
        <v>49</v>
      </c>
      <c r="C53" s="91">
        <v>40726</v>
      </c>
      <c r="D53" s="92">
        <v>48.72</v>
      </c>
      <c r="E53" s="51" cm="1">
        <f t="array" ref="E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330.49261922943424</v>
      </c>
      <c r="F53" s="49" cm="1">
        <f t="array" ref="F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74.251918701068305</v>
      </c>
      <c r="G53" s="20">
        <f>tbl_Monitoring[[#This Row],[Area (km2)]]/4046.8564224*1000000</f>
        <v>12038.974185080295</v>
      </c>
      <c r="H53" s="20">
        <f>tbl_Monitoring[[#This Row],[Volume (MCM)]]/1233.4818375475*1000000</f>
        <v>267934.72685949242</v>
      </c>
      <c r="I53" s="40">
        <f>tbl_Monitoring[[#This Row],[Elevation (SRTM30-m)]]*3.280839895</f>
        <v>243.60865715476149</v>
      </c>
    </row>
    <row r="54" spans="2:9" ht="16" x14ac:dyDescent="0.2">
      <c r="B54" s="90">
        <v>50</v>
      </c>
      <c r="C54" s="91">
        <v>40742</v>
      </c>
      <c r="D54" s="92">
        <v>46.22</v>
      </c>
      <c r="E54" s="51" cm="1">
        <f t="array" ref="E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312.96719374325784</v>
      </c>
      <c r="F54" s="49" cm="1">
        <f t="array" ref="F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73.919033920652041</v>
      </c>
      <c r="G54" s="20">
        <f>tbl_Monitoring[[#This Row],[Area (km2)]]/4046.8564224*1000000</f>
        <v>11421.210731412382</v>
      </c>
      <c r="H54" s="20">
        <f>tbl_Monitoring[[#This Row],[Volume (MCM)]]/1233.4818375475*1000000</f>
        <v>253726.63319106703</v>
      </c>
      <c r="I54" s="40">
        <f>tbl_Monitoring[[#This Row],[Elevation (SRTM30-m)]]*3.280839895</f>
        <v>242.51651548673348</v>
      </c>
    </row>
    <row r="55" spans="2:9" ht="16" x14ac:dyDescent="0.2">
      <c r="B55" s="90">
        <v>51</v>
      </c>
      <c r="C55" s="91">
        <v>40758</v>
      </c>
      <c r="D55" s="92">
        <v>42.34</v>
      </c>
      <c r="E55" s="51" cm="1">
        <f t="array" ref="E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285.78417324703349</v>
      </c>
      <c r="F55" s="49" cm="1">
        <f t="array" ref="F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73.337708258420236</v>
      </c>
      <c r="G55" s="20">
        <f>tbl_Monitoring[[#This Row],[Area (km2)]]/4046.8564224*1000000</f>
        <v>10462.441851319782</v>
      </c>
      <c r="H55" s="20">
        <f>tbl_Monitoring[[#This Row],[Volume (MCM)]]/1233.4818375475*1000000</f>
        <v>231688.99982771598</v>
      </c>
      <c r="I55" s="40">
        <f>tbl_Monitoring[[#This Row],[Elevation (SRTM30-m)]]*3.280839895</f>
        <v>240.60927906209608</v>
      </c>
    </row>
    <row r="56" spans="2:9" ht="16" x14ac:dyDescent="0.2">
      <c r="B56" s="90">
        <v>52</v>
      </c>
      <c r="C56" s="91">
        <v>40806</v>
      </c>
      <c r="D56" s="92">
        <v>47.77</v>
      </c>
      <c r="E56" s="51" cm="1">
        <f t="array" ref="E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323.83184750665282</v>
      </c>
      <c r="F56" s="49" cm="1">
        <f t="array" ref="F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74.129790324861474</v>
      </c>
      <c r="G56" s="20">
        <f>tbl_Monitoring[[#This Row],[Area (km2)]]/4046.8564224*1000000</f>
        <v>11804.224072686489</v>
      </c>
      <c r="H56" s="20">
        <f>tbl_Monitoring[[#This Row],[Volume (MCM)]]/1233.4818375475*1000000</f>
        <v>262534.75134301069</v>
      </c>
      <c r="I56" s="40">
        <f>tbl_Monitoring[[#This Row],[Elevation (SRTM30-m)]]*3.280839895</f>
        <v>243.20797350579056</v>
      </c>
    </row>
    <row r="57" spans="2:9" ht="16" x14ac:dyDescent="0.2">
      <c r="B57" s="90">
        <v>53</v>
      </c>
      <c r="C57" s="91">
        <v>40838</v>
      </c>
      <c r="D57" s="92">
        <v>42.73</v>
      </c>
      <c r="E57" s="51" cm="1">
        <f t="array" ref="E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288.51648716289105</v>
      </c>
      <c r="F57" s="49" cm="1">
        <f t="array" ref="F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73.396140477046629</v>
      </c>
      <c r="G57" s="20">
        <f>tbl_Monitoring[[#This Row],[Area (km2)]]/4046.8564224*1000000</f>
        <v>10558.812950091975</v>
      </c>
      <c r="H57" s="20">
        <f>tbl_Monitoring[[#This Row],[Volume (MCM)]]/1233.4818375475*1000000</f>
        <v>233904.12276887751</v>
      </c>
      <c r="I57" s="40">
        <f>tbl_Monitoring[[#This Row],[Elevation (SRTM30-m)]]*3.280839895</f>
        <v>240.80098581611892</v>
      </c>
    </row>
    <row r="58" spans="2:9" ht="16" x14ac:dyDescent="0.2">
      <c r="B58" s="90">
        <v>54</v>
      </c>
      <c r="C58" s="91">
        <v>40854</v>
      </c>
      <c r="D58" s="92">
        <v>42.05</v>
      </c>
      <c r="E58" s="51" cm="1">
        <f t="array" ref="E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283.7524526429342</v>
      </c>
      <c r="F58" s="49" cm="1">
        <f t="array" ref="F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73.294258659954451</v>
      </c>
      <c r="G58" s="20">
        <f>tbl_Monitoring[[#This Row],[Area (km2)]]/4046.8564224*1000000</f>
        <v>10390.781290694302</v>
      </c>
      <c r="H58" s="20">
        <f>tbl_Monitoring[[#This Row],[Volume (MCM)]]/1233.4818375475*1000000</f>
        <v>230041.85712787783</v>
      </c>
      <c r="I58" s="40">
        <f>tbl_Monitoring[[#This Row],[Elevation (SRTM30-m)]]*3.280839895</f>
        <v>240.46672788602783</v>
      </c>
    </row>
    <row r="59" spans="2:9" ht="16" x14ac:dyDescent="0.2">
      <c r="B59" s="90">
        <v>55</v>
      </c>
      <c r="C59" s="91">
        <v>40998</v>
      </c>
      <c r="D59" s="92">
        <v>38.799999999999997</v>
      </c>
      <c r="E59" s="51" cm="1">
        <f t="array" ref="E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260.70189326845093</v>
      </c>
      <c r="F59" s="49" cm="1">
        <f t="array" ref="F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72.768225646571139</v>
      </c>
      <c r="G59" s="20">
        <f>tbl_Monitoring[[#This Row],[Area (km2)]]/4046.8564224*1000000</f>
        <v>9587.6888009260128</v>
      </c>
      <c r="H59" s="20">
        <f>tbl_Monitoring[[#This Row],[Volume (MCM)]]/1233.4818375475*1000000</f>
        <v>211354.46451874622</v>
      </c>
      <c r="I59" s="40">
        <f>tbl_Monitoring[[#This Row],[Elevation (SRTM30-m)]]*3.280839895</f>
        <v>238.74089778963278</v>
      </c>
    </row>
    <row r="60" spans="2:9" ht="16" x14ac:dyDescent="0.2">
      <c r="B60" s="90">
        <v>56</v>
      </c>
      <c r="C60" s="91">
        <v>41014</v>
      </c>
      <c r="D60" s="92">
        <v>39.270000000000003</v>
      </c>
      <c r="E60" s="51" cm="1">
        <f t="array" ref="E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264.09748126520685</v>
      </c>
      <c r="F60" s="49" cm="1">
        <f t="array" ref="F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72.852933225195997</v>
      </c>
      <c r="G60" s="20">
        <f>tbl_Monitoring[[#This Row],[Area (km2)]]/4046.8564224*1000000</f>
        <v>9703.8283302155833</v>
      </c>
      <c r="H60" s="20">
        <f>tbl_Monitoring[[#This Row],[Volume (MCM)]]/1233.4818375475*1000000</f>
        <v>214107.31250839093</v>
      </c>
      <c r="I60" s="40">
        <f>tbl_Monitoring[[#This Row],[Elevation (SRTM30-m)]]*3.280839895</f>
        <v>239.01880979299406</v>
      </c>
    </row>
    <row r="61" spans="2:9" ht="16" x14ac:dyDescent="0.2">
      <c r="B61" s="90">
        <v>57</v>
      </c>
      <c r="C61" s="91">
        <v>41030</v>
      </c>
      <c r="D61" s="92">
        <v>36.380000000000003</v>
      </c>
      <c r="E61" s="51" cm="1">
        <f t="array" ref="E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243.21822741281429</v>
      </c>
      <c r="F61" s="49" cm="1">
        <f t="array" ref="F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72.332071731098495</v>
      </c>
      <c r="G61" s="20">
        <f>tbl_Monitoring[[#This Row],[Area (km2)]]/4046.8564224*1000000</f>
        <v>8989.6937777754756</v>
      </c>
      <c r="H61" s="20">
        <f>tbl_Monitoring[[#This Row],[Volume (MCM)]]/1233.4818375475*1000000</f>
        <v>197180.22593376713</v>
      </c>
      <c r="I61" s="40">
        <f>tbl_Monitoring[[#This Row],[Elevation (SRTM30-m)]]*3.280839895</f>
        <v>237.30994662338966</v>
      </c>
    </row>
    <row r="62" spans="2:9" ht="16" x14ac:dyDescent="0.2">
      <c r="B62" s="90">
        <v>58</v>
      </c>
      <c r="C62" s="91">
        <v>41046</v>
      </c>
      <c r="D62" s="92">
        <v>37.42</v>
      </c>
      <c r="E62" s="51" cm="1">
        <f t="array" ref="E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250.7318689375507</v>
      </c>
      <c r="F62" s="49" cm="1">
        <f t="array" ref="F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72.519509777417326</v>
      </c>
      <c r="G62" s="20">
        <f>tbl_Monitoring[[#This Row],[Area (km2)]]/4046.8564224*1000000</f>
        <v>9246.6833745013282</v>
      </c>
      <c r="H62" s="20">
        <f>tbl_Monitoring[[#This Row],[Volume (MCM)]]/1233.4818375475*1000000</f>
        <v>203271.6342512788</v>
      </c>
      <c r="I62" s="40">
        <f>tbl_Monitoring[[#This Row],[Elevation (SRTM30-m)]]*3.280839895</f>
        <v>237.92490084359335</v>
      </c>
    </row>
    <row r="63" spans="2:9" ht="16" x14ac:dyDescent="0.2">
      <c r="B63" s="90">
        <v>59</v>
      </c>
      <c r="C63" s="91">
        <v>41078</v>
      </c>
      <c r="D63" s="92">
        <v>36.380000000000003</v>
      </c>
      <c r="E63" s="51" cm="1">
        <f t="array" ref="E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243.21822741281429</v>
      </c>
      <c r="F63" s="49" cm="1">
        <f t="array" ref="F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72.332071731098495</v>
      </c>
      <c r="G63" s="20">
        <f>tbl_Monitoring[[#This Row],[Area (km2)]]/4046.8564224*1000000</f>
        <v>8989.6937777754756</v>
      </c>
      <c r="H63" s="20">
        <f>tbl_Monitoring[[#This Row],[Volume (MCM)]]/1233.4818375475*1000000</f>
        <v>197180.22593376713</v>
      </c>
      <c r="I63" s="40">
        <f>tbl_Monitoring[[#This Row],[Elevation (SRTM30-m)]]*3.280839895</f>
        <v>237.30994662338966</v>
      </c>
    </row>
    <row r="64" spans="2:9" ht="16" x14ac:dyDescent="0.2">
      <c r="B64" s="90">
        <v>60</v>
      </c>
      <c r="C64" s="91">
        <v>41094</v>
      </c>
      <c r="D64" s="92">
        <v>34.03</v>
      </c>
      <c r="E64" s="51" cm="1">
        <f t="array" ref="E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226.20215619174434</v>
      </c>
      <c r="F64" s="49" cm="1">
        <f t="array" ref="F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71.892735611776885</v>
      </c>
      <c r="G64" s="20">
        <f>tbl_Monitoring[[#This Row],[Area (km2)]]/4046.8564224*1000000</f>
        <v>8408.9961313276362</v>
      </c>
      <c r="H64" s="20">
        <f>tbl_Monitoring[[#This Row],[Volume (MCM)]]/1233.4818375475*1000000</f>
        <v>183385.0724883767</v>
      </c>
      <c r="I64" s="40">
        <f>tbl_Monitoring[[#This Row],[Elevation (SRTM30-m)]]*3.280839895</f>
        <v>235.86855515580484</v>
      </c>
    </row>
    <row r="65" spans="2:9" ht="16" x14ac:dyDescent="0.2">
      <c r="B65" s="90">
        <v>61</v>
      </c>
      <c r="C65" s="91">
        <v>41110</v>
      </c>
      <c r="D65" s="92">
        <v>32.76</v>
      </c>
      <c r="E65" s="51" cm="1">
        <f t="array" ref="E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216.93142193266121</v>
      </c>
      <c r="F65" s="49" cm="1">
        <f t="array" ref="F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71.624310443218562</v>
      </c>
      <c r="G65" s="20">
        <f>tbl_Monitoring[[#This Row],[Area (km2)]]/4046.8564224*1000000</f>
        <v>8095.1722968643362</v>
      </c>
      <c r="H65" s="20">
        <f>tbl_Monitoring[[#This Row],[Volume (MCM)]]/1233.4818375475*1000000</f>
        <v>175869.16590841772</v>
      </c>
      <c r="I65" s="40">
        <f>tbl_Monitoring[[#This Row],[Elevation (SRTM30-m)]]*3.280839895</f>
        <v>234.98789515397661</v>
      </c>
    </row>
    <row r="66" spans="2:9" ht="16" x14ac:dyDescent="0.2">
      <c r="B66" s="90">
        <v>62</v>
      </c>
      <c r="C66" s="91">
        <v>41126</v>
      </c>
      <c r="D66" s="92">
        <v>31.34</v>
      </c>
      <c r="E66" s="51" cm="1">
        <f t="array" ref="E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206.56571906030055</v>
      </c>
      <c r="F66" s="49" cm="1">
        <f t="array" ref="F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71.324181514594301</v>
      </c>
      <c r="G66" s="20">
        <f>tbl_Monitoring[[#This Row],[Area (km2)]]/4046.8564224*1000000</f>
        <v>7744.2826551809612</v>
      </c>
      <c r="H66" s="20">
        <f>tbl_Monitoring[[#This Row],[Volume (MCM)]]/1233.4818375475*1000000</f>
        <v>167465.55382688879</v>
      </c>
      <c r="I66" s="40">
        <f>tbl_Monitoring[[#This Row],[Elevation (SRTM30-m)]]*3.280839895</f>
        <v>234.00322019130252</v>
      </c>
    </row>
    <row r="67" spans="2:9" ht="16" x14ac:dyDescent="0.2">
      <c r="B67" s="90">
        <v>63</v>
      </c>
      <c r="C67" s="91">
        <v>41174</v>
      </c>
      <c r="D67" s="92">
        <v>27.03</v>
      </c>
      <c r="E67" s="51" cm="1">
        <f t="array" ref="E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176.04559432534677</v>
      </c>
      <c r="F67" s="49" cm="1">
        <f t="array" ref="F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70.351688384475267</v>
      </c>
      <c r="G67" s="20">
        <f>tbl_Monitoring[[#This Row],[Area (km2)]]/4046.8564224*1000000</f>
        <v>6679.2584610574795</v>
      </c>
      <c r="H67" s="20">
        <f>tbl_Monitoring[[#This Row],[Volume (MCM)]]/1233.4818375475*1000000</f>
        <v>142722.48602814748</v>
      </c>
      <c r="I67" s="40">
        <f>tbl_Monitoring[[#This Row],[Elevation (SRTM30-m)]]*3.280839895</f>
        <v>230.81262593239455</v>
      </c>
    </row>
    <row r="68" spans="2:9" ht="16" x14ac:dyDescent="0.2">
      <c r="B68" s="90">
        <v>64</v>
      </c>
      <c r="C68" s="91">
        <v>41190</v>
      </c>
      <c r="D68" s="92">
        <v>26.88</v>
      </c>
      <c r="E68" s="51" cm="1">
        <f t="array" ref="E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175.00152118537198</v>
      </c>
      <c r="F68" s="49" cm="1">
        <f t="array" ref="F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70.316659660921957</v>
      </c>
      <c r="G68" s="20">
        <f>tbl_Monitoring[[#This Row],[Area (km2)]]/4046.8564224*1000000</f>
        <v>6642.1926538374046</v>
      </c>
      <c r="H68" s="20">
        <f>tbl_Monitoring[[#This Row],[Volume (MCM)]]/1233.4818375475*1000000</f>
        <v>141876.04215828827</v>
      </c>
      <c r="I68" s="40">
        <f>tbl_Monitoring[[#This Row],[Elevation (SRTM30-m)]]*3.280839895</f>
        <v>230.69770229868993</v>
      </c>
    </row>
    <row r="69" spans="2:9" ht="16" x14ac:dyDescent="0.2">
      <c r="B69" s="90">
        <v>65</v>
      </c>
      <c r="C69" s="91">
        <v>41206</v>
      </c>
      <c r="D69" s="92">
        <v>26.47</v>
      </c>
      <c r="E69" s="51" cm="1">
        <f t="array" ref="E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172.14772126944092</v>
      </c>
      <c r="F69" s="49" cm="1">
        <f t="array" ref="F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70.220914483209569</v>
      </c>
      <c r="G69" s="20">
        <f>tbl_Monitoring[[#This Row],[Area (km2)]]/4046.8564224*1000000</f>
        <v>6540.8794474358665</v>
      </c>
      <c r="H69" s="20">
        <f>tbl_Monitoring[[#This Row],[Volume (MCM)]]/1233.4818375475*1000000</f>
        <v>139562.42891400639</v>
      </c>
      <c r="I69" s="40">
        <f>tbl_Monitoring[[#This Row],[Elevation (SRTM30-m)]]*3.280839895</f>
        <v>230.38357769989727</v>
      </c>
    </row>
    <row r="70" spans="2:9" ht="16" x14ac:dyDescent="0.2">
      <c r="B70" s="90">
        <v>66</v>
      </c>
      <c r="C70" s="91">
        <v>41350</v>
      </c>
      <c r="D70" s="92">
        <v>38.61</v>
      </c>
      <c r="E70" s="51" cm="1">
        <f t="array" ref="E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259.32920875912407</v>
      </c>
      <c r="F70" s="49" cm="1">
        <f t="array" ref="F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72.733982157339824</v>
      </c>
      <c r="G70" s="20">
        <f>tbl_Monitoring[[#This Row],[Area (km2)]]/4046.8564224*1000000</f>
        <v>9540.7387784472521</v>
      </c>
      <c r="H70" s="20">
        <f>tbl_Monitoring[[#This Row],[Volume (MCM)]]/1233.4818375475*1000000</f>
        <v>210241.61107612384</v>
      </c>
      <c r="I70" s="40">
        <f>tbl_Monitoring[[#This Row],[Elevation (SRTM30-m)]]*3.280839895</f>
        <v>238.62855038401867</v>
      </c>
    </row>
    <row r="71" spans="2:9" ht="16" x14ac:dyDescent="0.2">
      <c r="B71" s="90">
        <v>67</v>
      </c>
      <c r="C71" s="91">
        <v>41366</v>
      </c>
      <c r="D71" s="92">
        <v>38.130000000000003</v>
      </c>
      <c r="E71" s="51" cm="1">
        <f t="array" ref="E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255.86137420924575</v>
      </c>
      <c r="F71" s="49" cm="1">
        <f t="array" ref="F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72.64747228980805</v>
      </c>
      <c r="G71" s="20">
        <f>tbl_Monitoring[[#This Row],[Area (km2)]]/4046.8564224*1000000</f>
        <v>9422.1281953430152</v>
      </c>
      <c r="H71" s="20">
        <f>tbl_Monitoring[[#This Row],[Volume (MCM)]]/1233.4818375475*1000000</f>
        <v>207430.19185265695</v>
      </c>
      <c r="I71" s="40">
        <f>tbl_Monitoring[[#This Row],[Elevation (SRTM30-m)]]*3.280839895</f>
        <v>238.34472535930925</v>
      </c>
    </row>
    <row r="72" spans="2:9" ht="16" x14ac:dyDescent="0.2">
      <c r="B72" s="90">
        <v>68</v>
      </c>
      <c r="C72" s="91">
        <v>41369</v>
      </c>
      <c r="D72" s="92">
        <v>37.549999999999997</v>
      </c>
      <c r="E72" s="51" cm="1">
        <f t="array" ref="E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251.67107412814272</v>
      </c>
      <c r="F72" s="49" cm="1">
        <f t="array" ref="F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72.542939533207175</v>
      </c>
      <c r="G72" s="20">
        <f>tbl_Monitoring[[#This Row],[Area (km2)]]/4046.8564224*1000000</f>
        <v>9278.8070740920575</v>
      </c>
      <c r="H72" s="20">
        <f>tbl_Monitoring[[#This Row],[Volume (MCM)]]/1233.4818375475*1000000</f>
        <v>204033.06029096773</v>
      </c>
      <c r="I72" s="40">
        <f>tbl_Monitoring[[#This Row],[Elevation (SRTM30-m)]]*3.280839895</f>
        <v>238.0017701211188</v>
      </c>
    </row>
    <row r="73" spans="2:9" ht="16" x14ac:dyDescent="0.2">
      <c r="B73" s="90">
        <v>69</v>
      </c>
      <c r="C73" s="91">
        <v>41374</v>
      </c>
      <c r="D73" s="92">
        <v>61.19</v>
      </c>
      <c r="E73" s="51" cm="1">
        <f t="array" ref="E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420.67863517124374</v>
      </c>
      <c r="F73" s="49" cm="1">
        <f t="array" ref="F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75.783574264541286</v>
      </c>
      <c r="G73" s="20">
        <f>tbl_Monitoring[[#This Row],[Area (km2)]]/4046.8564224*1000000</f>
        <v>15120.378291975847</v>
      </c>
      <c r="H73" s="20">
        <f>tbl_Monitoring[[#This Row],[Volume (MCM)]]/1233.4818375475*1000000</f>
        <v>341049.71987886599</v>
      </c>
      <c r="I73" s="40">
        <f>tbl_Monitoring[[#This Row],[Elevation (SRTM30-m)]]*3.280839895</f>
        <v>248.63377383280235</v>
      </c>
    </row>
    <row r="74" spans="2:9" ht="16" x14ac:dyDescent="0.2">
      <c r="B74" s="90">
        <v>70</v>
      </c>
      <c r="C74" s="91">
        <v>41382</v>
      </c>
      <c r="D74" s="92">
        <v>58.23</v>
      </c>
      <c r="E74" s="51" cm="1">
        <f t="array" ref="E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398.69912080373234</v>
      </c>
      <c r="F74" s="49" cm="1">
        <f t="array" ref="F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75.434842540557739</v>
      </c>
      <c r="G74" s="20">
        <f>tbl_Monitoring[[#This Row],[Area (km2)]]/4046.8564224*1000000</f>
        <v>14388.946362833036</v>
      </c>
      <c r="H74" s="20">
        <f>tbl_Monitoring[[#This Row],[Volume (MCM)]]/1233.4818375475*1000000</f>
        <v>323230.63758802926</v>
      </c>
      <c r="I74" s="40">
        <f>tbl_Monitoring[[#This Row],[Elevation (SRTM30-m)]]*3.280839895</f>
        <v>247.48964088010499</v>
      </c>
    </row>
    <row r="75" spans="2:9" ht="16" x14ac:dyDescent="0.2">
      <c r="B75" s="90">
        <v>71</v>
      </c>
      <c r="C75" s="91">
        <v>41398</v>
      </c>
      <c r="D75" s="92">
        <v>58.08</v>
      </c>
      <c r="E75" s="51" cm="1">
        <f t="array" ref="E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397.58529406213552</v>
      </c>
      <c r="F75" s="49" cm="1">
        <f t="array" ref="F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75.417170324815331</v>
      </c>
      <c r="G75" s="20">
        <f>tbl_Monitoring[[#This Row],[Area (km2)]]/4046.8564224*1000000</f>
        <v>14351.880555612963</v>
      </c>
      <c r="H75" s="20">
        <f>tbl_Monitoring[[#This Row],[Volume (MCM)]]/1233.4818375475*1000000</f>
        <v>322327.64355302067</v>
      </c>
      <c r="I75" s="40">
        <f>tbl_Monitoring[[#This Row],[Elevation (SRTM30-m)]]*3.280839895</f>
        <v>247.43166116966427</v>
      </c>
    </row>
    <row r="76" spans="2:9" ht="16" x14ac:dyDescent="0.2">
      <c r="B76" s="90">
        <v>72</v>
      </c>
      <c r="C76" s="91">
        <v>41414</v>
      </c>
      <c r="D76" s="92">
        <v>56.6</v>
      </c>
      <c r="E76" s="51" cm="1">
        <f t="array" ref="E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386.59553687837985</v>
      </c>
      <c r="F76" s="49" cm="1">
        <f t="array" ref="F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75.242804462823543</v>
      </c>
      <c r="G76" s="20">
        <f>tbl_Monitoring[[#This Row],[Area (km2)]]/4046.8564224*1000000</f>
        <v>13986.164591041559</v>
      </c>
      <c r="H76" s="20">
        <f>tbl_Monitoring[[#This Row],[Volume (MCM)]]/1233.4818375475*1000000</f>
        <v>313418.1024076023</v>
      </c>
      <c r="I76" s="40">
        <f>tbl_Monitoring[[#This Row],[Elevation (SRTM30-m)]]*3.280839895</f>
        <v>246.85959469331553</v>
      </c>
    </row>
    <row r="77" spans="2:9" ht="16" x14ac:dyDescent="0.2">
      <c r="B77" s="90">
        <v>73</v>
      </c>
      <c r="C77" s="91">
        <v>41422</v>
      </c>
      <c r="D77" s="92">
        <v>56.34</v>
      </c>
      <c r="E77" s="51" cm="1">
        <f t="array" ref="E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384.66490385961197</v>
      </c>
      <c r="F77" s="49" cm="1">
        <f t="array" ref="F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75.212172622203369</v>
      </c>
      <c r="G77" s="20">
        <f>tbl_Monitoring[[#This Row],[Area (km2)]]/4046.8564224*1000000</f>
        <v>13921.917191860097</v>
      </c>
      <c r="H77" s="20">
        <f>tbl_Monitoring[[#This Row],[Volume (MCM)]]/1233.4818375475*1000000</f>
        <v>311852.91274692072</v>
      </c>
      <c r="I77" s="40">
        <f>tbl_Monitoring[[#This Row],[Elevation (SRTM30-m)]]*3.280839895</f>
        <v>246.75909652855159</v>
      </c>
    </row>
    <row r="78" spans="2:9" ht="16" x14ac:dyDescent="0.2">
      <c r="B78" s="90">
        <v>74</v>
      </c>
      <c r="C78" s="91">
        <v>41486</v>
      </c>
      <c r="D78" s="92">
        <v>53.37</v>
      </c>
      <c r="E78" s="51" cm="1">
        <f t="array" ref="E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363.09534397778549</v>
      </c>
      <c r="F78" s="49" cm="1">
        <f t="array" ref="F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74.849704963554316</v>
      </c>
      <c r="G78" s="20">
        <f>tbl_Monitoring[[#This Row],[Area (km2)]]/4046.8564224*1000000</f>
        <v>13188.014208902614</v>
      </c>
      <c r="H78" s="20">
        <f>tbl_Monitoring[[#This Row],[Volume (MCM)]]/1233.4818375475*1000000</f>
        <v>294366.18596648215</v>
      </c>
      <c r="I78" s="40">
        <f>tbl_Monitoring[[#This Row],[Elevation (SRTM30-m)]]*3.280839895</f>
        <v>245.56989817340855</v>
      </c>
    </row>
    <row r="79" spans="2:9" ht="16" x14ac:dyDescent="0.2">
      <c r="B79" s="90">
        <v>75</v>
      </c>
      <c r="C79" s="91">
        <v>41502</v>
      </c>
      <c r="D79" s="92">
        <v>59.08</v>
      </c>
      <c r="E79" s="51" cm="1">
        <f t="array" ref="E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405.01080567278126</v>
      </c>
      <c r="F79" s="49" cm="1">
        <f t="array" ref="F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75.534985096431384</v>
      </c>
      <c r="G79" s="20">
        <f>tbl_Monitoring[[#This Row],[Area (km2)]]/4046.8564224*1000000</f>
        <v>14598.985937080128</v>
      </c>
      <c r="H79" s="20">
        <f>tbl_Monitoring[[#This Row],[Volume (MCM)]]/1233.4818375475*1000000</f>
        <v>328347.60378641146</v>
      </c>
      <c r="I79" s="40">
        <f>tbl_Monitoring[[#This Row],[Elevation (SRTM30-m)]]*3.280839895</f>
        <v>247.81819257260253</v>
      </c>
    </row>
    <row r="80" spans="2:9" ht="16" x14ac:dyDescent="0.2">
      <c r="B80" s="90">
        <v>76</v>
      </c>
      <c r="C80" s="91">
        <v>41526</v>
      </c>
      <c r="D80" s="92">
        <v>56.9</v>
      </c>
      <c r="E80" s="51" cm="1">
        <f t="array" ref="E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388.82319036157355</v>
      </c>
      <c r="F80" s="49" cm="1">
        <f t="array" ref="F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75.278148894308373</v>
      </c>
      <c r="G80" s="20">
        <f>tbl_Monitoring[[#This Row],[Area (km2)]]/4046.8564224*1000000</f>
        <v>14060.296205481707</v>
      </c>
      <c r="H80" s="20">
        <f>tbl_Monitoring[[#This Row],[Volume (MCM)]]/1233.4818375475*1000000</f>
        <v>315224.09047761955</v>
      </c>
      <c r="I80" s="40">
        <f>tbl_Monitoring[[#This Row],[Elevation (SRTM30-m)]]*3.280839895</f>
        <v>246.97555411419705</v>
      </c>
    </row>
    <row r="81" spans="2:9" ht="16" x14ac:dyDescent="0.2">
      <c r="B81" s="90">
        <v>77</v>
      </c>
      <c r="C81" s="91">
        <v>41534</v>
      </c>
      <c r="D81" s="92">
        <v>56.76</v>
      </c>
      <c r="E81" s="51" cm="1">
        <f t="array" ref="E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387.78361873608316</v>
      </c>
      <c r="F81" s="49" cm="1">
        <f t="array" ref="F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75.261654826282125</v>
      </c>
      <c r="G81" s="20">
        <f>tbl_Monitoring[[#This Row],[Area (km2)]]/4046.8564224*1000000</f>
        <v>14025.701452076304</v>
      </c>
      <c r="H81" s="20">
        <f>tbl_Monitoring[[#This Row],[Volume (MCM)]]/1233.4818375475*1000000</f>
        <v>314381.29604494484</v>
      </c>
      <c r="I81" s="40">
        <f>tbl_Monitoring[[#This Row],[Elevation (SRTM30-m)]]*3.280839895</f>
        <v>246.92143971778572</v>
      </c>
    </row>
    <row r="82" spans="2:9" ht="16" x14ac:dyDescent="0.2">
      <c r="B82" s="90">
        <v>78</v>
      </c>
      <c r="C82" s="91">
        <v>41558</v>
      </c>
      <c r="D82" s="92">
        <v>55.4</v>
      </c>
      <c r="E82" s="51" cm="1">
        <f t="array" ref="E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377.68492294560491</v>
      </c>
      <c r="F82" s="49" cm="1">
        <f t="array" ref="F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75.101426736884264</v>
      </c>
      <c r="G82" s="20">
        <f>tbl_Monitoring[[#This Row],[Area (km2)]]/4046.8564224*1000000</f>
        <v>13689.63813328096</v>
      </c>
      <c r="H82" s="20">
        <f>tbl_Monitoring[[#This Row],[Volume (MCM)]]/1233.4818375475*1000000</f>
        <v>306194.15012753336</v>
      </c>
      <c r="I82" s="40">
        <f>tbl_Monitoring[[#This Row],[Elevation (SRTM30-m)]]*3.280839895</f>
        <v>246.39575700978958</v>
      </c>
    </row>
    <row r="83" spans="2:9" ht="16" x14ac:dyDescent="0.2">
      <c r="B83" s="90">
        <v>79</v>
      </c>
      <c r="C83" s="91">
        <v>41566</v>
      </c>
      <c r="D83" s="92">
        <v>53.1</v>
      </c>
      <c r="E83" s="51" cm="1">
        <f t="array" ref="E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361.20228254078449</v>
      </c>
      <c r="F83" s="49" cm="1">
        <f t="array" ref="F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74.814994793474483</v>
      </c>
      <c r="G83" s="20">
        <f>tbl_Monitoring[[#This Row],[Area (km2)]]/4046.8564224*1000000</f>
        <v>13121.29575590648</v>
      </c>
      <c r="H83" s="20">
        <f>tbl_Monitoring[[#This Row],[Volume (MCM)]]/1233.4818375475*1000000</f>
        <v>292831.45608285058</v>
      </c>
      <c r="I83" s="40">
        <f>tbl_Monitoring[[#This Row],[Elevation (SRTM30-m)]]*3.280839895</f>
        <v>245.45601966264837</v>
      </c>
    </row>
    <row r="84" spans="2:9" ht="16" x14ac:dyDescent="0.2">
      <c r="B84" s="90">
        <v>80</v>
      </c>
      <c r="C84" s="91">
        <v>41574</v>
      </c>
      <c r="D84" s="92">
        <v>52.71</v>
      </c>
      <c r="E84" s="51" cm="1">
        <f t="array" ref="E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358.4678604651163</v>
      </c>
      <c r="F84" s="49" cm="1">
        <f t="array" ref="F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74.764857881136948</v>
      </c>
      <c r="G84" s="20">
        <f>tbl_Monitoring[[#This Row],[Area (km2)]]/4046.8564224*1000000</f>
        <v>13024.924657134285</v>
      </c>
      <c r="H84" s="20">
        <f>tbl_Monitoring[[#This Row],[Volume (MCM)]]/1233.4818375475*1000000</f>
        <v>290614.62402871589</v>
      </c>
      <c r="I84" s="40">
        <f>tbl_Monitoring[[#This Row],[Elevation (SRTM30-m)]]*3.280839895</f>
        <v>245.29152848043927</v>
      </c>
    </row>
    <row r="85" spans="2:9" ht="16" x14ac:dyDescent="0.2">
      <c r="B85" s="90">
        <v>81</v>
      </c>
      <c r="C85" s="91">
        <v>41582</v>
      </c>
      <c r="D85" s="92">
        <v>51.99</v>
      </c>
      <c r="E85" s="51" cm="1">
        <f t="array" ref="E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353.41969663311352</v>
      </c>
      <c r="F85" s="49" cm="1">
        <f t="array" ref="F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74.672297427590735</v>
      </c>
      <c r="G85" s="20">
        <f>tbl_Monitoring[[#This Row],[Area (km2)]]/4046.8564224*1000000</f>
        <v>12847.008782477926</v>
      </c>
      <c r="H85" s="20">
        <f>tbl_Monitoring[[#This Row],[Volume (MCM)]]/1233.4818375475*1000000</f>
        <v>286522.01100569812</v>
      </c>
      <c r="I85" s="40">
        <f>tbl_Monitoring[[#This Row],[Elevation (SRTM30-m)]]*3.280839895</f>
        <v>244.98785245174557</v>
      </c>
    </row>
    <row r="86" spans="2:9" ht="16" x14ac:dyDescent="0.2">
      <c r="B86" s="90">
        <v>82</v>
      </c>
      <c r="C86" s="91">
        <v>41598</v>
      </c>
      <c r="D86" s="92">
        <v>51.3</v>
      </c>
      <c r="E86" s="51" cm="1">
        <f t="array" ref="E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348.5818729607775</v>
      </c>
      <c r="F86" s="49" cm="1">
        <f t="array" ref="F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74.583593659608937</v>
      </c>
      <c r="G86" s="20">
        <f>tbl_Monitoring[[#This Row],[Area (km2)]]/4046.8564224*1000000</f>
        <v>12676.506069265582</v>
      </c>
      <c r="H86" s="20">
        <f>tbl_Monitoring[[#This Row],[Volume (MCM)]]/1233.4818375475*1000000</f>
        <v>282599.92352530611</v>
      </c>
      <c r="I86" s="40">
        <f>tbl_Monitoring[[#This Row],[Elevation (SRTM30-m)]]*3.280839895</f>
        <v>244.69682959091406</v>
      </c>
    </row>
    <row r="87" spans="2:9" ht="16" x14ac:dyDescent="0.2">
      <c r="B87" s="90">
        <v>83</v>
      </c>
      <c r="C87" s="91">
        <v>41606</v>
      </c>
      <c r="D87" s="92">
        <v>58.96</v>
      </c>
      <c r="E87" s="51" cm="1">
        <f t="array" ref="E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404.11974427950378</v>
      </c>
      <c r="F87" s="49" cm="1">
        <f t="array" ref="F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75.520847323837458</v>
      </c>
      <c r="G87" s="20">
        <f>tbl_Monitoring[[#This Row],[Area (km2)]]/4046.8564224*1000000</f>
        <v>14569.333291304069</v>
      </c>
      <c r="H87" s="20">
        <f>tbl_Monitoring[[#This Row],[Volume (MCM)]]/1233.4818375475*1000000</f>
        <v>327625.20855840459</v>
      </c>
      <c r="I87" s="40">
        <f>tbl_Monitoring[[#This Row],[Elevation (SRTM30-m)]]*3.280839895</f>
        <v>247.77180880424993</v>
      </c>
    </row>
    <row r="88" spans="2:9" ht="16" x14ac:dyDescent="0.2">
      <c r="B88" s="90">
        <v>84</v>
      </c>
      <c r="C88" s="91">
        <v>41614</v>
      </c>
      <c r="D88" s="92">
        <v>58.28</v>
      </c>
      <c r="E88" s="51" cm="1">
        <f t="array" ref="E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399.07039638426465</v>
      </c>
      <c r="F88" s="49" cm="1">
        <f t="array" ref="F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75.440733279138541</v>
      </c>
      <c r="G88" s="20">
        <f>tbl_Monitoring[[#This Row],[Area (km2)]]/4046.8564224*1000000</f>
        <v>14401.301631906395</v>
      </c>
      <c r="H88" s="20">
        <f>tbl_Monitoring[[#This Row],[Volume (MCM)]]/1233.4818375475*1000000</f>
        <v>323531.63559969881</v>
      </c>
      <c r="I88" s="40">
        <f>tbl_Monitoring[[#This Row],[Elevation (SRTM30-m)]]*3.280839895</f>
        <v>247.5089674502519</v>
      </c>
    </row>
    <row r="89" spans="2:9" ht="16" x14ac:dyDescent="0.2">
      <c r="B89" s="90">
        <v>85</v>
      </c>
      <c r="C89" s="91">
        <v>41622</v>
      </c>
      <c r="D89" s="92">
        <v>57.36</v>
      </c>
      <c r="E89" s="51" cm="1">
        <f t="array" ref="E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392.23892570247057</v>
      </c>
      <c r="F89" s="49" cm="1">
        <f t="array" ref="F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75.332343689251758</v>
      </c>
      <c r="G89" s="20">
        <f>tbl_Monitoring[[#This Row],[Area (km2)]]/4046.8564224*1000000</f>
        <v>14173.964680956602</v>
      </c>
      <c r="H89" s="20">
        <f>tbl_Monitoring[[#This Row],[Volume (MCM)]]/1233.4818375475*1000000</f>
        <v>317993.27218497929</v>
      </c>
      <c r="I89" s="40">
        <f>tbl_Monitoring[[#This Row],[Elevation (SRTM30-m)]]*3.280839895</f>
        <v>247.15335855954865</v>
      </c>
    </row>
    <row r="90" spans="2:9" ht="16" x14ac:dyDescent="0.2">
      <c r="B90" s="90">
        <v>86</v>
      </c>
      <c r="C90" s="91">
        <v>41630</v>
      </c>
      <c r="D90" s="92">
        <v>57.07</v>
      </c>
      <c r="E90" s="51" cm="1">
        <f t="array" ref="E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390.08552733538335</v>
      </c>
      <c r="F90" s="49" cm="1">
        <f t="array" ref="F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75.298177405483102</v>
      </c>
      <c r="G90" s="20">
        <f>tbl_Monitoring[[#This Row],[Area (km2)]]/4046.8564224*1000000</f>
        <v>14102.304120331124</v>
      </c>
      <c r="H90" s="20">
        <f>tbl_Monitoring[[#This Row],[Volume (MCM)]]/1233.4818375475*1000000</f>
        <v>316247.48371729598</v>
      </c>
      <c r="I90" s="40">
        <f>tbl_Monitoring[[#This Row],[Elevation (SRTM30-m)]]*3.280839895</f>
        <v>247.04126445269657</v>
      </c>
    </row>
    <row r="91" spans="2:9" ht="16" x14ac:dyDescent="0.2">
      <c r="B91" s="90">
        <v>87</v>
      </c>
      <c r="C91" s="91">
        <v>41638</v>
      </c>
      <c r="D91" s="92">
        <v>56.3</v>
      </c>
      <c r="E91" s="51" cm="1">
        <f t="array" ref="E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384.36788339518608</v>
      </c>
      <c r="F91" s="49" cm="1">
        <f t="array" ref="F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75.207460031338726</v>
      </c>
      <c r="G91" s="20">
        <f>tbl_Monitoring[[#This Row],[Area (km2)]]/4046.8564224*1000000</f>
        <v>13912.032976601407</v>
      </c>
      <c r="H91" s="20">
        <f>tbl_Monitoring[[#This Row],[Volume (MCM)]]/1233.4818375475*1000000</f>
        <v>311612.11433758505</v>
      </c>
      <c r="I91" s="40">
        <f>tbl_Monitoring[[#This Row],[Elevation (SRTM30-m)]]*3.280839895</f>
        <v>246.74363527243406</v>
      </c>
    </row>
    <row r="92" spans="2:9" ht="16" x14ac:dyDescent="0.2">
      <c r="B92" s="90">
        <v>88</v>
      </c>
      <c r="C92" s="91">
        <v>41646</v>
      </c>
      <c r="D92" s="92">
        <v>52.41</v>
      </c>
      <c r="E92" s="51" cm="1">
        <f t="array" ref="E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356.36445886844842</v>
      </c>
      <c r="F92" s="49" cm="1">
        <f t="array" ref="F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74.726291025492685</v>
      </c>
      <c r="G92" s="20">
        <f>tbl_Monitoring[[#This Row],[Area (km2)]]/4046.8564224*1000000</f>
        <v>12950.793042694135</v>
      </c>
      <c r="H92" s="20">
        <f>tbl_Monitoring[[#This Row],[Volume (MCM)]]/1233.4818375475*1000000</f>
        <v>288909.36860245839</v>
      </c>
      <c r="I92" s="40">
        <f>tbl_Monitoring[[#This Row],[Elevation (SRTM30-m)]]*3.280839895</f>
        <v>245.16499680181687</v>
      </c>
    </row>
    <row r="93" spans="2:9" ht="16" x14ac:dyDescent="0.2">
      <c r="B93" s="90">
        <v>89</v>
      </c>
      <c r="C93" s="91">
        <v>41654</v>
      </c>
      <c r="D93" s="92">
        <v>57.3</v>
      </c>
      <c r="E93" s="51" cm="1">
        <f t="array" ref="E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391.79339500583183</v>
      </c>
      <c r="F93" s="49" cm="1">
        <f t="array" ref="F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75.325274802954794</v>
      </c>
      <c r="G93" s="20">
        <f>tbl_Monitoring[[#This Row],[Area (km2)]]/4046.8564224*1000000</f>
        <v>14159.138358068572</v>
      </c>
      <c r="H93" s="20">
        <f>tbl_Monitoring[[#This Row],[Volume (MCM)]]/1233.4818375475*1000000</f>
        <v>317632.07457097585</v>
      </c>
      <c r="I93" s="40">
        <f>tbl_Monitoring[[#This Row],[Elevation (SRTM30-m)]]*3.280839895</f>
        <v>247.13016667537238</v>
      </c>
    </row>
    <row r="94" spans="2:9" ht="16" x14ac:dyDescent="0.2">
      <c r="B94" s="90">
        <v>90</v>
      </c>
      <c r="C94" s="91">
        <v>41662</v>
      </c>
      <c r="D94" s="92">
        <v>57.83</v>
      </c>
      <c r="E94" s="51" cm="1">
        <f t="array" ref="E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395.72891615947407</v>
      </c>
      <c r="F94" s="49" cm="1">
        <f t="array" ref="F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75.387716631911303</v>
      </c>
      <c r="G94" s="20">
        <f>tbl_Monitoring[[#This Row],[Area (km2)]]/4046.8564224*1000000</f>
        <v>14290.104210246171</v>
      </c>
      <c r="H94" s="20">
        <f>tbl_Monitoring[[#This Row],[Volume (MCM)]]/1233.4818375475*1000000</f>
        <v>320822.65349467297</v>
      </c>
      <c r="I94" s="40">
        <f>tbl_Monitoring[[#This Row],[Elevation (SRTM30-m)]]*3.280839895</f>
        <v>247.33502831892966</v>
      </c>
    </row>
    <row r="95" spans="2:9" ht="16" x14ac:dyDescent="0.2">
      <c r="B95" s="90">
        <v>91</v>
      </c>
      <c r="C95" s="91">
        <v>41670</v>
      </c>
      <c r="D95" s="92">
        <v>57.51</v>
      </c>
      <c r="E95" s="51" cm="1">
        <f t="array" ref="E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393.35275244406745</v>
      </c>
      <c r="F95" s="49" cm="1">
        <f t="array" ref="F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75.350015904994166</v>
      </c>
      <c r="G95" s="20">
        <f>tbl_Monitoring[[#This Row],[Area (km2)]]/4046.8564224*1000000</f>
        <v>14211.030488176677</v>
      </c>
      <c r="H95" s="20">
        <f>tbl_Monitoring[[#This Row],[Volume (MCM)]]/1233.4818375475*1000000</f>
        <v>318896.26621998794</v>
      </c>
      <c r="I95" s="40">
        <f>tbl_Monitoring[[#This Row],[Elevation (SRTM30-m)]]*3.280839895</f>
        <v>247.2113382699894</v>
      </c>
    </row>
    <row r="96" spans="2:9" ht="16" x14ac:dyDescent="0.2">
      <c r="B96" s="90">
        <v>92</v>
      </c>
      <c r="C96" s="91">
        <v>41678</v>
      </c>
      <c r="D96" s="92">
        <v>59.64</v>
      </c>
      <c r="E96" s="51" cm="1">
        <f t="array" ref="E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409.1690921747429</v>
      </c>
      <c r="F96" s="49" cm="1">
        <f t="array" ref="F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75.600961368536389</v>
      </c>
      <c r="G96" s="20">
        <f>tbl_Monitoring[[#This Row],[Area (km2)]]/4046.8564224*1000000</f>
        <v>14737.36495070174</v>
      </c>
      <c r="H96" s="20">
        <f>tbl_Monitoring[[#This Row],[Volume (MCM)]]/1233.4818375475*1000000</f>
        <v>331718.7815171103</v>
      </c>
      <c r="I96" s="40">
        <f>tbl_Monitoring[[#This Row],[Elevation (SRTM30-m)]]*3.280839895</f>
        <v>248.03465015824798</v>
      </c>
    </row>
    <row r="97" spans="2:9" ht="16" x14ac:dyDescent="0.2">
      <c r="B97" s="90">
        <v>93</v>
      </c>
      <c r="C97" s="91">
        <v>41686</v>
      </c>
      <c r="D97" s="92">
        <v>57.79</v>
      </c>
      <c r="E97" s="51" cm="1">
        <f t="array" ref="E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395.43189569504824</v>
      </c>
      <c r="F97" s="49" cm="1">
        <f t="array" ref="F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75.383004041046661</v>
      </c>
      <c r="G97" s="20">
        <f>tbl_Monitoring[[#This Row],[Area (km2)]]/4046.8564224*1000000</f>
        <v>14280.219994987485</v>
      </c>
      <c r="H97" s="20">
        <f>tbl_Monitoring[[#This Row],[Volume (MCM)]]/1233.4818375475*1000000</f>
        <v>320581.8550853373</v>
      </c>
      <c r="I97" s="40">
        <f>tbl_Monitoring[[#This Row],[Elevation (SRTM30-m)]]*3.280839895</f>
        <v>247.31956706281213</v>
      </c>
    </row>
    <row r="98" spans="2:9" ht="16" x14ac:dyDescent="0.2">
      <c r="B98" s="90">
        <v>94</v>
      </c>
      <c r="C98" s="91">
        <v>41694</v>
      </c>
      <c r="D98" s="92">
        <v>57.98</v>
      </c>
      <c r="E98" s="51" cm="1">
        <f t="array" ref="E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396.84274290107095</v>
      </c>
      <c r="F98" s="49" cm="1">
        <f t="array" ref="F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75.405388847653725</v>
      </c>
      <c r="G98" s="20">
        <f>tbl_Monitoring[[#This Row],[Area (km2)]]/4046.8564224*1000000</f>
        <v>14327.170017466246</v>
      </c>
      <c r="H98" s="20">
        <f>tbl_Monitoring[[#This Row],[Volume (MCM)]]/1233.4818375475*1000000</f>
        <v>321725.64752968156</v>
      </c>
      <c r="I98" s="40">
        <f>tbl_Monitoring[[#This Row],[Elevation (SRTM30-m)]]*3.280839895</f>
        <v>247.39300802937043</v>
      </c>
    </row>
    <row r="99" spans="2:9" ht="16" x14ac:dyDescent="0.2">
      <c r="B99" s="90">
        <v>95</v>
      </c>
      <c r="C99" s="91">
        <v>41702</v>
      </c>
      <c r="D99" s="92">
        <v>59.4</v>
      </c>
      <c r="E99" s="51" cm="1">
        <f t="array" ref="E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407.38696938818788</v>
      </c>
      <c r="F99" s="49" cm="1">
        <f t="array" ref="F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75.572685823348536</v>
      </c>
      <c r="G99" s="20">
        <f>tbl_Monitoring[[#This Row],[Area (km2)]]/4046.8564224*1000000</f>
        <v>14678.059659149621</v>
      </c>
      <c r="H99" s="20">
        <f>tbl_Monitoring[[#This Row],[Volume (MCM)]]/1233.4818375475*1000000</f>
        <v>330273.99106109649</v>
      </c>
      <c r="I99" s="40">
        <f>tbl_Monitoring[[#This Row],[Elevation (SRTM30-m)]]*3.280839895</f>
        <v>247.94188262154282</v>
      </c>
    </row>
    <row r="100" spans="2:9" ht="16" x14ac:dyDescent="0.2">
      <c r="B100" s="90">
        <v>96</v>
      </c>
      <c r="C100" s="91">
        <v>41718</v>
      </c>
      <c r="D100" s="92">
        <v>59.51</v>
      </c>
      <c r="E100" s="51" cm="1">
        <f t="array" ref="E1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408.20377566535893</v>
      </c>
      <c r="F100" s="49" cm="1">
        <f t="array" ref="F1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75.585645448226302</v>
      </c>
      <c r="G100" s="20">
        <f>tbl_Monitoring[[#This Row],[Area (km2)]]/4046.8564224*1000000</f>
        <v>14705.241251111007</v>
      </c>
      <c r="H100" s="20">
        <f>tbl_Monitoring[[#This Row],[Volume (MCM)]]/1233.4818375475*1000000</f>
        <v>330936.18668676948</v>
      </c>
      <c r="I100" s="40">
        <f>tbl_Monitoring[[#This Row],[Elevation (SRTM30-m)]]*3.280839895</f>
        <v>247.98440107586603</v>
      </c>
    </row>
    <row r="101" spans="2:9" ht="16" x14ac:dyDescent="0.2">
      <c r="B101" s="90">
        <v>97</v>
      </c>
      <c r="C101" s="91">
        <v>41726</v>
      </c>
      <c r="D101" s="92">
        <v>58.28</v>
      </c>
      <c r="E101" s="51" cm="1">
        <f t="array" ref="E1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399.07039638426465</v>
      </c>
      <c r="F101" s="49" cm="1">
        <f t="array" ref="F1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75.440733279138541</v>
      </c>
      <c r="G101" s="20">
        <f>tbl_Monitoring[[#This Row],[Area (km2)]]/4046.8564224*1000000</f>
        <v>14401.301631906395</v>
      </c>
      <c r="H101" s="20">
        <f>tbl_Monitoring[[#This Row],[Volume (MCM)]]/1233.4818375475*1000000</f>
        <v>323531.63559969881</v>
      </c>
      <c r="I101" s="40">
        <f>tbl_Monitoring[[#This Row],[Elevation (SRTM30-m)]]*3.280839895</f>
        <v>247.5089674502519</v>
      </c>
    </row>
    <row r="102" spans="2:9" ht="16" x14ac:dyDescent="0.2">
      <c r="B102" s="90">
        <v>98</v>
      </c>
      <c r="C102" s="91">
        <v>41734</v>
      </c>
      <c r="D102" s="92">
        <v>57.65</v>
      </c>
      <c r="E102" s="51" cm="1">
        <f t="array" ref="E1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394.39232406955784</v>
      </c>
      <c r="F102" s="49" cm="1">
        <f t="array" ref="F1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75.366509973020413</v>
      </c>
      <c r="G102" s="20">
        <f>tbl_Monitoring[[#This Row],[Area (km2)]]/4046.8564224*1000000</f>
        <v>14245.62524158208</v>
      </c>
      <c r="H102" s="20">
        <f>tbl_Monitoring[[#This Row],[Volume (MCM)]]/1233.4818375475*1000000</f>
        <v>319739.06065266259</v>
      </c>
      <c r="I102" s="40">
        <f>tbl_Monitoring[[#This Row],[Elevation (SRTM30-m)]]*3.280839895</f>
        <v>247.26545266640076</v>
      </c>
    </row>
    <row r="103" spans="2:9" ht="16" x14ac:dyDescent="0.2">
      <c r="B103" s="90">
        <v>99</v>
      </c>
      <c r="C103" s="91">
        <v>41742</v>
      </c>
      <c r="D103" s="92">
        <v>57.71</v>
      </c>
      <c r="E103" s="51" cm="1">
        <f t="array" ref="E1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394.83785476619659</v>
      </c>
      <c r="F103" s="49" cm="1">
        <f t="array" ref="F1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75.373578859317377</v>
      </c>
      <c r="G103" s="20">
        <f>tbl_Monitoring[[#This Row],[Area (km2)]]/4046.8564224*1000000</f>
        <v>14260.451564470111</v>
      </c>
      <c r="H103" s="20">
        <f>tbl_Monitoring[[#This Row],[Volume (MCM)]]/1233.4818375475*1000000</f>
        <v>320100.25826666609</v>
      </c>
      <c r="I103" s="40">
        <f>tbl_Monitoring[[#This Row],[Elevation (SRTM30-m)]]*3.280839895</f>
        <v>247.28864455057706</v>
      </c>
    </row>
    <row r="104" spans="2:9" ht="16" x14ac:dyDescent="0.2">
      <c r="B104" s="90">
        <v>100</v>
      </c>
      <c r="C104" s="91">
        <v>41750</v>
      </c>
      <c r="D104" s="92">
        <v>57.35</v>
      </c>
      <c r="E104" s="51" cm="1">
        <f t="array" ref="E1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392.16467058636414</v>
      </c>
      <c r="F104" s="49" cm="1">
        <f t="array" ref="F1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75.331165541535597</v>
      </c>
      <c r="G104" s="20">
        <f>tbl_Monitoring[[#This Row],[Area (km2)]]/4046.8564224*1000000</f>
        <v>14171.493627141932</v>
      </c>
      <c r="H104" s="20">
        <f>tbl_Monitoring[[#This Row],[Volume (MCM)]]/1233.4818375475*1000000</f>
        <v>317933.0725826454</v>
      </c>
      <c r="I104" s="40">
        <f>tbl_Monitoring[[#This Row],[Elevation (SRTM30-m)]]*3.280839895</f>
        <v>247.14949324551927</v>
      </c>
    </row>
    <row r="105" spans="2:9" ht="16" x14ac:dyDescent="0.2">
      <c r="B105" s="90">
        <v>101</v>
      </c>
      <c r="C105" s="91">
        <v>41766</v>
      </c>
      <c r="D105" s="92">
        <v>56.75</v>
      </c>
      <c r="E105" s="51" cm="1">
        <f t="array" ref="E1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387.70936361997667</v>
      </c>
      <c r="F105" s="49" cm="1">
        <f t="array" ref="F1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75.260476678565965</v>
      </c>
      <c r="G105" s="20">
        <f>tbl_Monitoring[[#This Row],[Area (km2)]]/4046.8564224*1000000</f>
        <v>14023.230398261632</v>
      </c>
      <c r="H105" s="20">
        <f>tbl_Monitoring[[#This Row],[Volume (MCM)]]/1233.4818375475*1000000</f>
        <v>314321.0964426109</v>
      </c>
      <c r="I105" s="40">
        <f>tbl_Monitoring[[#This Row],[Elevation (SRTM30-m)]]*3.280839895</f>
        <v>246.91757440375633</v>
      </c>
    </row>
    <row r="106" spans="2:9" ht="16" x14ac:dyDescent="0.2">
      <c r="B106" s="90">
        <v>102</v>
      </c>
      <c r="C106" s="91">
        <v>41782</v>
      </c>
      <c r="D106" s="92">
        <v>58.44</v>
      </c>
      <c r="E106" s="51" cm="1">
        <f t="array" ref="E1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400.25847824196796</v>
      </c>
      <c r="F106" s="49" cm="1">
        <f t="array" ref="F1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75.45958364259711</v>
      </c>
      <c r="G106" s="20">
        <f>tbl_Monitoring[[#This Row],[Area (km2)]]/4046.8564224*1000000</f>
        <v>14440.838492941142</v>
      </c>
      <c r="H106" s="20">
        <f>tbl_Monitoring[[#This Row],[Volume (MCM)]]/1233.4818375475*1000000</f>
        <v>324494.82923704135</v>
      </c>
      <c r="I106" s="40">
        <f>tbl_Monitoring[[#This Row],[Elevation (SRTM30-m)]]*3.280839895</f>
        <v>247.57081247472203</v>
      </c>
    </row>
    <row r="107" spans="2:9" ht="16" x14ac:dyDescent="0.2">
      <c r="B107" s="90">
        <v>103</v>
      </c>
      <c r="C107" s="91">
        <v>41790</v>
      </c>
      <c r="D107" s="92">
        <v>58.27</v>
      </c>
      <c r="E107" s="51" cm="1">
        <f t="array" ref="E1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398.99614126815823</v>
      </c>
      <c r="F107" s="49" cm="1">
        <f t="array" ref="F1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75.439555131422381</v>
      </c>
      <c r="G107" s="20">
        <f>tbl_Monitoring[[#This Row],[Area (km2)]]/4046.8564224*1000000</f>
        <v>14398.830578091725</v>
      </c>
      <c r="H107" s="20">
        <f>tbl_Monitoring[[#This Row],[Volume (MCM)]]/1233.4818375475*1000000</f>
        <v>323471.43599736493</v>
      </c>
      <c r="I107" s="40">
        <f>tbl_Monitoring[[#This Row],[Elevation (SRTM30-m)]]*3.280839895</f>
        <v>247.50510213622252</v>
      </c>
    </row>
    <row r="108" spans="2:9" ht="16" x14ac:dyDescent="0.2">
      <c r="B108" s="90">
        <v>104</v>
      </c>
      <c r="C108" s="91">
        <v>41798</v>
      </c>
      <c r="D108" s="92">
        <v>56.47</v>
      </c>
      <c r="E108" s="51" cm="1">
        <f t="array" ref="E1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385.63022036899588</v>
      </c>
      <c r="F108" s="49" cm="1">
        <f t="array" ref="F1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75.227488542513456</v>
      </c>
      <c r="G108" s="20">
        <f>tbl_Monitoring[[#This Row],[Area (km2)]]/4046.8564224*1000000</f>
        <v>13954.040891450826</v>
      </c>
      <c r="H108" s="20">
        <f>tbl_Monitoring[[#This Row],[Volume (MCM)]]/1233.4818375475*1000000</f>
        <v>312635.50757726148</v>
      </c>
      <c r="I108" s="40">
        <f>tbl_Monitoring[[#This Row],[Elevation (SRTM30-m)]]*3.280839895</f>
        <v>246.80934561093355</v>
      </c>
    </row>
    <row r="109" spans="2:9" ht="16" x14ac:dyDescent="0.2">
      <c r="B109" s="90">
        <v>105</v>
      </c>
      <c r="C109" s="91">
        <v>41806</v>
      </c>
      <c r="D109" s="92">
        <v>58.18</v>
      </c>
      <c r="E109" s="51" cm="1">
        <f t="array" ref="E1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398.32784522320009</v>
      </c>
      <c r="F109" s="49" cm="1">
        <f t="array" ref="F1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75.428951801976936</v>
      </c>
      <c r="G109" s="20">
        <f>tbl_Monitoring[[#This Row],[Area (km2)]]/4046.8564224*1000000</f>
        <v>14376.591093759678</v>
      </c>
      <c r="H109" s="20">
        <f>tbl_Monitoring[[#This Row],[Volume (MCM)]]/1233.4818375475*1000000</f>
        <v>322929.63957635971</v>
      </c>
      <c r="I109" s="40">
        <f>tbl_Monitoring[[#This Row],[Elevation (SRTM30-m)]]*3.280839895</f>
        <v>247.4703143099581</v>
      </c>
    </row>
    <row r="110" spans="2:9" ht="16" x14ac:dyDescent="0.2">
      <c r="B110" s="90">
        <v>106</v>
      </c>
      <c r="C110" s="91">
        <v>41814</v>
      </c>
      <c r="D110" s="92">
        <v>56.08</v>
      </c>
      <c r="E110" s="51" cm="1">
        <f t="array" ref="E1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382.73427084084403</v>
      </c>
      <c r="F110" s="49" cm="1">
        <f t="array" ref="F1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75.181540781583195</v>
      </c>
      <c r="G110" s="20">
        <f>tbl_Monitoring[[#This Row],[Area (km2)]]/4046.8564224*1000000</f>
        <v>13857.669792678631</v>
      </c>
      <c r="H110" s="20">
        <f>tbl_Monitoring[[#This Row],[Volume (MCM)]]/1233.4818375475*1000000</f>
        <v>310287.72308623907</v>
      </c>
      <c r="I110" s="40">
        <f>tbl_Monitoring[[#This Row],[Elevation (SRTM30-m)]]*3.280839895</f>
        <v>246.65859836378763</v>
      </c>
    </row>
    <row r="111" spans="2:9" ht="16" x14ac:dyDescent="0.2">
      <c r="B111" s="90">
        <v>107</v>
      </c>
      <c r="C111" s="91">
        <v>41830</v>
      </c>
      <c r="D111" s="92">
        <v>54.16</v>
      </c>
      <c r="E111" s="51" cm="1">
        <f t="array" ref="E1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368.63430151567741</v>
      </c>
      <c r="F111" s="49" cm="1">
        <f t="array" ref="F1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74.951264350084202</v>
      </c>
      <c r="G111" s="20">
        <f>tbl_Monitoring[[#This Row],[Area (km2)]]/4046.8564224*1000000</f>
        <v>13383.227460261674</v>
      </c>
      <c r="H111" s="20">
        <f>tbl_Monitoring[[#This Row],[Volume (MCM)]]/1233.4818375475*1000000</f>
        <v>298856.69192229328</v>
      </c>
      <c r="I111" s="40">
        <f>tbl_Monitoring[[#This Row],[Elevation (SRTM30-m)]]*3.280839895</f>
        <v>245.90309826044751</v>
      </c>
    </row>
    <row r="112" spans="2:9" ht="16" x14ac:dyDescent="0.2">
      <c r="B112" s="90">
        <v>108</v>
      </c>
      <c r="C112" s="91">
        <v>41838</v>
      </c>
      <c r="D112" s="92">
        <v>54.2</v>
      </c>
      <c r="E112" s="51" cm="1">
        <f t="array" ref="E1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368.91475506189983</v>
      </c>
      <c r="F112" s="49" cm="1">
        <f t="array" ref="F1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74.956406597503445</v>
      </c>
      <c r="G112" s="20">
        <f>tbl_Monitoring[[#This Row],[Area (km2)]]/4046.8564224*1000000</f>
        <v>13393.11167552036</v>
      </c>
      <c r="H112" s="20">
        <f>tbl_Monitoring[[#This Row],[Volume (MCM)]]/1233.4818375475*1000000</f>
        <v>299084.05931246094</v>
      </c>
      <c r="I112" s="40">
        <f>tbl_Monitoring[[#This Row],[Elevation (SRTM30-m)]]*3.280839895</f>
        <v>245.91996915093051</v>
      </c>
    </row>
    <row r="113" spans="2:9" ht="16" x14ac:dyDescent="0.2">
      <c r="B113" s="90">
        <v>109</v>
      </c>
      <c r="C113" s="91">
        <v>41862</v>
      </c>
      <c r="D113" s="92">
        <v>50.32</v>
      </c>
      <c r="E113" s="51" cm="1">
        <f t="array" ref="E1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341.71076107832931</v>
      </c>
      <c r="F113" s="49" cm="1">
        <f t="array" ref="F1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74.457608597837691</v>
      </c>
      <c r="G113" s="20">
        <f>tbl_Monitoring[[#This Row],[Area (km2)]]/4046.8564224*1000000</f>
        <v>12434.342795427759</v>
      </c>
      <c r="H113" s="20">
        <f>tbl_Monitoring[[#This Row],[Volume (MCM)]]/1233.4818375475*1000000</f>
        <v>277029.42246619862</v>
      </c>
      <c r="I113" s="40">
        <f>tbl_Monitoring[[#This Row],[Elevation (SRTM30-m)]]*3.280839895</f>
        <v>244.28349277408091</v>
      </c>
    </row>
    <row r="114" spans="2:9" ht="16" x14ac:dyDescent="0.2">
      <c r="B114" s="90">
        <v>110</v>
      </c>
      <c r="C114" s="91">
        <v>41870</v>
      </c>
      <c r="D114" s="92">
        <v>48.95</v>
      </c>
      <c r="E114" s="51" cm="1">
        <f t="array" ref="E1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332.10522712021293</v>
      </c>
      <c r="F114" s="49" cm="1">
        <f t="array" ref="F1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74.281486623728895</v>
      </c>
      <c r="G114" s="20">
        <f>tbl_Monitoring[[#This Row],[Area (km2)]]/4046.8564224*1000000</f>
        <v>12095.808422817743</v>
      </c>
      <c r="H114" s="20">
        <f>tbl_Monitoring[[#This Row],[Volume (MCM)]]/1233.4818375475*1000000</f>
        <v>269242.08935295645</v>
      </c>
      <c r="I114" s="40">
        <f>tbl_Monitoring[[#This Row],[Elevation (SRTM30-m)]]*3.280839895</f>
        <v>243.70566477503863</v>
      </c>
    </row>
    <row r="115" spans="2:9" ht="16" x14ac:dyDescent="0.2">
      <c r="B115" s="90">
        <v>111</v>
      </c>
      <c r="C115" s="91">
        <v>41878</v>
      </c>
      <c r="D115" s="92">
        <v>46.41</v>
      </c>
      <c r="E115" s="51" cm="1">
        <f t="array" ref="E1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314.29832103559869</v>
      </c>
      <c r="F115" s="49" cm="1">
        <f t="array" ref="F1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73.947500898957216</v>
      </c>
      <c r="G115" s="20">
        <f>tbl_Monitoring[[#This Row],[Area (km2)]]/4046.8564224*1000000</f>
        <v>11468.160753891141</v>
      </c>
      <c r="H115" s="20">
        <f>tbl_Monitoring[[#This Row],[Volume (MCM)]]/1233.4818375475*1000000</f>
        <v>254805.79564958162</v>
      </c>
      <c r="I115" s="40">
        <f>tbl_Monitoring[[#This Row],[Elevation (SRTM30-m)]]*3.280839895</f>
        <v>242.6099110848472</v>
      </c>
    </row>
    <row r="116" spans="2:9" ht="16" x14ac:dyDescent="0.2">
      <c r="B116" s="90">
        <v>112</v>
      </c>
      <c r="C116" s="91">
        <v>41886</v>
      </c>
      <c r="D116" s="92">
        <v>46.54</v>
      </c>
      <c r="E116" s="51" cm="1">
        <f t="array" ref="E1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315.20909234088458</v>
      </c>
      <c r="F116" s="49" cm="1">
        <f t="array" ref="F1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73.966978305166009</v>
      </c>
      <c r="G116" s="20">
        <f>tbl_Monitoring[[#This Row],[Area (km2)]]/4046.8564224*1000000</f>
        <v>11500.284453481874</v>
      </c>
      <c r="H116" s="20">
        <f>tbl_Monitoring[[#This Row],[Volume (MCM)]]/1233.4818375475*1000000</f>
        <v>255544.16996330215</v>
      </c>
      <c r="I116" s="40">
        <f>tbl_Monitoring[[#This Row],[Elevation (SRTM30-m)]]*3.280839895</f>
        <v>242.67381333618815</v>
      </c>
    </row>
    <row r="117" spans="2:9" ht="16" x14ac:dyDescent="0.2">
      <c r="B117" s="90">
        <v>113</v>
      </c>
      <c r="C117" s="91">
        <v>41894</v>
      </c>
      <c r="D117" s="92">
        <v>43.54</v>
      </c>
      <c r="E117" s="51" cm="1">
        <f t="array" ref="E1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294.1912929881338</v>
      </c>
      <c r="F117" s="49" cm="1">
        <f t="array" ref="F1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73.517499700347599</v>
      </c>
      <c r="G117" s="20">
        <f>tbl_Monitoring[[#This Row],[Area (km2)]]/4046.8564224*1000000</f>
        <v>10758.968309080379</v>
      </c>
      <c r="H117" s="20">
        <f>tbl_Monitoring[[#This Row],[Volume (MCM)]]/1233.4818375475*1000000</f>
        <v>238504.76272359773</v>
      </c>
      <c r="I117" s="40">
        <f>tbl_Monitoring[[#This Row],[Elevation (SRTM30-m)]]*3.280839895</f>
        <v>241.19914599755097</v>
      </c>
    </row>
    <row r="118" spans="2:9" ht="16" x14ac:dyDescent="0.2">
      <c r="B118" s="90">
        <v>114</v>
      </c>
      <c r="C118" s="91">
        <v>41902</v>
      </c>
      <c r="D118" s="92">
        <v>43.79</v>
      </c>
      <c r="E118" s="51" cm="1">
        <f t="array" ref="E1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295.94277626752967</v>
      </c>
      <c r="F118" s="49" cm="1">
        <f t="array" ref="F1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73.554956250749129</v>
      </c>
      <c r="G118" s="20">
        <f>tbl_Monitoring[[#This Row],[Area (km2)]]/4046.8564224*1000000</f>
        <v>10820.74465444717</v>
      </c>
      <c r="H118" s="20">
        <f>tbl_Monitoring[[#This Row],[Volume (MCM)]]/1233.4818375475*1000000</f>
        <v>239924.71332690641</v>
      </c>
      <c r="I118" s="40">
        <f>tbl_Monitoring[[#This Row],[Elevation (SRTM30-m)]]*3.280839895</f>
        <v>241.32203494243737</v>
      </c>
    </row>
    <row r="119" spans="2:9" ht="16" x14ac:dyDescent="0.2">
      <c r="B119" s="90">
        <v>115</v>
      </c>
      <c r="C119" s="91">
        <v>41918</v>
      </c>
      <c r="D119" s="92">
        <v>41.09</v>
      </c>
      <c r="E119" s="51" cm="1">
        <f t="array" ref="E1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277.02675685005397</v>
      </c>
      <c r="F119" s="49" cm="1">
        <f t="array" ref="F1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73.15042550641256</v>
      </c>
      <c r="G119" s="20">
        <f>tbl_Monitoring[[#This Row],[Area (km2)]]/4046.8564224*1000000</f>
        <v>10153.560124485824</v>
      </c>
      <c r="H119" s="20">
        <f>tbl_Monitoring[[#This Row],[Volume (MCM)]]/1233.4818375475*1000000</f>
        <v>224589.24681117243</v>
      </c>
      <c r="I119" s="40">
        <f>tbl_Monitoring[[#This Row],[Elevation (SRTM30-m)]]*3.280839895</f>
        <v>239.99483433766392</v>
      </c>
    </row>
    <row r="120" spans="2:9" ht="16" x14ac:dyDescent="0.2">
      <c r="B120" s="90">
        <v>116</v>
      </c>
      <c r="C120" s="91">
        <v>41926</v>
      </c>
      <c r="D120" s="92">
        <v>40.64</v>
      </c>
      <c r="E120" s="51" cm="1">
        <f t="array" ref="E1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273.87408694714134</v>
      </c>
      <c r="F120" s="49" cm="1">
        <f t="array" ref="F1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73.083003715689799</v>
      </c>
      <c r="G120" s="20">
        <f>tbl_Monitoring[[#This Row],[Area (km2)]]/4046.8564224*1000000</f>
        <v>10042.3627028256</v>
      </c>
      <c r="H120" s="20">
        <f>tbl_Monitoring[[#This Row],[Volume (MCM)]]/1233.4818375475*1000000</f>
        <v>222033.33572521678</v>
      </c>
      <c r="I120" s="40">
        <f>tbl_Monitoring[[#This Row],[Elevation (SRTM30-m)]]*3.280839895</f>
        <v>239.77363423686833</v>
      </c>
    </row>
    <row r="121" spans="2:9" ht="16" x14ac:dyDescent="0.2">
      <c r="B121" s="90">
        <v>117</v>
      </c>
      <c r="C121" s="91">
        <v>41934</v>
      </c>
      <c r="D121" s="92">
        <v>40.47</v>
      </c>
      <c r="E121" s="51" cm="1">
        <f t="array" ref="E1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272.68307831715208</v>
      </c>
      <c r="F121" s="49" cm="1">
        <f t="array" ref="F1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73.057533261416751</v>
      </c>
      <c r="G121" s="20">
        <f>tbl_Monitoring[[#This Row],[Area (km2)]]/4046.8564224*1000000</f>
        <v>10000.354787976181</v>
      </c>
      <c r="H121" s="20">
        <f>tbl_Monitoring[[#This Row],[Volume (MCM)]]/1233.4818375475*1000000</f>
        <v>221067.7693149668</v>
      </c>
      <c r="I121" s="40">
        <f>tbl_Monitoring[[#This Row],[Elevation (SRTM30-m)]]*3.280839895</f>
        <v>239.69006975434556</v>
      </c>
    </row>
    <row r="122" spans="2:9" ht="16" x14ac:dyDescent="0.2">
      <c r="B122" s="90">
        <v>118</v>
      </c>
      <c r="C122" s="91">
        <v>41942</v>
      </c>
      <c r="D122" s="92">
        <v>39.65</v>
      </c>
      <c r="E122" s="51" cm="1">
        <f t="array" ref="E1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266.84285028386051</v>
      </c>
      <c r="F122" s="49" cm="1">
        <f t="array" ref="F1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72.921420203658641</v>
      </c>
      <c r="G122" s="20">
        <f>tbl_Monitoring[[#This Row],[Area (km2)]]/4046.8564224*1000000</f>
        <v>9797.7283751731047</v>
      </c>
      <c r="H122" s="20">
        <f>tbl_Monitoring[[#This Row],[Volume (MCM)]]/1233.4818375475*1000000</f>
        <v>216333.01939363556</v>
      </c>
      <c r="I122" s="40">
        <f>tbl_Monitoring[[#This Row],[Elevation (SRTM30-m)]]*3.280839895</f>
        <v>239.2435046042223</v>
      </c>
    </row>
    <row r="123" spans="2:9" ht="16" x14ac:dyDescent="0.2">
      <c r="B123" s="90">
        <v>119</v>
      </c>
      <c r="C123" s="91">
        <v>41950</v>
      </c>
      <c r="D123" s="92">
        <v>39.880000000000003</v>
      </c>
      <c r="E123" s="51" cm="1">
        <f t="array" ref="E1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268.50452100567725</v>
      </c>
      <c r="F123" s="49" cm="1">
        <f t="array" ref="F1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72.96287284851762</v>
      </c>
      <c r="G123" s="20">
        <f>tbl_Monitoring[[#This Row],[Area (km2)]]/4046.8564224*1000000</f>
        <v>9854.5626129105549</v>
      </c>
      <c r="H123" s="20">
        <f>tbl_Monitoring[[#This Row],[Volume (MCM)]]/1233.4818375475*1000000</f>
        <v>217680.1577715468</v>
      </c>
      <c r="I123" s="40">
        <f>tbl_Monitoring[[#This Row],[Elevation (SRTM30-m)]]*3.280839895</f>
        <v>239.37950409522892</v>
      </c>
    </row>
    <row r="124" spans="2:9" ht="16" x14ac:dyDescent="0.2">
      <c r="B124" s="90">
        <v>120</v>
      </c>
      <c r="C124" s="91">
        <v>41958</v>
      </c>
      <c r="D124" s="92">
        <v>37.159999999999997</v>
      </c>
      <c r="E124" s="51" cm="1">
        <f t="array" ref="E1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248.85345855636655</v>
      </c>
      <c r="F124" s="49" cm="1">
        <f t="array" ref="F1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72.472650265837615</v>
      </c>
      <c r="G124" s="20">
        <f>tbl_Monitoring[[#This Row],[Area (km2)]]/4046.8564224*1000000</f>
        <v>9182.4359753198623</v>
      </c>
      <c r="H124" s="20">
        <f>tbl_Monitoring[[#This Row],[Volume (MCM)]]/1233.4818375475*1000000</f>
        <v>201748.78217190085</v>
      </c>
      <c r="I124" s="40">
        <f>tbl_Monitoring[[#This Row],[Elevation (SRTM30-m)]]*3.280839895</f>
        <v>237.77116228854243</v>
      </c>
    </row>
    <row r="125" spans="2:9" ht="16" x14ac:dyDescent="0.2">
      <c r="B125" s="90">
        <v>121</v>
      </c>
      <c r="C125" s="91">
        <v>41966</v>
      </c>
      <c r="D125" s="92">
        <v>37.25</v>
      </c>
      <c r="E125" s="51" cm="1">
        <f t="array" ref="E1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249.50367753446878</v>
      </c>
      <c r="F125" s="49" cm="1">
        <f t="array" ref="F1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72.488870865999814</v>
      </c>
      <c r="G125" s="20">
        <f>tbl_Monitoring[[#This Row],[Area (km2)]]/4046.8564224*1000000</f>
        <v>9204.6754596519095</v>
      </c>
      <c r="H125" s="20">
        <f>tbl_Monitoring[[#This Row],[Volume (MCM)]]/1233.4818375475*1000000</f>
        <v>202275.92327630092</v>
      </c>
      <c r="I125" s="40">
        <f>tbl_Monitoring[[#This Row],[Elevation (SRTM30-m)]]*3.280839895</f>
        <v>237.82437948067539</v>
      </c>
    </row>
    <row r="126" spans="2:9" ht="16" x14ac:dyDescent="0.2">
      <c r="B126" s="90">
        <v>122</v>
      </c>
      <c r="C126" s="91">
        <v>41974</v>
      </c>
      <c r="D126" s="92">
        <v>36.39</v>
      </c>
      <c r="E126" s="51" cm="1">
        <f t="array" ref="E1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243.29047396593674</v>
      </c>
      <c r="F126" s="49" cm="1">
        <f t="array" ref="F1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72.33387402000541</v>
      </c>
      <c r="G126" s="20">
        <f>tbl_Monitoring[[#This Row],[Area (km2)]]/4046.8564224*1000000</f>
        <v>8992.1648315901457</v>
      </c>
      <c r="H126" s="20">
        <f>tbl_Monitoring[[#This Row],[Volume (MCM)]]/1233.4818375475*1000000</f>
        <v>197238.79716758936</v>
      </c>
      <c r="I126" s="40">
        <f>tbl_Monitoring[[#This Row],[Elevation (SRTM30-m)]]*3.280839895</f>
        <v>237.3158596447378</v>
      </c>
    </row>
    <row r="127" spans="2:9" ht="16" x14ac:dyDescent="0.2">
      <c r="B127" s="90">
        <v>123</v>
      </c>
      <c r="C127" s="91">
        <v>41982</v>
      </c>
      <c r="D127" s="92">
        <v>35.75</v>
      </c>
      <c r="E127" s="51" cm="1">
        <f t="array" ref="E1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238.66669456609895</v>
      </c>
      <c r="F127" s="49" cm="1">
        <f t="array" ref="F1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72.218527529963055</v>
      </c>
      <c r="G127" s="20">
        <f>tbl_Monitoring[[#This Row],[Area (km2)]]/4046.8564224*1000000</f>
        <v>8834.0173874511602</v>
      </c>
      <c r="H127" s="20">
        <f>tbl_Monitoring[[#This Row],[Volume (MCM)]]/1233.4818375475*1000000</f>
        <v>193490.23820296678</v>
      </c>
      <c r="I127" s="40">
        <f>tbl_Monitoring[[#This Row],[Elevation (SRTM30-m)]]*3.280839895</f>
        <v>236.93742627845862</v>
      </c>
    </row>
    <row r="128" spans="2:9" ht="16" x14ac:dyDescent="0.2">
      <c r="B128" s="90">
        <v>124</v>
      </c>
      <c r="C128" s="91">
        <v>41990</v>
      </c>
      <c r="D128" s="92">
        <v>36.19</v>
      </c>
      <c r="E128" s="51" cm="1">
        <f t="array" ref="E1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241.8455429034874</v>
      </c>
      <c r="F128" s="49" cm="1">
        <f t="array" ref="F1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72.297828241867165</v>
      </c>
      <c r="G128" s="20">
        <f>tbl_Monitoring[[#This Row],[Area (km2)]]/4046.8564224*1000000</f>
        <v>8942.7437552967131</v>
      </c>
      <c r="H128" s="20">
        <f>tbl_Monitoring[[#This Row],[Volume (MCM)]]/1233.4818375475*1000000</f>
        <v>196067.37249114478</v>
      </c>
      <c r="I128" s="40">
        <f>tbl_Monitoring[[#This Row],[Elevation (SRTM30-m)]]*3.280839895</f>
        <v>237.19759921777552</v>
      </c>
    </row>
    <row r="129" spans="2:9" ht="16" x14ac:dyDescent="0.2">
      <c r="B129" s="90">
        <v>125</v>
      </c>
      <c r="C129" s="91">
        <v>41998</v>
      </c>
      <c r="D129" s="92">
        <v>35.549999999999997</v>
      </c>
      <c r="E129" s="51" cm="1">
        <f t="array" ref="E1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237.22176350364961</v>
      </c>
      <c r="F129" s="49" cm="1">
        <f t="array" ref="F1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72.182481751824824</v>
      </c>
      <c r="G129" s="20">
        <f>tbl_Monitoring[[#This Row],[Area (km2)]]/4046.8564224*1000000</f>
        <v>8784.5963111577275</v>
      </c>
      <c r="H129" s="20">
        <f>tbl_Monitoring[[#This Row],[Volume (MCM)]]/1233.4818375475*1000000</f>
        <v>192318.81352652222</v>
      </c>
      <c r="I129" s="40">
        <f>tbl_Monitoring[[#This Row],[Elevation (SRTM30-m)]]*3.280839895</f>
        <v>236.81916585149639</v>
      </c>
    </row>
    <row r="130" spans="2:9" ht="16" x14ac:dyDescent="0.2">
      <c r="B130" s="90">
        <v>126</v>
      </c>
      <c r="C130" s="91">
        <v>42022</v>
      </c>
      <c r="D130" s="92">
        <v>33.68</v>
      </c>
      <c r="E130" s="51" cm="1">
        <f t="array" ref="E1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223.64722942743009</v>
      </c>
      <c r="F130" s="49" cm="1">
        <f t="array" ref="F1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71.818760171623026</v>
      </c>
      <c r="G130" s="20">
        <f>tbl_Monitoring[[#This Row],[Area (km2)]]/4046.8564224*1000000</f>
        <v>8322.5092478141287</v>
      </c>
      <c r="H130" s="20">
        <f>tbl_Monitoring[[#This Row],[Volume (MCM)]]/1233.4818375475*1000000</f>
        <v>181313.7596513801</v>
      </c>
      <c r="I130" s="40">
        <f>tbl_Monitoring[[#This Row],[Elevation (SRTM30-m)]]*3.280839895</f>
        <v>235.62585358049787</v>
      </c>
    </row>
    <row r="131" spans="2:9" ht="16" x14ac:dyDescent="0.2">
      <c r="B131" s="90">
        <v>127</v>
      </c>
      <c r="C131" s="91">
        <v>42030</v>
      </c>
      <c r="D131" s="92">
        <v>40.6</v>
      </c>
      <c r="E131" s="51" cm="1">
        <f t="array" ref="E1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273.59384962243797</v>
      </c>
      <c r="F131" s="49" cm="1">
        <f t="array" ref="F1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73.077010667625558</v>
      </c>
      <c r="G131" s="20">
        <f>tbl_Monitoring[[#This Row],[Area (km2)]]/4046.8564224*1000000</f>
        <v>10032.478487566914</v>
      </c>
      <c r="H131" s="20">
        <f>tbl_Monitoring[[#This Row],[Volume (MCM)]]/1233.4818375475*1000000</f>
        <v>221806.14362868736</v>
      </c>
      <c r="I131" s="40">
        <f>tbl_Monitoring[[#This Row],[Elevation (SRTM30-m)]]*3.280839895</f>
        <v>239.75397200568653</v>
      </c>
    </row>
    <row r="132" spans="2:9" ht="16" x14ac:dyDescent="0.2">
      <c r="B132" s="90">
        <v>128</v>
      </c>
      <c r="C132" s="91">
        <v>42054</v>
      </c>
      <c r="D132" s="92">
        <v>40.69</v>
      </c>
      <c r="E132" s="51" cm="1">
        <f t="array" ref="E1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274.2243836030205</v>
      </c>
      <c r="F132" s="49" cm="1">
        <f t="array" ref="F1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73.09049502577011</v>
      </c>
      <c r="G132" s="20">
        <f>tbl_Monitoring[[#This Row],[Area (km2)]]/4046.8564224*1000000</f>
        <v>10054.717971898957</v>
      </c>
      <c r="H132" s="20">
        <f>tbl_Monitoring[[#This Row],[Volume (MCM)]]/1233.4818375475*1000000</f>
        <v>222317.32584587848</v>
      </c>
      <c r="I132" s="40">
        <f>tbl_Monitoring[[#This Row],[Elevation (SRTM30-m)]]*3.280839895</f>
        <v>239.79821202584566</v>
      </c>
    </row>
    <row r="133" spans="2:9" ht="16" x14ac:dyDescent="0.2">
      <c r="B133" s="90">
        <v>129</v>
      </c>
      <c r="C133" s="91">
        <v>42062</v>
      </c>
      <c r="D133" s="92">
        <v>40.53</v>
      </c>
      <c r="E133" s="51" cm="1">
        <f t="array" ref="E1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273.10343430420716</v>
      </c>
      <c r="F133" s="49" cm="1">
        <f t="array" ref="F1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73.066522833513119</v>
      </c>
      <c r="G133" s="20">
        <f>tbl_Monitoring[[#This Row],[Area (km2)]]/4046.8564224*1000000</f>
        <v>10015.181110864212</v>
      </c>
      <c r="H133" s="20">
        <f>tbl_Monitoring[[#This Row],[Volume (MCM)]]/1233.4818375475*1000000</f>
        <v>221408.55745976095</v>
      </c>
      <c r="I133" s="40">
        <f>tbl_Monitoring[[#This Row],[Elevation (SRTM30-m)]]*3.280839895</f>
        <v>239.7195631011183</v>
      </c>
    </row>
    <row r="134" spans="2:9" ht="16" x14ac:dyDescent="0.2">
      <c r="B134" s="90">
        <v>130</v>
      </c>
      <c r="C134" s="91">
        <v>42078</v>
      </c>
      <c r="D134" s="92">
        <v>46.45</v>
      </c>
      <c r="E134" s="51" cm="1">
        <f t="array" ref="E1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314.57855836030205</v>
      </c>
      <c r="F134" s="49" cm="1">
        <f t="array" ref="F1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73.953493947021457</v>
      </c>
      <c r="G134" s="20">
        <f>tbl_Monitoring[[#This Row],[Area (km2)]]/4046.8564224*1000000</f>
        <v>11478.044969149829</v>
      </c>
      <c r="H134" s="20">
        <f>tbl_Monitoring[[#This Row],[Volume (MCM)]]/1233.4818375475*1000000</f>
        <v>255032.987746111</v>
      </c>
      <c r="I134" s="40">
        <f>tbl_Monitoring[[#This Row],[Elevation (SRTM30-m)]]*3.280839895</f>
        <v>242.62957331602902</v>
      </c>
    </row>
    <row r="135" spans="2:9" ht="16" x14ac:dyDescent="0.2">
      <c r="B135" s="90">
        <v>131</v>
      </c>
      <c r="C135" s="91">
        <v>42086</v>
      </c>
      <c r="D135" s="92">
        <v>46.07</v>
      </c>
      <c r="E135" s="51" cm="1">
        <f t="array" ref="E1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311.91630377562029</v>
      </c>
      <c r="F135" s="49" cm="1">
        <f t="array" ref="F1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73.89655999041112</v>
      </c>
      <c r="G135" s="20">
        <f>tbl_Monitoring[[#This Row],[Area (km2)]]/4046.8564224*1000000</f>
        <v>11384.144924192307</v>
      </c>
      <c r="H135" s="20">
        <f>tbl_Monitoring[[#This Row],[Volume (MCM)]]/1233.4818375475*1000000</f>
        <v>252874.66282908179</v>
      </c>
      <c r="I135" s="40">
        <f>tbl_Monitoring[[#This Row],[Elevation (SRTM30-m)]]*3.280839895</f>
        <v>242.44278211980162</v>
      </c>
    </row>
    <row r="136" spans="2:9" ht="16" x14ac:dyDescent="0.2">
      <c r="B136" s="90">
        <v>132</v>
      </c>
      <c r="C136" s="91">
        <v>42094</v>
      </c>
      <c r="D136" s="92">
        <v>46.6</v>
      </c>
      <c r="E136" s="51" cm="1">
        <f t="array" ref="E1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315.6294483279396</v>
      </c>
      <c r="F136" s="49" cm="1">
        <f t="array" ref="F1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73.975967877262377</v>
      </c>
      <c r="G136" s="20">
        <f>tbl_Monitoring[[#This Row],[Area (km2)]]/4046.8564224*1000000</f>
        <v>11515.110776369904</v>
      </c>
      <c r="H136" s="20">
        <f>tbl_Monitoring[[#This Row],[Volume (MCM)]]/1233.4818375475*1000000</f>
        <v>255884.95810809624</v>
      </c>
      <c r="I136" s="40">
        <f>tbl_Monitoring[[#This Row],[Elevation (SRTM30-m)]]*3.280839895</f>
        <v>242.70330668296089</v>
      </c>
    </row>
    <row r="137" spans="2:9" ht="16" x14ac:dyDescent="0.2">
      <c r="B137" s="90">
        <v>133</v>
      </c>
      <c r="C137" s="91">
        <v>42102</v>
      </c>
      <c r="D137" s="92">
        <v>45.95</v>
      </c>
      <c r="E137" s="51" cm="1">
        <f t="array" ref="E1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311.07559180151026</v>
      </c>
      <c r="F137" s="49" cm="1">
        <f t="array" ref="F1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73.878580846218384</v>
      </c>
      <c r="G137" s="20">
        <f>tbl_Monitoring[[#This Row],[Area (km2)]]/4046.8564224*1000000</f>
        <v>11354.492278416248</v>
      </c>
      <c r="H137" s="20">
        <f>tbl_Monitoring[[#This Row],[Volume (MCM)]]/1233.4818375475*1000000</f>
        <v>252193.08653949364</v>
      </c>
      <c r="I137" s="40">
        <f>tbl_Monitoring[[#This Row],[Elevation (SRTM30-m)]]*3.280839895</f>
        <v>242.38379542625614</v>
      </c>
    </row>
    <row r="138" spans="2:9" ht="16" x14ac:dyDescent="0.2">
      <c r="B138" s="90">
        <v>134</v>
      </c>
      <c r="C138" s="91">
        <v>42110</v>
      </c>
      <c r="D138" s="92">
        <v>46.09</v>
      </c>
      <c r="E138" s="51" cm="1">
        <f t="array" ref="E1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312.056422437972</v>
      </c>
      <c r="F138" s="49" cm="1">
        <f t="array" ref="F1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73.899556514443248</v>
      </c>
      <c r="G138" s="20">
        <f>tbl_Monitoring[[#This Row],[Area (km2)]]/4046.8564224*1000000</f>
        <v>11389.087031821651</v>
      </c>
      <c r="H138" s="20">
        <f>tbl_Monitoring[[#This Row],[Volume (MCM)]]/1233.4818375475*1000000</f>
        <v>252988.25887734655</v>
      </c>
      <c r="I138" s="40">
        <f>tbl_Monitoring[[#This Row],[Elevation (SRTM30-m)]]*3.280839895</f>
        <v>242.45261323539256</v>
      </c>
    </row>
    <row r="139" spans="2:9" ht="16" x14ac:dyDescent="0.2">
      <c r="B139" s="90">
        <v>135</v>
      </c>
      <c r="C139" s="91">
        <v>42126</v>
      </c>
      <c r="D139" s="92">
        <v>43.18</v>
      </c>
      <c r="E139" s="51" cm="1">
        <f t="array" ref="E1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291.66915706580369</v>
      </c>
      <c r="F139" s="49" cm="1">
        <f t="array" ref="F1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73.46356226776939</v>
      </c>
      <c r="G139" s="20">
        <f>tbl_Monitoring[[#This Row],[Area (km2)]]/4046.8564224*1000000</f>
        <v>10670.0103717522</v>
      </c>
      <c r="H139" s="20">
        <f>tbl_Monitoring[[#This Row],[Volume (MCM)]]/1233.4818375475*1000000</f>
        <v>236460.03385483319</v>
      </c>
      <c r="I139" s="40">
        <f>tbl_Monitoring[[#This Row],[Elevation (SRTM30-m)]]*3.280839895</f>
        <v>241.02218591691451</v>
      </c>
    </row>
    <row r="140" spans="2:9" ht="16" x14ac:dyDescent="0.2">
      <c r="B140" s="90">
        <v>136</v>
      </c>
      <c r="C140" s="91">
        <v>42142</v>
      </c>
      <c r="D140" s="92">
        <v>40.770000000000003</v>
      </c>
      <c r="E140" s="51" cm="1">
        <f t="array" ref="E1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274.78485825242723</v>
      </c>
      <c r="F140" s="49" cm="1">
        <f t="array" ref="F1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73.102481121898592</v>
      </c>
      <c r="G140" s="20">
        <f>tbl_Monitoring[[#This Row],[Area (km2)]]/4046.8564224*1000000</f>
        <v>10074.486402416333</v>
      </c>
      <c r="H140" s="20">
        <f>tbl_Monitoring[[#This Row],[Volume (MCM)]]/1233.4818375475*1000000</f>
        <v>222771.71003893731</v>
      </c>
      <c r="I140" s="40">
        <f>tbl_Monitoring[[#This Row],[Elevation (SRTM30-m)]]*3.280839895</f>
        <v>239.83753648820928</v>
      </c>
    </row>
    <row r="141" spans="2:9" ht="16" x14ac:dyDescent="0.2">
      <c r="B141" s="90">
        <v>137</v>
      </c>
      <c r="C141" s="91">
        <v>42150</v>
      </c>
      <c r="D141" s="92">
        <v>39.67</v>
      </c>
      <c r="E141" s="51" cm="1">
        <f t="array" ref="E1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266.98734339010542</v>
      </c>
      <c r="F141" s="49" cm="1">
        <f t="array" ref="F1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72.925024781472473</v>
      </c>
      <c r="G141" s="20">
        <f>tbl_Monitoring[[#This Row],[Area (km2)]]/4046.8564224*1000000</f>
        <v>9802.6704828024485</v>
      </c>
      <c r="H141" s="20">
        <f>tbl_Monitoring[[#This Row],[Volume (MCM)]]/1233.4818375475*1000000</f>
        <v>216450.16186127998</v>
      </c>
      <c r="I141" s="40">
        <f>tbl_Monitoring[[#This Row],[Elevation (SRTM30-m)]]*3.280839895</f>
        <v>239.25533064691857</v>
      </c>
    </row>
    <row r="142" spans="2:9" ht="16" x14ac:dyDescent="0.2">
      <c r="B142" s="90">
        <v>138</v>
      </c>
      <c r="C142" s="91">
        <v>42158</v>
      </c>
      <c r="D142" s="92">
        <v>38.159999999999997</v>
      </c>
      <c r="E142" s="51" cm="1">
        <f t="array" ref="E1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256.07811386861312</v>
      </c>
      <c r="F142" s="49" cm="1">
        <f t="array" ref="F1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72.652879156528797</v>
      </c>
      <c r="G142" s="20">
        <f>tbl_Monitoring[[#This Row],[Area (km2)]]/4046.8564224*1000000</f>
        <v>9429.5413567870291</v>
      </c>
      <c r="H142" s="20">
        <f>tbl_Monitoring[[#This Row],[Volume (MCM)]]/1233.4818375475*1000000</f>
        <v>207605.9055541236</v>
      </c>
      <c r="I142" s="40">
        <f>tbl_Monitoring[[#This Row],[Elevation (SRTM30-m)]]*3.280839895</f>
        <v>238.36246442335363</v>
      </c>
    </row>
    <row r="143" spans="2:9" ht="16" x14ac:dyDescent="0.2">
      <c r="B143" s="90">
        <v>139</v>
      </c>
      <c r="C143" s="91">
        <v>42174</v>
      </c>
      <c r="D143" s="92">
        <v>36.520000000000003</v>
      </c>
      <c r="E143" s="51" cm="1">
        <f t="array" ref="E1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244.22967915652882</v>
      </c>
      <c r="F143" s="49" cm="1">
        <f t="array" ref="F1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72.357303775795259</v>
      </c>
      <c r="G143" s="20">
        <f>tbl_Monitoring[[#This Row],[Area (km2)]]/4046.8564224*1000000</f>
        <v>9024.2885311808786</v>
      </c>
      <c r="H143" s="20">
        <f>tbl_Monitoring[[#This Row],[Volume (MCM)]]/1233.4818375475*1000000</f>
        <v>198000.22320727832</v>
      </c>
      <c r="I143" s="40">
        <f>tbl_Monitoring[[#This Row],[Elevation (SRTM30-m)]]*3.280839895</f>
        <v>237.39272892226325</v>
      </c>
    </row>
    <row r="144" spans="2:9" ht="16" x14ac:dyDescent="0.2">
      <c r="B144" s="90">
        <v>140</v>
      </c>
      <c r="C144" s="91">
        <v>42182</v>
      </c>
      <c r="D144" s="92">
        <v>36.380000000000003</v>
      </c>
      <c r="E144" s="51" cm="1">
        <f t="array" ref="E1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243.21822741281429</v>
      </c>
      <c r="F144" s="49" cm="1">
        <f t="array" ref="F1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72.332071731098495</v>
      </c>
      <c r="G144" s="20">
        <f>tbl_Monitoring[[#This Row],[Area (km2)]]/4046.8564224*1000000</f>
        <v>8989.6937777754756</v>
      </c>
      <c r="H144" s="20">
        <f>tbl_Monitoring[[#This Row],[Volume (MCM)]]/1233.4818375475*1000000</f>
        <v>197180.22593376713</v>
      </c>
      <c r="I144" s="40">
        <f>tbl_Monitoring[[#This Row],[Elevation (SRTM30-m)]]*3.280839895</f>
        <v>237.30994662338966</v>
      </c>
    </row>
    <row r="145" spans="2:9" ht="16" x14ac:dyDescent="0.2">
      <c r="B145" s="90">
        <v>141</v>
      </c>
      <c r="C145" s="91">
        <v>42190</v>
      </c>
      <c r="D145" s="92">
        <v>35.229999999999997</v>
      </c>
      <c r="E145" s="51" cm="1">
        <f t="array" ref="E1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234.9098738037307</v>
      </c>
      <c r="F145" s="49" cm="1">
        <f t="array" ref="F1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72.124808506803646</v>
      </c>
      <c r="G145" s="20">
        <f>tbl_Monitoring[[#This Row],[Area (km2)]]/4046.8564224*1000000</f>
        <v>8705.5225890882339</v>
      </c>
      <c r="H145" s="20">
        <f>tbl_Monitoring[[#This Row],[Volume (MCM)]]/1233.4818375475*1000000</f>
        <v>190444.53404421094</v>
      </c>
      <c r="I145" s="40">
        <f>tbl_Monitoring[[#This Row],[Elevation (SRTM30-m)]]*3.280839895</f>
        <v>236.6299491683568</v>
      </c>
    </row>
    <row r="146" spans="2:9" ht="16" x14ac:dyDescent="0.2">
      <c r="B146" s="90">
        <v>142</v>
      </c>
      <c r="C146" s="91">
        <v>42206</v>
      </c>
      <c r="D146" s="92">
        <v>33.090000000000003</v>
      </c>
      <c r="E146" s="51" cm="1">
        <f t="array" ref="E1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219.34035288187181</v>
      </c>
      <c r="F146" s="49" cm="1">
        <f t="array" ref="F1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71.694058715363639</v>
      </c>
      <c r="G146" s="20">
        <f>tbl_Monitoring[[#This Row],[Area (km2)]]/4046.8564224*1000000</f>
        <v>8176.7170727485018</v>
      </c>
      <c r="H146" s="20">
        <f>tbl_Monitoring[[#This Row],[Volume (MCM)]]/1233.4818375475*1000000</f>
        <v>177822.11801187164</v>
      </c>
      <c r="I146" s="40">
        <f>tbl_Monitoring[[#This Row],[Elevation (SRTM30-m)]]*3.280839895</f>
        <v>235.21672806783749</v>
      </c>
    </row>
    <row r="147" spans="2:9" ht="16" x14ac:dyDescent="0.2">
      <c r="B147" s="90">
        <v>143</v>
      </c>
      <c r="C147" s="91">
        <v>42238</v>
      </c>
      <c r="D147" s="92">
        <v>30.67</v>
      </c>
      <c r="E147" s="51" cm="1">
        <f t="array" ref="E1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201.67485925432757</v>
      </c>
      <c r="F147" s="49" cm="1">
        <f t="array" ref="F1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71.182571386299742</v>
      </c>
      <c r="G147" s="20">
        <f>tbl_Monitoring[[#This Row],[Area (km2)]]/4046.8564224*1000000</f>
        <v>7578.7220495979618</v>
      </c>
      <c r="H147" s="20">
        <f>tbl_Monitoring[[#This Row],[Volume (MCM)]]/1233.4818375475*1000000</f>
        <v>163500.46925320965</v>
      </c>
      <c r="I147" s="40">
        <f>tbl_Monitoring[[#This Row],[Elevation (SRTM30-m)]]*3.280839895</f>
        <v>233.53862003285766</v>
      </c>
    </row>
    <row r="148" spans="2:9" ht="16" x14ac:dyDescent="0.2">
      <c r="B148" s="90">
        <v>144</v>
      </c>
      <c r="C148" s="91">
        <v>42246</v>
      </c>
      <c r="D148" s="92">
        <v>29.53</v>
      </c>
      <c r="E148" s="51" cm="1">
        <f t="array" ref="E1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193.44681332492644</v>
      </c>
      <c r="F148" s="49" cm="1">
        <f t="array" ref="F1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70.935500443697165</v>
      </c>
      <c r="G148" s="20">
        <f>tbl_Monitoring[[#This Row],[Area (km2)]]/4046.8564224*1000000</f>
        <v>7297.0219147253929</v>
      </c>
      <c r="H148" s="20">
        <f>tbl_Monitoring[[#This Row],[Volume (MCM)]]/1233.4818375475*1000000</f>
        <v>156829.88385913469</v>
      </c>
      <c r="I148" s="40">
        <f>tbl_Monitoring[[#This Row],[Elevation (SRTM30-m)]]*3.280839895</f>
        <v>232.72801982747188</v>
      </c>
    </row>
    <row r="149" spans="2:9" ht="16" x14ac:dyDescent="0.2">
      <c r="B149" s="90">
        <v>145</v>
      </c>
      <c r="C149" s="91">
        <v>42254</v>
      </c>
      <c r="D149" s="92">
        <v>30</v>
      </c>
      <c r="E149" s="51" cm="1">
        <f t="array" ref="E1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196.78399944835459</v>
      </c>
      <c r="F149" s="49" cm="1">
        <f t="array" ref="F1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71.040961258005197</v>
      </c>
      <c r="G149" s="20">
        <f>tbl_Monitoring[[#This Row],[Area (km2)]]/4046.8564224*1000000</f>
        <v>7413.1614440149597</v>
      </c>
      <c r="H149" s="20">
        <f>tbl_Monitoring[[#This Row],[Volume (MCM)]]/1233.4818375475*1000000</f>
        <v>159535.38467953054</v>
      </c>
      <c r="I149" s="40">
        <f>tbl_Monitoring[[#This Row],[Elevation (SRTM30-m)]]*3.280839895</f>
        <v>233.07401987441284</v>
      </c>
    </row>
    <row r="150" spans="2:9" ht="16" x14ac:dyDescent="0.2">
      <c r="B150" s="90">
        <v>146</v>
      </c>
      <c r="C150" s="91">
        <v>42262</v>
      </c>
      <c r="D150" s="92">
        <v>28.94</v>
      </c>
      <c r="E150" s="51" cm="1">
        <f t="array" ref="E1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189.34012564102565</v>
      </c>
      <c r="F150" s="49" cm="1">
        <f t="array" ref="F1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70.7977207977208</v>
      </c>
      <c r="G150" s="20">
        <f>tbl_Monitoring[[#This Row],[Area (km2)]]/4046.8564224*1000000</f>
        <v>7151.2297396597651</v>
      </c>
      <c r="H150" s="20">
        <f>tbl_Monitoring[[#This Row],[Volume (MCM)]]/1233.4818375475*1000000</f>
        <v>153500.53797102169</v>
      </c>
      <c r="I150" s="40">
        <f>tbl_Monitoring[[#This Row],[Elevation (SRTM30-m)]]*3.280839895</f>
        <v>232.27598686823364</v>
      </c>
    </row>
    <row r="151" spans="2:9" ht="16" x14ac:dyDescent="0.2">
      <c r="B151" s="90">
        <v>147</v>
      </c>
      <c r="C151" s="91">
        <v>42270</v>
      </c>
      <c r="D151" s="92">
        <v>27.82</v>
      </c>
      <c r="E151" s="51" cm="1">
        <f t="array" ref="E1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181.54437952921396</v>
      </c>
      <c r="F151" s="49" cm="1">
        <f t="array" ref="F1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70.536172995189389</v>
      </c>
      <c r="G151" s="20">
        <f>tbl_Monitoring[[#This Row],[Area (km2)]]/4046.8564224*1000000</f>
        <v>6874.47171241654</v>
      </c>
      <c r="H151" s="20">
        <f>tbl_Monitoring[[#This Row],[Volume (MCM)]]/1233.4818375475*1000000</f>
        <v>147180.42374273945</v>
      </c>
      <c r="I151" s="40">
        <f>tbl_Monitoring[[#This Row],[Elevation (SRTM30-m)]]*3.280839895</f>
        <v>231.417890403239</v>
      </c>
    </row>
    <row r="152" spans="2:9" ht="16" x14ac:dyDescent="0.2">
      <c r="B152" s="90">
        <v>148</v>
      </c>
      <c r="C152" s="91">
        <v>42278</v>
      </c>
      <c r="D152" s="92">
        <v>26.54</v>
      </c>
      <c r="E152" s="51" cm="1">
        <f t="array" ref="E1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172.63495540142915</v>
      </c>
      <c r="F152" s="49" cm="1">
        <f t="array" ref="F1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70.237261220867779</v>
      </c>
      <c r="G152" s="20">
        <f>tbl_Monitoring[[#This Row],[Area (km2)]]/4046.8564224*1000000</f>
        <v>6558.176824138568</v>
      </c>
      <c r="H152" s="20">
        <f>tbl_Monitoring[[#This Row],[Volume (MCM)]]/1233.4818375475*1000000</f>
        <v>139957.43605327402</v>
      </c>
      <c r="I152" s="40">
        <f>tbl_Monitoring[[#This Row],[Elevation (SRTM30-m)]]*3.280839895</f>
        <v>230.43720872895943</v>
      </c>
    </row>
    <row r="153" spans="2:9" ht="16" x14ac:dyDescent="0.2">
      <c r="B153" s="90">
        <v>149</v>
      </c>
      <c r="C153" s="91">
        <v>42286</v>
      </c>
      <c r="D153" s="92">
        <v>25.94</v>
      </c>
      <c r="E153" s="51" cm="1">
        <f t="array" ref="E1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168.45866284153004</v>
      </c>
      <c r="F153" s="49" cm="1">
        <f t="array" ref="F1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70.097146326654524</v>
      </c>
      <c r="G153" s="20">
        <f>tbl_Monitoring[[#This Row],[Area (km2)]]/4046.8564224*1000000</f>
        <v>6409.9135952582683</v>
      </c>
      <c r="H153" s="20">
        <f>tbl_Monitoring[[#This Row],[Volume (MCM)]]/1233.4818375475*1000000</f>
        <v>136571.66057383711</v>
      </c>
      <c r="I153" s="40">
        <f>tbl_Monitoring[[#This Row],[Elevation (SRTM30-m)]]*3.280839895</f>
        <v>229.97751419414087</v>
      </c>
    </row>
    <row r="154" spans="2:9" ht="16" x14ac:dyDescent="0.2">
      <c r="B154" s="90">
        <v>150</v>
      </c>
      <c r="C154" s="91">
        <v>42294</v>
      </c>
      <c r="D154" s="92">
        <v>25.19</v>
      </c>
      <c r="E154" s="51" cm="1">
        <f t="array" ref="E1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163.18731871081013</v>
      </c>
      <c r="F154" s="49" cm="1">
        <f t="array" ref="F1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69.906919711283891</v>
      </c>
      <c r="G154" s="20">
        <f>tbl_Monitoring[[#This Row],[Area (km2)]]/4046.8564224*1000000</f>
        <v>6224.5845591578955</v>
      </c>
      <c r="H154" s="20">
        <f>tbl_Monitoring[[#This Row],[Volume (MCM)]]/1233.4818375475*1000000</f>
        <v>132298.11233805539</v>
      </c>
      <c r="I154" s="40">
        <f>tbl_Monitoring[[#This Row],[Elevation (SRTM30-m)]]*3.280839895</f>
        <v>229.35341112534209</v>
      </c>
    </row>
    <row r="155" spans="2:9" ht="16" x14ac:dyDescent="0.2">
      <c r="B155" s="90">
        <v>151</v>
      </c>
      <c r="C155" s="91">
        <v>42302</v>
      </c>
      <c r="D155" s="92">
        <v>25.99</v>
      </c>
      <c r="E155" s="51" cm="1">
        <f t="array" ref="E1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168.80668722152163</v>
      </c>
      <c r="F155" s="49" cm="1">
        <f t="array" ref="F1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70.108822567838956</v>
      </c>
      <c r="G155" s="20">
        <f>tbl_Monitoring[[#This Row],[Area (km2)]]/4046.8564224*1000000</f>
        <v>6422.268864331626</v>
      </c>
      <c r="H155" s="20">
        <f>tbl_Monitoring[[#This Row],[Volume (MCM)]]/1233.4818375475*1000000</f>
        <v>136853.80853045685</v>
      </c>
      <c r="I155" s="40">
        <f>tbl_Monitoring[[#This Row],[Elevation (SRTM30-m)]]*3.280839895</f>
        <v>230.0158220720424</v>
      </c>
    </row>
    <row r="156" spans="2:9" ht="16" x14ac:dyDescent="0.2">
      <c r="B156" s="90">
        <v>152</v>
      </c>
      <c r="C156" s="91">
        <v>42310</v>
      </c>
      <c r="D156" s="92">
        <v>25.18</v>
      </c>
      <c r="E156" s="51" cm="1">
        <f t="array" ref="E1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163.11618753448707</v>
      </c>
      <c r="F156" s="49" cm="1">
        <f t="array" ref="F1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69.904132876292394</v>
      </c>
      <c r="G156" s="20">
        <f>tbl_Monitoring[[#This Row],[Area (km2)]]/4046.8564224*1000000</f>
        <v>6222.1135053432226</v>
      </c>
      <c r="H156" s="20">
        <f>tbl_Monitoring[[#This Row],[Volume (MCM)]]/1233.4818375475*1000000</f>
        <v>132240.44535492049</v>
      </c>
      <c r="I156" s="40">
        <f>tbl_Monitoring[[#This Row],[Elevation (SRTM30-m)]]*3.280839895</f>
        <v>229.3442679659212</v>
      </c>
    </row>
    <row r="157" spans="2:9" ht="16" x14ac:dyDescent="0.2">
      <c r="B157" s="90">
        <v>153</v>
      </c>
      <c r="C157" s="91">
        <v>42326</v>
      </c>
      <c r="D157" s="92">
        <v>23.9</v>
      </c>
      <c r="E157" s="51" cm="1">
        <f t="array" ref="E1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154.01139696513667</v>
      </c>
      <c r="F157" s="49" cm="1">
        <f t="array" ref="F1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69.547417997380379</v>
      </c>
      <c r="G157" s="20">
        <f>tbl_Monitoring[[#This Row],[Area (km2)]]/4046.8564224*1000000</f>
        <v>5905.8186170652516</v>
      </c>
      <c r="H157" s="20">
        <f>tbl_Monitoring[[#This Row],[Volume (MCM)]]/1233.4818375475*1000000</f>
        <v>124859.07151365402</v>
      </c>
      <c r="I157" s="40">
        <f>tbl_Monitoring[[#This Row],[Elevation (SRTM30-m)]]*3.280839895</f>
        <v>228.17394356004655</v>
      </c>
    </row>
    <row r="158" spans="2:9" ht="16" x14ac:dyDescent="0.2">
      <c r="B158" s="90">
        <v>154</v>
      </c>
      <c r="C158" s="91">
        <v>42334</v>
      </c>
      <c r="D158" s="92">
        <v>23.83</v>
      </c>
      <c r="E158" s="51" cm="1">
        <f t="array" ref="E1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153.51347873087531</v>
      </c>
      <c r="F158" s="49" cm="1">
        <f t="array" ref="F1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69.527910152439873</v>
      </c>
      <c r="G158" s="20">
        <f>tbl_Monitoring[[#This Row],[Area (km2)]]/4046.8564224*1000000</f>
        <v>5888.5212403625492</v>
      </c>
      <c r="H158" s="20">
        <f>tbl_Monitoring[[#This Row],[Volume (MCM)]]/1233.4818375475*1000000</f>
        <v>124455.40263170975</v>
      </c>
      <c r="I158" s="40">
        <f>tbl_Monitoring[[#This Row],[Elevation (SRTM30-m)]]*3.280839895</f>
        <v>228.10994144410029</v>
      </c>
    </row>
    <row r="159" spans="2:9" ht="16" x14ac:dyDescent="0.2">
      <c r="B159" s="90">
        <v>155</v>
      </c>
      <c r="C159" s="91">
        <v>42350</v>
      </c>
      <c r="D159" s="92">
        <v>23.67</v>
      </c>
      <c r="E159" s="51" cm="1">
        <f t="array" ref="E1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152.37537990970654</v>
      </c>
      <c r="F159" s="49" cm="1">
        <f t="array" ref="F1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69.483320792575867</v>
      </c>
      <c r="G159" s="20">
        <f>tbl_Monitoring[[#This Row],[Area (km2)]]/4046.8564224*1000000</f>
        <v>5848.9843793278042</v>
      </c>
      <c r="H159" s="20">
        <f>tbl_Monitoring[[#This Row],[Volume (MCM)]]/1233.4818375475*1000000</f>
        <v>123532.73090155146</v>
      </c>
      <c r="I159" s="40">
        <f>tbl_Monitoring[[#This Row],[Elevation (SRTM30-m)]]*3.280839895</f>
        <v>227.96365089336592</v>
      </c>
    </row>
    <row r="160" spans="2:9" ht="16" x14ac:dyDescent="0.2">
      <c r="B160" s="90">
        <v>156</v>
      </c>
      <c r="C160" s="91">
        <v>42358</v>
      </c>
      <c r="D160" s="92">
        <v>23.62</v>
      </c>
      <c r="E160" s="51" cm="1">
        <f t="array" ref="E1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152.01972402809128</v>
      </c>
      <c r="F160" s="49" cm="1">
        <f t="array" ref="F1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69.469386617618369</v>
      </c>
      <c r="G160" s="20">
        <f>tbl_Monitoring[[#This Row],[Area (km2)]]/4046.8564224*1000000</f>
        <v>5836.6291102544455</v>
      </c>
      <c r="H160" s="20">
        <f>tbl_Monitoring[[#This Row],[Volume (MCM)]]/1233.4818375475*1000000</f>
        <v>123244.39598587698</v>
      </c>
      <c r="I160" s="40">
        <f>tbl_Monitoring[[#This Row],[Elevation (SRTM30-m)]]*3.280839895</f>
        <v>227.91793509626146</v>
      </c>
    </row>
    <row r="161" spans="2:9" ht="16" x14ac:dyDescent="0.2">
      <c r="B161" s="90">
        <v>157</v>
      </c>
      <c r="C161" s="91">
        <v>42382</v>
      </c>
      <c r="D161" s="92">
        <v>22.17</v>
      </c>
      <c r="E161" s="51" cm="1">
        <f t="array" ref="E1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141.70570346124904</v>
      </c>
      <c r="F161" s="49" cm="1">
        <f t="array" ref="F1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69.065295543850851</v>
      </c>
      <c r="G161" s="20">
        <f>tbl_Monitoring[[#This Row],[Area (km2)]]/4046.8564224*1000000</f>
        <v>5478.3263071270558</v>
      </c>
      <c r="H161" s="20">
        <f>tbl_Monitoring[[#This Row],[Volume (MCM)]]/1233.4818375475*1000000</f>
        <v>114882.68343131735</v>
      </c>
      <c r="I161" s="40">
        <f>tbl_Monitoring[[#This Row],[Elevation (SRTM30-m)]]*3.280839895</f>
        <v>226.59217698023161</v>
      </c>
    </row>
    <row r="162" spans="2:9" ht="16" x14ac:dyDescent="0.2">
      <c r="B162" s="90">
        <v>158</v>
      </c>
      <c r="C162" s="91">
        <v>42390</v>
      </c>
      <c r="D162" s="92">
        <v>22.06</v>
      </c>
      <c r="E162" s="51" cm="1">
        <f t="array" ref="E1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140.92326052169548</v>
      </c>
      <c r="F162" s="49" cm="1">
        <f t="array" ref="F1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69.034640358944344</v>
      </c>
      <c r="G162" s="20">
        <f>tbl_Monitoring[[#This Row],[Area (km2)]]/4046.8564224*1000000</f>
        <v>5451.1447151656666</v>
      </c>
      <c r="H162" s="20">
        <f>tbl_Monitoring[[#This Row],[Volume (MCM)]]/1233.4818375475*1000000</f>
        <v>114248.3466168335</v>
      </c>
      <c r="I162" s="40">
        <f>tbl_Monitoring[[#This Row],[Elevation (SRTM30-m)]]*3.280839895</f>
        <v>226.49160222660174</v>
      </c>
    </row>
    <row r="163" spans="2:9" ht="16" x14ac:dyDescent="0.2">
      <c r="B163" s="90">
        <v>159</v>
      </c>
      <c r="C163" s="91">
        <v>42406</v>
      </c>
      <c r="D163" s="92">
        <v>21.88</v>
      </c>
      <c r="E163" s="51" cm="1">
        <f t="array" ref="E1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139.62895616314196</v>
      </c>
      <c r="F163" s="49" cm="1">
        <f t="array" ref="F1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68.981302450486737</v>
      </c>
      <c r="G163" s="20">
        <f>tbl_Monitoring[[#This Row],[Area (km2)]]/4046.8564224*1000000</f>
        <v>5406.6657465015769</v>
      </c>
      <c r="H163" s="20">
        <f>tbl_Monitoring[[#This Row],[Volume (MCM)]]/1233.4818375475*1000000</f>
        <v>113199.03699657436</v>
      </c>
      <c r="I163" s="40">
        <f>tbl_Monitoring[[#This Row],[Elevation (SRTM30-m)]]*3.280839895</f>
        <v>226.31660908861815</v>
      </c>
    </row>
    <row r="164" spans="2:9" ht="16" x14ac:dyDescent="0.2">
      <c r="B164" s="90">
        <v>160</v>
      </c>
      <c r="C164" s="91">
        <v>42414</v>
      </c>
      <c r="D164" s="92">
        <v>20.57</v>
      </c>
      <c r="E164" s="51" cm="1">
        <f t="array" ref="E1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129.98284438066463</v>
      </c>
      <c r="F164" s="49" cm="1">
        <f t="array" ref="F1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68.541557569654245</v>
      </c>
      <c r="G164" s="20">
        <f>tbl_Monitoring[[#This Row],[Area (km2)]]/4046.8564224*1000000</f>
        <v>5082.9576967795902</v>
      </c>
      <c r="H164" s="20">
        <f>tbl_Monitoring[[#This Row],[Volume (MCM)]]/1233.4818375475*1000000</f>
        <v>105378.80690574752</v>
      </c>
      <c r="I164" s="40">
        <f>tbl_Monitoring[[#This Row],[Elevation (SRTM30-m)]]*3.280839895</f>
        <v>224.87387653996089</v>
      </c>
    </row>
    <row r="165" spans="2:9" ht="16" x14ac:dyDescent="0.2">
      <c r="B165" s="90">
        <v>161</v>
      </c>
      <c r="C165" s="91">
        <v>42422</v>
      </c>
      <c r="D165" s="92">
        <v>20.99</v>
      </c>
      <c r="E165" s="51" cm="1">
        <f t="array" ref="E1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133.07549090634438</v>
      </c>
      <c r="F165" s="49" cm="1">
        <f t="array" ref="F1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68.682544478012758</v>
      </c>
      <c r="G165" s="20">
        <f>tbl_Monitoring[[#This Row],[Area (km2)]]/4046.8564224*1000000</f>
        <v>5186.7419569958001</v>
      </c>
      <c r="H165" s="20">
        <f>tbl_Monitoring[[#This Row],[Volume (MCM)]]/1233.4818375475*1000000</f>
        <v>107886.05624784467</v>
      </c>
      <c r="I165" s="40">
        <f>tbl_Monitoring[[#This Row],[Elevation (SRTM30-m)]]*3.280839895</f>
        <v>225.33643201357623</v>
      </c>
    </row>
    <row r="166" spans="2:9" ht="16" x14ac:dyDescent="0.2">
      <c r="B166" s="90">
        <v>162</v>
      </c>
      <c r="C166" s="91">
        <v>42440</v>
      </c>
      <c r="D166" s="92">
        <v>31.81</v>
      </c>
      <c r="E166" s="51" cm="1">
        <f t="array" ref="E1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209.99662071523682</v>
      </c>
      <c r="F166" s="49" cm="1">
        <f t="array" ref="F1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71.423519962800924</v>
      </c>
      <c r="G166" s="20">
        <f>tbl_Monitoring[[#This Row],[Area (km2)]]/4046.8564224*1000000</f>
        <v>7860.4221844705298</v>
      </c>
      <c r="H166" s="20">
        <f>tbl_Monitoring[[#This Row],[Volume (MCM)]]/1233.4818375475*1000000</f>
        <v>170247.03106514132</v>
      </c>
      <c r="I166" s="40">
        <f>tbl_Monitoring[[#This Row],[Elevation (SRTM30-m)]]*3.280839895</f>
        <v>234.32913373528621</v>
      </c>
    </row>
    <row r="167" spans="2:9" ht="16" x14ac:dyDescent="0.2">
      <c r="B167" s="90">
        <v>163</v>
      </c>
      <c r="C167" s="91">
        <v>42446</v>
      </c>
      <c r="D167" s="92">
        <v>43.09</v>
      </c>
      <c r="E167" s="51" cm="1">
        <f t="array" ref="E1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291.03862308522116</v>
      </c>
      <c r="F167" s="49" cm="1">
        <f t="array" ref="F1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73.450077909624838</v>
      </c>
      <c r="G167" s="20">
        <f>tbl_Monitoring[[#This Row],[Area (km2)]]/4046.8564224*1000000</f>
        <v>10647.770887420156</v>
      </c>
      <c r="H167" s="20">
        <f>tbl_Monitoring[[#This Row],[Volume (MCM)]]/1233.4818375475*1000000</f>
        <v>235948.85163764207</v>
      </c>
      <c r="I167" s="40">
        <f>tbl_Monitoring[[#This Row],[Elevation (SRTM30-m)]]*3.280839895</f>
        <v>240.97794589675539</v>
      </c>
    </row>
    <row r="168" spans="2:9" ht="16" x14ac:dyDescent="0.2">
      <c r="B168" s="90">
        <v>164</v>
      </c>
      <c r="C168" s="91">
        <v>42454</v>
      </c>
      <c r="D168" s="92">
        <v>42.1</v>
      </c>
      <c r="E168" s="51" cm="1">
        <f t="array" ref="E1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284.10274929881336</v>
      </c>
      <c r="F168" s="49" cm="1">
        <f t="array" ref="F1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73.301749970034763</v>
      </c>
      <c r="G168" s="20">
        <f>tbl_Monitoring[[#This Row],[Area (km2)]]/4046.8564224*1000000</f>
        <v>10403.136559767661</v>
      </c>
      <c r="H168" s="20">
        <f>tbl_Monitoring[[#This Row],[Volume (MCM)]]/1233.4818375475*1000000</f>
        <v>230325.84724853959</v>
      </c>
      <c r="I168" s="40">
        <f>tbl_Monitoring[[#This Row],[Elevation (SRTM30-m)]]*3.280839895</f>
        <v>240.49130567500512</v>
      </c>
    </row>
    <row r="169" spans="2:9" ht="16" x14ac:dyDescent="0.2">
      <c r="B169" s="90">
        <v>165</v>
      </c>
      <c r="C169" s="91">
        <v>42470</v>
      </c>
      <c r="D169" s="92">
        <v>40.33</v>
      </c>
      <c r="E169" s="51" cm="1">
        <f t="array" ref="E1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271.70224768069039</v>
      </c>
      <c r="F169" s="49" cm="1">
        <f t="array" ref="F1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73.036557593191901</v>
      </c>
      <c r="G169" s="20">
        <f>tbl_Monitoring[[#This Row],[Area (km2)]]/4046.8564224*1000000</f>
        <v>9965.7600345707779</v>
      </c>
      <c r="H169" s="20">
        <f>tbl_Monitoring[[#This Row],[Volume (MCM)]]/1233.4818375475*1000000</f>
        <v>220272.59697711395</v>
      </c>
      <c r="I169" s="40">
        <f>tbl_Monitoring[[#This Row],[Elevation (SRTM30-m)]]*3.280839895</f>
        <v>239.6212519452092</v>
      </c>
    </row>
    <row r="170" spans="2:9" ht="16" x14ac:dyDescent="0.2">
      <c r="B170" s="90">
        <v>166</v>
      </c>
      <c r="C170" s="91">
        <v>42470</v>
      </c>
      <c r="D170" s="92">
        <v>40.74</v>
      </c>
      <c r="E170" s="51" cm="1">
        <f t="array" ref="E1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274.57468025889966</v>
      </c>
      <c r="F170" s="49" cm="1">
        <f t="array" ref="F1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73.097986335850408</v>
      </c>
      <c r="G170" s="20">
        <f>tbl_Monitoring[[#This Row],[Area (km2)]]/4046.8564224*1000000</f>
        <v>10067.073240972317</v>
      </c>
      <c r="H170" s="20">
        <f>tbl_Monitoring[[#This Row],[Volume (MCM)]]/1233.4818375475*1000000</f>
        <v>222601.31596654019</v>
      </c>
      <c r="I170" s="40">
        <f>tbl_Monitoring[[#This Row],[Elevation (SRTM30-m)]]*3.280839895</f>
        <v>239.8227898148229</v>
      </c>
    </row>
    <row r="171" spans="2:9" ht="16" x14ac:dyDescent="0.2">
      <c r="B171" s="90">
        <v>167</v>
      </c>
      <c r="C171" s="91">
        <v>42478</v>
      </c>
      <c r="D171" s="92">
        <v>40.28</v>
      </c>
      <c r="E171" s="51" cm="1">
        <f t="array" ref="E1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271.35195102481123</v>
      </c>
      <c r="F171" s="49" cm="1">
        <f t="array" ref="F1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73.02906628311159</v>
      </c>
      <c r="G171" s="20">
        <f>tbl_Monitoring[[#This Row],[Area (km2)]]/4046.8564224*1000000</f>
        <v>9953.4047654974202</v>
      </c>
      <c r="H171" s="20">
        <f>tbl_Monitoring[[#This Row],[Volume (MCM)]]/1233.4818375475*1000000</f>
        <v>219988.60685645221</v>
      </c>
      <c r="I171" s="40">
        <f>tbl_Monitoring[[#This Row],[Elevation (SRTM30-m)]]*3.280839895</f>
        <v>239.59667415623187</v>
      </c>
    </row>
    <row r="172" spans="2:9" ht="16" x14ac:dyDescent="0.2">
      <c r="B172" s="90">
        <v>168</v>
      </c>
      <c r="C172" s="91">
        <v>42486</v>
      </c>
      <c r="D172" s="92">
        <v>38.76</v>
      </c>
      <c r="E172" s="51" cm="1">
        <f t="array" ref="E1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260.41290705596106</v>
      </c>
      <c r="F172" s="49" cm="1">
        <f t="array" ref="F1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72.761016490943504</v>
      </c>
      <c r="G172" s="20">
        <f>tbl_Monitoring[[#This Row],[Area (km2)]]/4046.8564224*1000000</f>
        <v>9577.804585667327</v>
      </c>
      <c r="H172" s="20">
        <f>tbl_Monitoring[[#This Row],[Volume (MCM)]]/1233.4818375475*1000000</f>
        <v>211120.17958345727</v>
      </c>
      <c r="I172" s="40">
        <f>tbl_Monitoring[[#This Row],[Elevation (SRTM30-m)]]*3.280839895</f>
        <v>238.71724570424036</v>
      </c>
    </row>
    <row r="173" spans="2:9" ht="16" x14ac:dyDescent="0.2">
      <c r="B173" s="90">
        <v>169</v>
      </c>
      <c r="C173" s="91">
        <v>42494</v>
      </c>
      <c r="D173" s="92">
        <v>37.799999999999997</v>
      </c>
      <c r="E173" s="51" cm="1">
        <f t="array" ref="E1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253.47723795620436</v>
      </c>
      <c r="F173" s="49" cm="1">
        <f t="array" ref="F1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72.587996755879971</v>
      </c>
      <c r="G173" s="20">
        <f>tbl_Monitoring[[#This Row],[Area (km2)]]/4046.8564224*1000000</f>
        <v>9340.5834194588497</v>
      </c>
      <c r="H173" s="20">
        <f>tbl_Monitoring[[#This Row],[Volume (MCM)]]/1233.4818375475*1000000</f>
        <v>205497.34113652344</v>
      </c>
      <c r="I173" s="40">
        <f>tbl_Monitoring[[#This Row],[Elevation (SRTM30-m)]]*3.280839895</f>
        <v>238.14959565482161</v>
      </c>
    </row>
    <row r="174" spans="2:9" ht="16" x14ac:dyDescent="0.2">
      <c r="B174" s="90">
        <v>170</v>
      </c>
      <c r="C174" s="91">
        <v>42502</v>
      </c>
      <c r="D174" s="92">
        <v>36.340000000000003</v>
      </c>
      <c r="E174" s="51" cm="1">
        <f t="array" ref="E1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242.92924120032444</v>
      </c>
      <c r="F174" s="49" cm="1">
        <f t="array" ref="F1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72.324862575470846</v>
      </c>
      <c r="G174" s="20">
        <f>tbl_Monitoring[[#This Row],[Area (km2)]]/4046.8564224*1000000</f>
        <v>8979.809562516788</v>
      </c>
      <c r="H174" s="20">
        <f>tbl_Monitoring[[#This Row],[Volume (MCM)]]/1233.4818375475*1000000</f>
        <v>196945.94099847824</v>
      </c>
      <c r="I174" s="40">
        <f>tbl_Monitoring[[#This Row],[Elevation (SRTM30-m)]]*3.280839895</f>
        <v>237.28629453799721</v>
      </c>
    </row>
    <row r="175" spans="2:9" ht="16" x14ac:dyDescent="0.2">
      <c r="B175" s="90">
        <v>171</v>
      </c>
      <c r="C175" s="91">
        <v>42510</v>
      </c>
      <c r="D175" s="92">
        <v>35.67</v>
      </c>
      <c r="E175" s="51" cm="1">
        <f t="array" ref="E1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238.08872214111923</v>
      </c>
      <c r="F175" s="49" cm="1">
        <f t="array" ref="F1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72.204109218707757</v>
      </c>
      <c r="G175" s="20">
        <f>tbl_Monitoring[[#This Row],[Area (km2)]]/4046.8564224*1000000</f>
        <v>8814.2489569337868</v>
      </c>
      <c r="H175" s="20">
        <f>tbl_Monitoring[[#This Row],[Volume (MCM)]]/1233.4818375475*1000000</f>
        <v>193021.66833238897</v>
      </c>
      <c r="I175" s="40">
        <f>tbl_Monitoring[[#This Row],[Elevation (SRTM30-m)]]*3.280839895</f>
        <v>236.8901221076737</v>
      </c>
    </row>
    <row r="176" spans="2:9" ht="16" x14ac:dyDescent="0.2">
      <c r="B176" s="90">
        <v>172</v>
      </c>
      <c r="C176" s="91">
        <v>42510</v>
      </c>
      <c r="D176" s="92">
        <v>36.18</v>
      </c>
      <c r="E176" s="51" cm="1">
        <f t="array" ref="E1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241.77329635036494</v>
      </c>
      <c r="F176" s="49" cm="1">
        <f t="array" ref="F1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72.296025952960264</v>
      </c>
      <c r="G176" s="20">
        <f>tbl_Monitoring[[#This Row],[Area (km2)]]/4046.8564224*1000000</f>
        <v>8940.2727014820412</v>
      </c>
      <c r="H176" s="20">
        <f>tbl_Monitoring[[#This Row],[Volume (MCM)]]/1233.4818375475*1000000</f>
        <v>196008.80125732257</v>
      </c>
      <c r="I176" s="40">
        <f>tbl_Monitoring[[#This Row],[Elevation (SRTM30-m)]]*3.280839895</f>
        <v>237.19168619642744</v>
      </c>
    </row>
    <row r="177" spans="2:9" ht="16" x14ac:dyDescent="0.2">
      <c r="B177" s="90">
        <v>173</v>
      </c>
      <c r="C177" s="91">
        <v>42518</v>
      </c>
      <c r="D177" s="92">
        <v>35.99</v>
      </c>
      <c r="E177" s="51" cm="1">
        <f t="array" ref="E1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240.40061184103814</v>
      </c>
      <c r="F177" s="49" cm="1">
        <f t="array" ref="F1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72.261782463728935</v>
      </c>
      <c r="G177" s="20">
        <f>tbl_Monitoring[[#This Row],[Area (km2)]]/4046.8564224*1000000</f>
        <v>8893.3226790032804</v>
      </c>
      <c r="H177" s="20">
        <f>tbl_Monitoring[[#This Row],[Volume (MCM)]]/1233.4818375475*1000000</f>
        <v>194895.94781470025</v>
      </c>
      <c r="I177" s="40">
        <f>tbl_Monitoring[[#This Row],[Elevation (SRTM30-m)]]*3.280839895</f>
        <v>237.0793387908133</v>
      </c>
    </row>
    <row r="178" spans="2:9" ht="16" x14ac:dyDescent="0.2">
      <c r="B178" s="90">
        <v>174</v>
      </c>
      <c r="C178" s="91">
        <v>42526</v>
      </c>
      <c r="D178" s="92">
        <v>33.950000000000003</v>
      </c>
      <c r="E178" s="51" cm="1">
        <f t="array" ref="E1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225.61817293132967</v>
      </c>
      <c r="F178" s="49" cm="1">
        <f t="array" ref="F1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71.875826939741714</v>
      </c>
      <c r="G178" s="20">
        <f>tbl_Monitoring[[#This Row],[Area (km2)]]/4046.8564224*1000000</f>
        <v>8389.2277008102628</v>
      </c>
      <c r="H178" s="20">
        <f>tbl_Monitoring[[#This Row],[Volume (MCM)]]/1233.4818375475*1000000</f>
        <v>182911.62955420604</v>
      </c>
      <c r="I178" s="40">
        <f>tbl_Monitoring[[#This Row],[Elevation (SRTM30-m)]]*3.280839895</f>
        <v>235.8130805100204</v>
      </c>
    </row>
    <row r="179" spans="2:9" ht="16" x14ac:dyDescent="0.2">
      <c r="B179" s="90">
        <v>175</v>
      </c>
      <c r="C179" s="91">
        <v>42530</v>
      </c>
      <c r="D179" s="92">
        <v>33.29</v>
      </c>
      <c r="E179" s="51" cm="1">
        <f t="array" ref="E1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220.8003110329085</v>
      </c>
      <c r="F179" s="49" cm="1">
        <f t="array" ref="F1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71.73633039545156</v>
      </c>
      <c r="G179" s="20">
        <f>tbl_Monitoring[[#This Row],[Area (km2)]]/4046.8564224*1000000</f>
        <v>8226.1381490419335</v>
      </c>
      <c r="H179" s="20">
        <f>tbl_Monitoring[[#This Row],[Volume (MCM)]]/1233.4818375475*1000000</f>
        <v>179005.72534729823</v>
      </c>
      <c r="I179" s="40">
        <f>tbl_Monitoring[[#This Row],[Elevation (SRTM30-m)]]*3.280839895</f>
        <v>235.35541468229863</v>
      </c>
    </row>
    <row r="180" spans="2:9" ht="16" x14ac:dyDescent="0.2">
      <c r="B180" s="90">
        <v>176</v>
      </c>
      <c r="C180" s="91">
        <v>42534</v>
      </c>
      <c r="D180" s="92">
        <v>32.83</v>
      </c>
      <c r="E180" s="51" cm="1">
        <f t="array" ref="E1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217.44240728552404</v>
      </c>
      <c r="F180" s="49" cm="1">
        <f t="array" ref="F1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71.639105531249342</v>
      </c>
      <c r="G180" s="20">
        <f>tbl_Monitoring[[#This Row],[Area (km2)]]/4046.8564224*1000000</f>
        <v>8112.4696735670377</v>
      </c>
      <c r="H180" s="20">
        <f>tbl_Monitoring[[#This Row],[Volume (MCM)]]/1233.4818375475*1000000</f>
        <v>176283.42847581703</v>
      </c>
      <c r="I180" s="40">
        <f>tbl_Monitoring[[#This Row],[Elevation (SRTM30-m)]]*3.280839895</f>
        <v>235.03643546903803</v>
      </c>
    </row>
    <row r="181" spans="2:9" ht="16" x14ac:dyDescent="0.2">
      <c r="B181" s="90">
        <v>177</v>
      </c>
      <c r="C181" s="91">
        <v>42542</v>
      </c>
      <c r="D181" s="92">
        <v>32.58</v>
      </c>
      <c r="E181" s="51" cm="1">
        <f t="array" ref="E1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215.61745959672817</v>
      </c>
      <c r="F181" s="49" cm="1">
        <f t="array" ref="F1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71.586265931139437</v>
      </c>
      <c r="G181" s="20">
        <f>tbl_Monitoring[[#This Row],[Area (km2)]]/4046.8564224*1000000</f>
        <v>8050.6933282002456</v>
      </c>
      <c r="H181" s="20">
        <f>tbl_Monitoring[[#This Row],[Volume (MCM)]]/1233.4818375475*1000000</f>
        <v>174803.91930653376</v>
      </c>
      <c r="I181" s="40">
        <f>tbl_Monitoring[[#This Row],[Elevation (SRTM30-m)]]*3.280839895</f>
        <v>234.86307720096161</v>
      </c>
    </row>
    <row r="182" spans="2:9" ht="16" x14ac:dyDescent="0.2">
      <c r="B182" s="90">
        <v>178</v>
      </c>
      <c r="C182" s="91">
        <v>42558</v>
      </c>
      <c r="D182" s="92">
        <v>35.729999999999997</v>
      </c>
      <c r="E182" s="51" cm="1">
        <f t="array" ref="E1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238.52220145985399</v>
      </c>
      <c r="F182" s="49" cm="1">
        <f t="array" ref="F1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72.214922952149223</v>
      </c>
      <c r="G182" s="20">
        <f>tbl_Monitoring[[#This Row],[Area (km2)]]/4046.8564224*1000000</f>
        <v>8829.0752798218164</v>
      </c>
      <c r="H182" s="20">
        <f>tbl_Monitoring[[#This Row],[Volume (MCM)]]/1233.4818375475*1000000</f>
        <v>193373.09573532233</v>
      </c>
      <c r="I182" s="40">
        <f>tbl_Monitoring[[#This Row],[Elevation (SRTM30-m)]]*3.280839895</f>
        <v>236.92560023576235</v>
      </c>
    </row>
    <row r="183" spans="2:9" ht="16" x14ac:dyDescent="0.2">
      <c r="B183" s="90">
        <v>179</v>
      </c>
      <c r="C183" s="91">
        <v>42566</v>
      </c>
      <c r="D183" s="92">
        <v>35.64</v>
      </c>
      <c r="E183" s="51" cm="1">
        <f t="array" ref="E1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237.87198248175181</v>
      </c>
      <c r="F183" s="49" cm="1">
        <f t="array" ref="F1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72.198702351987023</v>
      </c>
      <c r="G183" s="20">
        <f>tbl_Monitoring[[#This Row],[Area (km2)]]/4046.8564224*1000000</f>
        <v>8806.8357954897729</v>
      </c>
      <c r="H183" s="20">
        <f>tbl_Monitoring[[#This Row],[Volume (MCM)]]/1233.4818375475*1000000</f>
        <v>192845.95463092226</v>
      </c>
      <c r="I183" s="40">
        <f>tbl_Monitoring[[#This Row],[Elevation (SRTM30-m)]]*3.280839895</f>
        <v>236.87238304362938</v>
      </c>
    </row>
    <row r="184" spans="2:9" ht="16" x14ac:dyDescent="0.2">
      <c r="B184" s="90">
        <v>180</v>
      </c>
      <c r="C184" s="91">
        <v>42582</v>
      </c>
      <c r="D184" s="92">
        <v>32.78</v>
      </c>
      <c r="E184" s="51" cm="1">
        <f t="array" ref="E1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217.07741774776488</v>
      </c>
      <c r="F184" s="49" cm="1">
        <f t="array" ref="F1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71.628537611227358</v>
      </c>
      <c r="G184" s="20">
        <f>tbl_Monitoring[[#This Row],[Area (km2)]]/4046.8564224*1000000</f>
        <v>8100.11440449368</v>
      </c>
      <c r="H184" s="20">
        <f>tbl_Monitoring[[#This Row],[Volume (MCM)]]/1233.4818375475*1000000</f>
        <v>175987.52664196037</v>
      </c>
      <c r="I184" s="40">
        <f>tbl_Monitoring[[#This Row],[Elevation (SRTM30-m)]]*3.280839895</f>
        <v>235.00176381542272</v>
      </c>
    </row>
    <row r="185" spans="2:9" ht="16" x14ac:dyDescent="0.2">
      <c r="B185" s="90">
        <v>181</v>
      </c>
      <c r="C185" s="91">
        <v>42598</v>
      </c>
      <c r="D185" s="92">
        <v>30.91</v>
      </c>
      <c r="E185" s="51" cm="1">
        <f t="array" ref="E1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203.42680903557164</v>
      </c>
      <c r="F185" s="49" cm="1">
        <f t="array" ref="F1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71.233297402405256</v>
      </c>
      <c r="G185" s="20">
        <f>tbl_Monitoring[[#This Row],[Area (km2)]]/4046.8564224*1000000</f>
        <v>7638.0273411500812</v>
      </c>
      <c r="H185" s="20">
        <f>tbl_Monitoring[[#This Row],[Volume (MCM)]]/1233.4818375475*1000000</f>
        <v>164920.79805572159</v>
      </c>
      <c r="I185" s="40">
        <f>tbl_Monitoring[[#This Row],[Elevation (SRTM30-m)]]*3.280839895</f>
        <v>233.70504397021105</v>
      </c>
    </row>
    <row r="186" spans="2:9" ht="16" x14ac:dyDescent="0.2">
      <c r="B186" s="90">
        <v>182</v>
      </c>
      <c r="C186" s="91">
        <v>42606</v>
      </c>
      <c r="D186" s="92">
        <v>30.82</v>
      </c>
      <c r="E186" s="51" cm="1">
        <f t="array" ref="E1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202.7698278676051</v>
      </c>
      <c r="F186" s="49" cm="1">
        <f t="array" ref="F1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71.214275146365694</v>
      </c>
      <c r="G186" s="20">
        <f>tbl_Monitoring[[#This Row],[Area (km2)]]/4046.8564224*1000000</f>
        <v>7615.7878568180358</v>
      </c>
      <c r="H186" s="20">
        <f>tbl_Monitoring[[#This Row],[Volume (MCM)]]/1233.4818375475*1000000</f>
        <v>164388.17475477961</v>
      </c>
      <c r="I186" s="40">
        <f>tbl_Monitoring[[#This Row],[Elevation (SRTM30-m)]]*3.280839895</f>
        <v>233.64263499370355</v>
      </c>
    </row>
    <row r="187" spans="2:9" ht="16" x14ac:dyDescent="0.2">
      <c r="B187" s="90">
        <v>183</v>
      </c>
      <c r="C187" s="91">
        <v>42610</v>
      </c>
      <c r="D187" s="92">
        <v>30.13</v>
      </c>
      <c r="E187" s="51" cm="1">
        <f t="array" ref="E1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197.73297224652845</v>
      </c>
      <c r="F187" s="49" cm="1">
        <f t="array" ref="F1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71.068437850062352</v>
      </c>
      <c r="G187" s="20">
        <f>tbl_Monitoring[[#This Row],[Area (km2)]]/4046.8564224*1000000</f>
        <v>7445.2851436056908</v>
      </c>
      <c r="H187" s="20">
        <f>tbl_Monitoring[[#This Row],[Volume (MCM)]]/1233.4818375475*1000000</f>
        <v>160304.72944755782</v>
      </c>
      <c r="I187" s="40">
        <f>tbl_Monitoring[[#This Row],[Elevation (SRTM30-m)]]*3.280839895</f>
        <v>233.16416617381262</v>
      </c>
    </row>
    <row r="188" spans="2:9" ht="16" x14ac:dyDescent="0.2">
      <c r="B188" s="90">
        <v>184</v>
      </c>
      <c r="C188" s="91">
        <v>42614</v>
      </c>
      <c r="D188" s="92">
        <v>29.9</v>
      </c>
      <c r="E188" s="51" cm="1">
        <f t="array" ref="E1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196.05402037283622</v>
      </c>
      <c r="F188" s="49" cm="1">
        <f t="array" ref="F1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71.019825417961243</v>
      </c>
      <c r="G188" s="20">
        <f>tbl_Monitoring[[#This Row],[Area (km2)]]/4046.8564224*1000000</f>
        <v>7388.4509058682424</v>
      </c>
      <c r="H188" s="20">
        <f>tbl_Monitoring[[#This Row],[Volume (MCM)]]/1233.4818375475*1000000</f>
        <v>158943.58101181721</v>
      </c>
      <c r="I188" s="40">
        <f>tbl_Monitoring[[#This Row],[Elevation (SRTM30-m)]]*3.280839895</f>
        <v>233.00467656718232</v>
      </c>
    </row>
    <row r="189" spans="2:9" ht="16" x14ac:dyDescent="0.2">
      <c r="B189" s="90">
        <v>185</v>
      </c>
      <c r="C189" s="91">
        <v>42622</v>
      </c>
      <c r="D189" s="92">
        <v>29.67</v>
      </c>
      <c r="E189" s="51" cm="1">
        <f t="array" ref="E1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194.42128158890293</v>
      </c>
      <c r="F189" s="49" cm="1">
        <f t="array" ref="F1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70.968193919013586</v>
      </c>
      <c r="G189" s="20">
        <f>tbl_Monitoring[[#This Row],[Area (km2)]]/4046.8564224*1000000</f>
        <v>7331.6166681307959</v>
      </c>
      <c r="H189" s="20">
        <f>tbl_Monitoring[[#This Row],[Volume (MCM)]]/1233.4818375475*1000000</f>
        <v>157619.89813766998</v>
      </c>
      <c r="I189" s="40">
        <f>tbl_Monitoring[[#This Row],[Elevation (SRTM30-m)]]*3.280839895</f>
        <v>232.83528188559617</v>
      </c>
    </row>
    <row r="190" spans="2:9" ht="16" x14ac:dyDescent="0.2">
      <c r="B190" s="90">
        <v>186</v>
      </c>
      <c r="C190" s="91">
        <v>42638</v>
      </c>
      <c r="D190" s="92">
        <v>28.05</v>
      </c>
      <c r="E190" s="51" cm="1">
        <f t="array" ref="E1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183.14529167717529</v>
      </c>
      <c r="F190" s="49" cm="1">
        <f t="array" ref="F1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70.589883704637799</v>
      </c>
      <c r="G190" s="20">
        <f>tbl_Monitoring[[#This Row],[Area (km2)]]/4046.8564224*1000000</f>
        <v>6931.3059501539883</v>
      </c>
      <c r="H190" s="20">
        <f>tbl_Monitoring[[#This Row],[Volume (MCM)]]/1233.4818375475*1000000</f>
        <v>148478.30434319028</v>
      </c>
      <c r="I190" s="40">
        <f>tbl_Monitoring[[#This Row],[Elevation (SRTM30-m)]]*3.280839895</f>
        <v>231.59410664158611</v>
      </c>
    </row>
    <row r="191" spans="2:9" ht="16" x14ac:dyDescent="0.2">
      <c r="B191" s="90">
        <v>187</v>
      </c>
      <c r="C191" s="91">
        <v>42650</v>
      </c>
      <c r="D191" s="92">
        <v>27.02</v>
      </c>
      <c r="E191" s="51" cm="1">
        <f t="array" ref="E1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175.97598944934845</v>
      </c>
      <c r="F191" s="49" cm="1">
        <f t="array" ref="F1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70.349353136238378</v>
      </c>
      <c r="G191" s="20">
        <f>tbl_Monitoring[[#This Row],[Area (km2)]]/4046.8564224*1000000</f>
        <v>6676.7874072428076</v>
      </c>
      <c r="H191" s="20">
        <f>tbl_Monitoring[[#This Row],[Volume (MCM)]]/1233.4818375475*1000000</f>
        <v>142666.05643682356</v>
      </c>
      <c r="I191" s="40">
        <f>tbl_Monitoring[[#This Row],[Elevation (SRTM30-m)]]*3.280839895</f>
        <v>230.80496435681425</v>
      </c>
    </row>
    <row r="192" spans="2:9" ht="16" x14ac:dyDescent="0.2">
      <c r="B192" s="90">
        <v>188</v>
      </c>
      <c r="C192" s="91">
        <v>42654</v>
      </c>
      <c r="D192" s="92">
        <v>26.68</v>
      </c>
      <c r="E192" s="51" cm="1">
        <f t="array" ref="E1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173.60942366540561</v>
      </c>
      <c r="F192" s="49" cm="1">
        <f t="array" ref="F1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70.2699546961842</v>
      </c>
      <c r="G192" s="20">
        <f>tbl_Monitoring[[#This Row],[Area (km2)]]/4046.8564224*1000000</f>
        <v>6592.771577543971</v>
      </c>
      <c r="H192" s="20">
        <f>tbl_Monitoring[[#This Row],[Volume (MCM)]]/1233.4818375475*1000000</f>
        <v>140747.45033180929</v>
      </c>
      <c r="I192" s="40">
        <f>tbl_Monitoring[[#This Row],[Elevation (SRTM30-m)]]*3.280839895</f>
        <v>230.54447078708375</v>
      </c>
    </row>
    <row r="193" spans="2:9" ht="16" x14ac:dyDescent="0.2">
      <c r="B193" s="90">
        <v>189</v>
      </c>
      <c r="C193" s="91">
        <v>42662</v>
      </c>
      <c r="D193" s="92">
        <v>26.09</v>
      </c>
      <c r="E193" s="51" cm="1">
        <f t="array" ref="E1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169.50273598150483</v>
      </c>
      <c r="F193" s="49" cm="1">
        <f t="array" ref="F1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70.132175050207834</v>
      </c>
      <c r="G193" s="20">
        <f>tbl_Monitoring[[#This Row],[Area (km2)]]/4046.8564224*1000000</f>
        <v>6446.9794024783432</v>
      </c>
      <c r="H193" s="20">
        <f>tbl_Monitoring[[#This Row],[Volume (MCM)]]/1233.4818375475*1000000</f>
        <v>137418.10444369636</v>
      </c>
      <c r="I193" s="40">
        <f>tbl_Monitoring[[#This Row],[Elevation (SRTM30-m)]]*3.280839895</f>
        <v>230.09243782784552</v>
      </c>
    </row>
    <row r="194" spans="2:9" ht="16" x14ac:dyDescent="0.2">
      <c r="B194" s="90">
        <v>190</v>
      </c>
      <c r="C194" s="91">
        <v>42670</v>
      </c>
      <c r="D194" s="92">
        <v>25.93</v>
      </c>
      <c r="E194" s="51" cm="1">
        <f t="array" ref="E1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168.38905796553172</v>
      </c>
      <c r="F194" s="49" cm="1">
        <f t="array" ref="F1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70.094811078417635</v>
      </c>
      <c r="G194" s="20">
        <f>tbl_Monitoring[[#This Row],[Area (km2)]]/4046.8564224*1000000</f>
        <v>6407.4425414435964</v>
      </c>
      <c r="H194" s="20">
        <f>tbl_Monitoring[[#This Row],[Volume (MCM)]]/1233.4818375475*1000000</f>
        <v>136515.23098251314</v>
      </c>
      <c r="I194" s="40">
        <f>tbl_Monitoring[[#This Row],[Elevation (SRTM30-m)]]*3.280839895</f>
        <v>229.96985261856057</v>
      </c>
    </row>
    <row r="195" spans="2:9" ht="16" x14ac:dyDescent="0.2">
      <c r="B195" s="90">
        <v>191</v>
      </c>
      <c r="C195" s="91">
        <v>42670</v>
      </c>
      <c r="D195" s="92">
        <v>25.94</v>
      </c>
      <c r="E195" s="51" cm="1">
        <f t="array" ref="E1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168.45866284153004</v>
      </c>
      <c r="F195" s="49" cm="1">
        <f t="array" ref="F1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70.097146326654524</v>
      </c>
      <c r="G195" s="20">
        <f>tbl_Monitoring[[#This Row],[Area (km2)]]/4046.8564224*1000000</f>
        <v>6409.9135952582683</v>
      </c>
      <c r="H195" s="20">
        <f>tbl_Monitoring[[#This Row],[Volume (MCM)]]/1233.4818375475*1000000</f>
        <v>136571.66057383711</v>
      </c>
      <c r="I195" s="40">
        <f>tbl_Monitoring[[#This Row],[Elevation (SRTM30-m)]]*3.280839895</f>
        <v>229.97751419414087</v>
      </c>
    </row>
    <row r="196" spans="2:9" ht="16" x14ac:dyDescent="0.2">
      <c r="B196" s="90">
        <v>192</v>
      </c>
      <c r="C196" s="91">
        <v>42678</v>
      </c>
      <c r="D196" s="92">
        <v>26.45</v>
      </c>
      <c r="E196" s="51" cm="1">
        <f t="array" ref="E1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172.00851151744428</v>
      </c>
      <c r="F196" s="49" cm="1">
        <f t="array" ref="F1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70.21624398673579</v>
      </c>
      <c r="G196" s="20">
        <f>tbl_Monitoring[[#This Row],[Area (km2)]]/4046.8564224*1000000</f>
        <v>6535.9373398065227</v>
      </c>
      <c r="H196" s="20">
        <f>tbl_Monitoring[[#This Row],[Volume (MCM)]]/1233.4818375475*1000000</f>
        <v>139449.56973135847</v>
      </c>
      <c r="I196" s="40">
        <f>tbl_Monitoring[[#This Row],[Elevation (SRTM30-m)]]*3.280839895</f>
        <v>230.36825454873664</v>
      </c>
    </row>
    <row r="197" spans="2:9" ht="16" x14ac:dyDescent="0.2">
      <c r="B197" s="90">
        <v>193</v>
      </c>
      <c r="C197" s="91">
        <v>42686</v>
      </c>
      <c r="D197" s="92">
        <v>24.73</v>
      </c>
      <c r="E197" s="51" cm="1">
        <f t="array" ref="E1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159.91528459994981</v>
      </c>
      <c r="F197" s="49" cm="1">
        <f t="array" ref="F1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69.778725301674882</v>
      </c>
      <c r="G197" s="20">
        <f>tbl_Monitoring[[#This Row],[Area (km2)]]/4046.8564224*1000000</f>
        <v>6110.9160836829988</v>
      </c>
      <c r="H197" s="20">
        <f>tbl_Monitoring[[#This Row],[Volume (MCM)]]/1233.4818375475*1000000</f>
        <v>129645.43111385024</v>
      </c>
      <c r="I197" s="40">
        <f>tbl_Monitoring[[#This Row],[Elevation (SRTM30-m)]]*3.280839895</f>
        <v>228.93282579198089</v>
      </c>
    </row>
    <row r="198" spans="2:9" ht="16" x14ac:dyDescent="0.2">
      <c r="B198" s="90">
        <v>194</v>
      </c>
      <c r="C198" s="91">
        <v>42690</v>
      </c>
      <c r="D198" s="92">
        <v>24.14</v>
      </c>
      <c r="E198" s="51" cm="1">
        <f t="array" ref="E1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155.71854519688989</v>
      </c>
      <c r="F198" s="49" cm="1">
        <f t="array" ref="F1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69.614302037176373</v>
      </c>
      <c r="G198" s="20">
        <f>tbl_Monitoring[[#This Row],[Area (km2)]]/4046.8564224*1000000</f>
        <v>5965.1239086173719</v>
      </c>
      <c r="H198" s="20">
        <f>tbl_Monitoring[[#This Row],[Volume (MCM)]]/1233.4818375475*1000000</f>
        <v>126243.07910889151</v>
      </c>
      <c r="I198" s="40">
        <f>tbl_Monitoring[[#This Row],[Elevation (SRTM30-m)]]*3.280839895</f>
        <v>228.39337938614804</v>
      </c>
    </row>
    <row r="199" spans="2:9" ht="16" x14ac:dyDescent="0.2">
      <c r="B199" s="90">
        <v>195</v>
      </c>
      <c r="C199" s="91">
        <v>42694</v>
      </c>
      <c r="D199" s="92">
        <v>24.48</v>
      </c>
      <c r="E199" s="51" cm="1">
        <f t="array" ref="E1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158.13700519187358</v>
      </c>
      <c r="F199" s="49" cm="1">
        <f t="array" ref="F1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69.709054426887377</v>
      </c>
      <c r="G199" s="20">
        <f>tbl_Monitoring[[#This Row],[Area (km2)]]/4046.8564224*1000000</f>
        <v>6049.1397383162066</v>
      </c>
      <c r="H199" s="20">
        <f>tbl_Monitoring[[#This Row],[Volume (MCM)]]/1233.4818375475*1000000</f>
        <v>128203.75653547789</v>
      </c>
      <c r="I199" s="40">
        <f>tbl_Monitoring[[#This Row],[Elevation (SRTM30-m)]]*3.280839895</f>
        <v>228.70424680645849</v>
      </c>
    </row>
    <row r="200" spans="2:9" ht="16" x14ac:dyDescent="0.2">
      <c r="B200" s="90">
        <v>196</v>
      </c>
      <c r="C200" s="91">
        <v>42700</v>
      </c>
      <c r="D200" s="92">
        <v>23.98</v>
      </c>
      <c r="E200" s="51" cm="1">
        <f t="array" ref="E2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154.5804463757211</v>
      </c>
      <c r="F200" s="49" cm="1">
        <f t="array" ref="F2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69.569712677312381</v>
      </c>
      <c r="G200" s="20">
        <f>tbl_Monitoring[[#This Row],[Area (km2)]]/4046.8564224*1000000</f>
        <v>5925.587047582625</v>
      </c>
      <c r="H200" s="20">
        <f>tbl_Monitoring[[#This Row],[Volume (MCM)]]/1233.4818375475*1000000</f>
        <v>125320.4073787332</v>
      </c>
      <c r="I200" s="40">
        <f>tbl_Monitoring[[#This Row],[Elevation (SRTM30-m)]]*3.280839895</f>
        <v>228.24708883541373</v>
      </c>
    </row>
    <row r="201" spans="2:9" ht="16" x14ac:dyDescent="0.2">
      <c r="B201" s="90">
        <v>197</v>
      </c>
      <c r="C201" s="91">
        <v>42702</v>
      </c>
      <c r="D201" s="92">
        <v>23.96</v>
      </c>
      <c r="E201" s="51" cm="1">
        <f t="array" ref="E2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154.438184023075</v>
      </c>
      <c r="F201" s="49" cm="1">
        <f t="array" ref="F2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69.564139007329373</v>
      </c>
      <c r="G201" s="20">
        <f>tbl_Monitoring[[#This Row],[Area (km2)]]/4046.8564224*1000000</f>
        <v>5920.6449399532821</v>
      </c>
      <c r="H201" s="20">
        <f>tbl_Monitoring[[#This Row],[Volume (MCM)]]/1233.4818375475*1000000</f>
        <v>125205.0734124634</v>
      </c>
      <c r="I201" s="40">
        <f>tbl_Monitoring[[#This Row],[Elevation (SRTM30-m)]]*3.280839895</f>
        <v>228.22880251657193</v>
      </c>
    </row>
    <row r="202" spans="2:9" ht="16" x14ac:dyDescent="0.2">
      <c r="B202" s="90">
        <v>198</v>
      </c>
      <c r="C202" s="91">
        <v>42710</v>
      </c>
      <c r="D202" s="92">
        <v>24.44</v>
      </c>
      <c r="E202" s="51" cm="1">
        <f t="array" ref="E2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157.85248048658138</v>
      </c>
      <c r="F202" s="49" cm="1">
        <f t="array" ref="F2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69.69790708692139</v>
      </c>
      <c r="G202" s="20">
        <f>tbl_Monitoring[[#This Row],[Area (km2)]]/4046.8564224*1000000</f>
        <v>6039.2555230575208</v>
      </c>
      <c r="H202" s="20">
        <f>tbl_Monitoring[[#This Row],[Volume (MCM)]]/1233.4818375475*1000000</f>
        <v>127973.08860293833</v>
      </c>
      <c r="I202" s="40">
        <f>tbl_Monitoring[[#This Row],[Elevation (SRTM30-m)]]*3.280839895</f>
        <v>228.66767416877494</v>
      </c>
    </row>
    <row r="203" spans="2:9" ht="16" x14ac:dyDescent="0.2">
      <c r="B203" s="90">
        <v>199</v>
      </c>
      <c r="C203" s="91">
        <v>42710</v>
      </c>
      <c r="D203" s="92">
        <v>23.9</v>
      </c>
      <c r="E203" s="51" cm="1">
        <f t="array" ref="E2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154.01139696513667</v>
      </c>
      <c r="F203" s="49" cm="1">
        <f t="array" ref="F2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69.547417997380379</v>
      </c>
      <c r="G203" s="20">
        <f>tbl_Monitoring[[#This Row],[Area (km2)]]/4046.8564224*1000000</f>
        <v>5905.8186170652516</v>
      </c>
      <c r="H203" s="20">
        <f>tbl_Monitoring[[#This Row],[Volume (MCM)]]/1233.4818375475*1000000</f>
        <v>124859.07151365402</v>
      </c>
      <c r="I203" s="40">
        <f>tbl_Monitoring[[#This Row],[Elevation (SRTM30-m)]]*3.280839895</f>
        <v>228.17394356004655</v>
      </c>
    </row>
    <row r="204" spans="2:9" ht="16" x14ac:dyDescent="0.2">
      <c r="B204" s="90">
        <v>200</v>
      </c>
      <c r="C204" s="91">
        <v>42718</v>
      </c>
      <c r="D204" s="92">
        <v>23.83</v>
      </c>
      <c r="E204" s="51" cm="1">
        <f t="array" ref="E2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153.51347873087531</v>
      </c>
      <c r="F204" s="49" cm="1">
        <f t="array" ref="F2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69.527910152439873</v>
      </c>
      <c r="G204" s="20">
        <f>tbl_Monitoring[[#This Row],[Area (km2)]]/4046.8564224*1000000</f>
        <v>5888.5212403625492</v>
      </c>
      <c r="H204" s="20">
        <f>tbl_Monitoring[[#This Row],[Volume (MCM)]]/1233.4818375475*1000000</f>
        <v>124455.40263170975</v>
      </c>
      <c r="I204" s="40">
        <f>tbl_Monitoring[[#This Row],[Elevation (SRTM30-m)]]*3.280839895</f>
        <v>228.10994144410029</v>
      </c>
    </row>
    <row r="205" spans="2:9" ht="16" x14ac:dyDescent="0.2">
      <c r="B205" s="90">
        <v>201</v>
      </c>
      <c r="C205" s="91">
        <v>42726</v>
      </c>
      <c r="D205" s="92">
        <v>24.39</v>
      </c>
      <c r="E205" s="51" cm="1">
        <f t="array" ref="E2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157.49682460496612</v>
      </c>
      <c r="F205" s="49" cm="1">
        <f t="array" ref="F2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69.683972911963878</v>
      </c>
      <c r="G205" s="20">
        <f>tbl_Monitoring[[#This Row],[Area (km2)]]/4046.8564224*1000000</f>
        <v>6026.9002539841631</v>
      </c>
      <c r="H205" s="20">
        <f>tbl_Monitoring[[#This Row],[Volume (MCM)]]/1233.4818375475*1000000</f>
        <v>127684.75368726384</v>
      </c>
      <c r="I205" s="40">
        <f>tbl_Monitoring[[#This Row],[Elevation (SRTM30-m)]]*3.280839895</f>
        <v>228.62195837167042</v>
      </c>
    </row>
    <row r="206" spans="2:9" ht="16" x14ac:dyDescent="0.2">
      <c r="B206" s="90">
        <v>202</v>
      </c>
      <c r="C206" s="91">
        <v>42730</v>
      </c>
      <c r="D206" s="92">
        <v>23.63</v>
      </c>
      <c r="E206" s="51" cm="1">
        <f t="array" ref="E2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152.09085520441434</v>
      </c>
      <c r="F206" s="49" cm="1">
        <f t="array" ref="F2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69.472173452609866</v>
      </c>
      <c r="G206" s="20">
        <f>tbl_Monitoring[[#This Row],[Area (km2)]]/4046.8564224*1000000</f>
        <v>5839.1001640691165</v>
      </c>
      <c r="H206" s="20">
        <f>tbl_Monitoring[[#This Row],[Volume (MCM)]]/1233.4818375475*1000000</f>
        <v>123302.06296901191</v>
      </c>
      <c r="I206" s="40">
        <f>tbl_Monitoring[[#This Row],[Elevation (SRTM30-m)]]*3.280839895</f>
        <v>227.92707825568235</v>
      </c>
    </row>
    <row r="207" spans="2:9" ht="16" x14ac:dyDescent="0.2">
      <c r="B207" s="90">
        <v>203</v>
      </c>
      <c r="C207" s="91">
        <v>42734</v>
      </c>
      <c r="D207" s="92">
        <v>23.69</v>
      </c>
      <c r="E207" s="51" cm="1">
        <f t="array" ref="E2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152.51764226235264</v>
      </c>
      <c r="F207" s="49" cm="1">
        <f t="array" ref="F2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69.488894462558875</v>
      </c>
      <c r="G207" s="20">
        <f>tbl_Monitoring[[#This Row],[Area (km2)]]/4046.8564224*1000000</f>
        <v>5853.9264869571471</v>
      </c>
      <c r="H207" s="20">
        <f>tbl_Monitoring[[#This Row],[Volume (MCM)]]/1233.4818375475*1000000</f>
        <v>123648.06486782126</v>
      </c>
      <c r="I207" s="40">
        <f>tbl_Monitoring[[#This Row],[Elevation (SRTM30-m)]]*3.280839895</f>
        <v>227.98193721220775</v>
      </c>
    </row>
    <row r="208" spans="2:9" ht="16" x14ac:dyDescent="0.2">
      <c r="B208" s="90">
        <v>204</v>
      </c>
      <c r="C208" s="91">
        <v>42740</v>
      </c>
      <c r="D208" s="92">
        <v>24.61</v>
      </c>
      <c r="E208" s="51" cm="1">
        <f t="array" ref="E2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159.06171048407322</v>
      </c>
      <c r="F208" s="49" cm="1">
        <f t="array" ref="F2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69.745283281776892</v>
      </c>
      <c r="G208" s="20">
        <f>tbl_Monitoring[[#This Row],[Area (km2)]]/4046.8564224*1000000</f>
        <v>6081.2634379069386</v>
      </c>
      <c r="H208" s="20">
        <f>tbl_Monitoring[[#This Row],[Volume (MCM)]]/1233.4818375475*1000000</f>
        <v>128953.42731623152</v>
      </c>
      <c r="I208" s="40">
        <f>tbl_Monitoring[[#This Row],[Elevation (SRTM30-m)]]*3.280839895</f>
        <v>228.82310787893016</v>
      </c>
    </row>
    <row r="209" spans="2:9" ht="16" x14ac:dyDescent="0.2">
      <c r="B209" s="90">
        <v>205</v>
      </c>
      <c r="C209" s="91">
        <v>42742</v>
      </c>
      <c r="D209" s="92">
        <v>23.48</v>
      </c>
      <c r="E209" s="51" cm="1">
        <f t="array" ref="E2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151.02388755956858</v>
      </c>
      <c r="F209" s="49" cm="1">
        <f t="array" ref="F2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69.430370927737371</v>
      </c>
      <c r="G209" s="20">
        <f>tbl_Monitoring[[#This Row],[Area (km2)]]/4046.8564224*1000000</f>
        <v>5802.0343568490416</v>
      </c>
      <c r="H209" s="20">
        <f>tbl_Monitoring[[#This Row],[Volume (MCM)]]/1233.4818375475*1000000</f>
        <v>122437.05822198847</v>
      </c>
      <c r="I209" s="40">
        <f>tbl_Monitoring[[#This Row],[Elevation (SRTM30-m)]]*3.280839895</f>
        <v>227.78993086436896</v>
      </c>
    </row>
    <row r="210" spans="2:9" ht="16" x14ac:dyDescent="0.2">
      <c r="B210" s="90">
        <v>206</v>
      </c>
      <c r="C210" s="91">
        <v>42750</v>
      </c>
      <c r="D210" s="92">
        <v>23.67</v>
      </c>
      <c r="E210" s="51" cm="1">
        <f t="array" ref="E2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152.37537990970654</v>
      </c>
      <c r="F210" s="49" cm="1">
        <f t="array" ref="F2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69.483320792575867</v>
      </c>
      <c r="G210" s="20">
        <f>tbl_Monitoring[[#This Row],[Area (km2)]]/4046.8564224*1000000</f>
        <v>5848.9843793278042</v>
      </c>
      <c r="H210" s="20">
        <f>tbl_Monitoring[[#This Row],[Volume (MCM)]]/1233.4818375475*1000000</f>
        <v>123532.73090155146</v>
      </c>
      <c r="I210" s="40">
        <f>tbl_Monitoring[[#This Row],[Elevation (SRTM30-m)]]*3.280839895</f>
        <v>227.96365089336592</v>
      </c>
    </row>
    <row r="211" spans="2:9" ht="16" x14ac:dyDescent="0.2">
      <c r="B211" s="90">
        <v>207</v>
      </c>
      <c r="C211" s="91">
        <v>42750</v>
      </c>
      <c r="D211" s="92">
        <v>22.45</v>
      </c>
      <c r="E211" s="51" cm="1">
        <f t="array" ref="E2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143.69737639829444</v>
      </c>
      <c r="F211" s="49" cm="1">
        <f t="array" ref="F2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69.143326923612847</v>
      </c>
      <c r="G211" s="20">
        <f>tbl_Monitoring[[#This Row],[Area (km2)]]/4046.8564224*1000000</f>
        <v>5547.5158139378618</v>
      </c>
      <c r="H211" s="20">
        <f>tbl_Monitoring[[#This Row],[Volume (MCM)]]/1233.4818375475*1000000</f>
        <v>116497.35895909439</v>
      </c>
      <c r="I211" s="40">
        <f>tbl_Monitoring[[#This Row],[Elevation (SRTM30-m)]]*3.280839895</f>
        <v>226.84818544401665</v>
      </c>
    </row>
    <row r="212" spans="2:9" ht="16" x14ac:dyDescent="0.2">
      <c r="B212" s="90">
        <v>208</v>
      </c>
      <c r="C212" s="91">
        <v>42766</v>
      </c>
      <c r="D212" s="92">
        <v>23.88</v>
      </c>
      <c r="E212" s="51" cm="1">
        <f t="array" ref="E2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153.86913461249057</v>
      </c>
      <c r="F212" s="49" cm="1">
        <f t="array" ref="F2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69.541844327397371</v>
      </c>
      <c r="G212" s="20">
        <f>tbl_Monitoring[[#This Row],[Area (km2)]]/4046.8564224*1000000</f>
        <v>5900.8765094359078</v>
      </c>
      <c r="H212" s="20">
        <f>tbl_Monitoring[[#This Row],[Volume (MCM)]]/1233.4818375475*1000000</f>
        <v>124743.73754738423</v>
      </c>
      <c r="I212" s="40">
        <f>tbl_Monitoring[[#This Row],[Elevation (SRTM30-m)]]*3.280839895</f>
        <v>228.15565724120475</v>
      </c>
    </row>
    <row r="213" spans="2:9" ht="16" x14ac:dyDescent="0.2">
      <c r="B213" s="90">
        <v>209</v>
      </c>
      <c r="C213" s="91">
        <v>42770</v>
      </c>
      <c r="D213" s="92">
        <v>23.79</v>
      </c>
      <c r="E213" s="51" cm="1">
        <f t="array" ref="E2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153.22895402558314</v>
      </c>
      <c r="F213" s="49" cm="1">
        <f t="array" ref="F2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69.516762812473871</v>
      </c>
      <c r="G213" s="20">
        <f>tbl_Monitoring[[#This Row],[Area (km2)]]/4046.8564224*1000000</f>
        <v>5878.6370251038634</v>
      </c>
      <c r="H213" s="20">
        <f>tbl_Monitoring[[#This Row],[Volume (MCM)]]/1233.4818375475*1000000</f>
        <v>124224.73469917019</v>
      </c>
      <c r="I213" s="40">
        <f>tbl_Monitoring[[#This Row],[Elevation (SRTM30-m)]]*3.280839895</f>
        <v>228.07336880641668</v>
      </c>
    </row>
    <row r="214" spans="2:9" ht="16" x14ac:dyDescent="0.2">
      <c r="B214" s="90">
        <v>210</v>
      </c>
      <c r="C214" s="91">
        <v>42782</v>
      </c>
      <c r="D214" s="92">
        <v>23.54</v>
      </c>
      <c r="E214" s="51" cm="1">
        <f t="array" ref="E2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151.45067461750688</v>
      </c>
      <c r="F214" s="49" cm="1">
        <f t="array" ref="F2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69.447091937686366</v>
      </c>
      <c r="G214" s="20">
        <f>tbl_Monitoring[[#This Row],[Area (km2)]]/4046.8564224*1000000</f>
        <v>5816.8606797370712</v>
      </c>
      <c r="H214" s="20">
        <f>tbl_Monitoring[[#This Row],[Volume (MCM)]]/1233.4818375475*1000000</f>
        <v>122783.06012079785</v>
      </c>
      <c r="I214" s="40">
        <f>tbl_Monitoring[[#This Row],[Elevation (SRTM30-m)]]*3.280839895</f>
        <v>227.84478982089431</v>
      </c>
    </row>
    <row r="215" spans="2:9" ht="16" x14ac:dyDescent="0.2">
      <c r="B215" s="90">
        <v>211</v>
      </c>
      <c r="C215" s="91">
        <v>42790</v>
      </c>
      <c r="D215" s="92">
        <v>22.06</v>
      </c>
      <c r="E215" s="51" cm="1">
        <f t="array" ref="E2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140.92326052169548</v>
      </c>
      <c r="F215" s="49" cm="1">
        <f t="array" ref="F2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69.034640358944344</v>
      </c>
      <c r="G215" s="20">
        <f>tbl_Monitoring[[#This Row],[Area (km2)]]/4046.8564224*1000000</f>
        <v>5451.1447151656666</v>
      </c>
      <c r="H215" s="20">
        <f>tbl_Monitoring[[#This Row],[Volume (MCM)]]/1233.4818375475*1000000</f>
        <v>114248.3466168335</v>
      </c>
      <c r="I215" s="40">
        <f>tbl_Monitoring[[#This Row],[Elevation (SRTM30-m)]]*3.280839895</f>
        <v>226.49160222660174</v>
      </c>
    </row>
    <row r="216" spans="2:9" ht="16" x14ac:dyDescent="0.2">
      <c r="B216" s="90">
        <v>212</v>
      </c>
      <c r="C216" s="91">
        <v>42798</v>
      </c>
      <c r="D216" s="92">
        <v>22.03</v>
      </c>
      <c r="E216" s="51" cm="1">
        <f t="array" ref="E2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140.70986699272635</v>
      </c>
      <c r="F216" s="49" cm="1">
        <f t="array" ref="F2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69.026279853969854</v>
      </c>
      <c r="G216" s="20">
        <f>tbl_Monitoring[[#This Row],[Area (km2)]]/4046.8564224*1000000</f>
        <v>5443.7315537216518</v>
      </c>
      <c r="H216" s="20">
        <f>tbl_Monitoring[[#This Row],[Volume (MCM)]]/1233.4818375475*1000000</f>
        <v>114075.34566742883</v>
      </c>
      <c r="I216" s="40">
        <f>tbl_Monitoring[[#This Row],[Elevation (SRTM30-m)]]*3.280839895</f>
        <v>226.46417274833908</v>
      </c>
    </row>
    <row r="217" spans="2:9" ht="16" x14ac:dyDescent="0.2">
      <c r="B217" s="90">
        <v>213</v>
      </c>
      <c r="C217" s="91">
        <v>42800</v>
      </c>
      <c r="D217" s="92">
        <v>22.06</v>
      </c>
      <c r="E217" s="51" cm="1">
        <f t="array" ref="E2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140.92326052169548</v>
      </c>
      <c r="F217" s="49" cm="1">
        <f t="array" ref="F2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69.034640358944344</v>
      </c>
      <c r="G217" s="20">
        <f>tbl_Monitoring[[#This Row],[Area (km2)]]/4046.8564224*1000000</f>
        <v>5451.1447151656666</v>
      </c>
      <c r="H217" s="20">
        <f>tbl_Monitoring[[#This Row],[Volume (MCM)]]/1233.4818375475*1000000</f>
        <v>114248.3466168335</v>
      </c>
      <c r="I217" s="40">
        <f>tbl_Monitoring[[#This Row],[Elevation (SRTM30-m)]]*3.280839895</f>
        <v>226.49160222660174</v>
      </c>
    </row>
    <row r="218" spans="2:9" ht="16" x14ac:dyDescent="0.2">
      <c r="B218" s="90">
        <v>214</v>
      </c>
      <c r="C218" s="91">
        <v>42814</v>
      </c>
      <c r="D218" s="92">
        <v>23.89</v>
      </c>
      <c r="E218" s="51" cm="1">
        <f t="array" ref="E2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153.94026578881363</v>
      </c>
      <c r="F218" s="49" cm="1">
        <f t="array" ref="F2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69.544631162388882</v>
      </c>
      <c r="G218" s="20">
        <f>tbl_Monitoring[[#This Row],[Area (km2)]]/4046.8564224*1000000</f>
        <v>5903.3475632505797</v>
      </c>
      <c r="H218" s="20">
        <f>tbl_Monitoring[[#This Row],[Volume (MCM)]]/1233.4818375475*1000000</f>
        <v>124801.40453051915</v>
      </c>
      <c r="I218" s="40">
        <f>tbl_Monitoring[[#This Row],[Elevation (SRTM30-m)]]*3.280839895</f>
        <v>228.16480040062567</v>
      </c>
    </row>
    <row r="219" spans="2:9" ht="16" x14ac:dyDescent="0.2">
      <c r="B219" s="90">
        <v>215</v>
      </c>
      <c r="C219" s="91">
        <v>42820</v>
      </c>
      <c r="D219" s="92">
        <v>23.77</v>
      </c>
      <c r="E219" s="51" cm="1">
        <f t="array" ref="E2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153.08669167293704</v>
      </c>
      <c r="F219" s="49" cm="1">
        <f t="array" ref="F2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69.511189142490878</v>
      </c>
      <c r="G219" s="20">
        <f>tbl_Monitoring[[#This Row],[Area (km2)]]/4046.8564224*1000000</f>
        <v>5873.6949174745196</v>
      </c>
      <c r="H219" s="20">
        <f>tbl_Monitoring[[#This Row],[Volume (MCM)]]/1233.4818375475*1000000</f>
        <v>124109.40073290041</v>
      </c>
      <c r="I219" s="40">
        <f>tbl_Monitoring[[#This Row],[Elevation (SRTM30-m)]]*3.280839895</f>
        <v>228.05508248757494</v>
      </c>
    </row>
    <row r="220" spans="2:9" ht="16" x14ac:dyDescent="0.2">
      <c r="B220" s="90">
        <v>216</v>
      </c>
      <c r="C220" s="91">
        <v>42822</v>
      </c>
      <c r="D220" s="92">
        <v>23.44</v>
      </c>
      <c r="E220" s="51" cm="1">
        <f t="array" ref="E2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150.73936285427638</v>
      </c>
      <c r="F220" s="49" cm="1">
        <f t="array" ref="F2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69.41922358777137</v>
      </c>
      <c r="G220" s="20">
        <f>tbl_Monitoring[[#This Row],[Area (km2)]]/4046.8564224*1000000</f>
        <v>5792.1501415903558</v>
      </c>
      <c r="H220" s="20">
        <f>tbl_Monitoring[[#This Row],[Volume (MCM)]]/1233.4818375475*1000000</f>
        <v>122206.3902894489</v>
      </c>
      <c r="I220" s="40">
        <f>tbl_Monitoring[[#This Row],[Elevation (SRTM30-m)]]*3.280839895</f>
        <v>227.75335822668535</v>
      </c>
    </row>
    <row r="221" spans="2:9" ht="16" x14ac:dyDescent="0.2">
      <c r="B221" s="90">
        <v>217</v>
      </c>
      <c r="C221" s="91">
        <v>42830</v>
      </c>
      <c r="D221" s="92">
        <v>22.2</v>
      </c>
      <c r="E221" s="51" cm="1">
        <f t="array" ref="E2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141.91909699021818</v>
      </c>
      <c r="F221" s="49" cm="1">
        <f t="array" ref="F2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69.073656048825342</v>
      </c>
      <c r="G221" s="20">
        <f>tbl_Monitoring[[#This Row],[Area (km2)]]/4046.8564224*1000000</f>
        <v>5485.7394685710697</v>
      </c>
      <c r="H221" s="20">
        <f>tbl_Monitoring[[#This Row],[Volume (MCM)]]/1233.4818375475*1000000</f>
        <v>115055.68438072201</v>
      </c>
      <c r="I221" s="40">
        <f>tbl_Monitoring[[#This Row],[Elevation (SRTM30-m)]]*3.280839895</f>
        <v>226.61960645849427</v>
      </c>
    </row>
    <row r="222" spans="2:9" ht="16" x14ac:dyDescent="0.2">
      <c r="B222" s="90">
        <v>218</v>
      </c>
      <c r="C222" s="91">
        <v>42838</v>
      </c>
      <c r="D222" s="92">
        <v>21.93</v>
      </c>
      <c r="E222" s="51" cm="1">
        <f t="array" ref="E2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139.99712836858004</v>
      </c>
      <c r="F222" s="49" cm="1">
        <f t="array" ref="F2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68.998086606243703</v>
      </c>
      <c r="G222" s="20">
        <f>tbl_Monitoring[[#This Row],[Area (km2)]]/4046.8564224*1000000</f>
        <v>5419.0210155749355</v>
      </c>
      <c r="H222" s="20">
        <f>tbl_Monitoring[[#This Row],[Volume (MCM)]]/1233.4818375475*1000000</f>
        <v>113497.51906110974</v>
      </c>
      <c r="I222" s="40">
        <f>tbl_Monitoring[[#This Row],[Elevation (SRTM30-m)]]*3.280839895</f>
        <v>226.37167521642951</v>
      </c>
    </row>
    <row r="223" spans="2:9" ht="16" x14ac:dyDescent="0.2">
      <c r="B223" s="90">
        <v>219</v>
      </c>
      <c r="C223" s="91">
        <v>42840</v>
      </c>
      <c r="D223" s="92">
        <v>22.06</v>
      </c>
      <c r="E223" s="51" cm="1">
        <f t="array" ref="E2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140.92326052169548</v>
      </c>
      <c r="F223" s="49" cm="1">
        <f t="array" ref="F2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69.034640358944344</v>
      </c>
      <c r="G223" s="20">
        <f>tbl_Monitoring[[#This Row],[Area (km2)]]/4046.8564224*1000000</f>
        <v>5451.1447151656666</v>
      </c>
      <c r="H223" s="20">
        <f>tbl_Monitoring[[#This Row],[Volume (MCM)]]/1233.4818375475*1000000</f>
        <v>114248.3466168335</v>
      </c>
      <c r="I223" s="40">
        <f>tbl_Monitoring[[#This Row],[Elevation (SRTM30-m)]]*3.280839895</f>
        <v>226.49160222660174</v>
      </c>
    </row>
    <row r="224" spans="2:9" ht="16" x14ac:dyDescent="0.2">
      <c r="B224" s="90">
        <v>220</v>
      </c>
      <c r="C224" s="91">
        <v>42846</v>
      </c>
      <c r="D224" s="92">
        <v>21.94</v>
      </c>
      <c r="E224" s="51" cm="1">
        <f t="array" ref="E2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140.06968640581891</v>
      </c>
      <c r="F224" s="49" cm="1">
        <f t="array" ref="F2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69.00119833904634</v>
      </c>
      <c r="G224" s="20">
        <f>tbl_Monitoring[[#This Row],[Area (km2)]]/4046.8564224*1000000</f>
        <v>5421.4920693896074</v>
      </c>
      <c r="H224" s="20">
        <f>tbl_Monitoring[[#This Row],[Volume (MCM)]]/1233.4818375475*1000000</f>
        <v>113556.3428192148</v>
      </c>
      <c r="I224" s="40">
        <f>tbl_Monitoring[[#This Row],[Elevation (SRTM30-m)]]*3.280839895</f>
        <v>226.38188431355098</v>
      </c>
    </row>
    <row r="225" spans="2:9" ht="16" x14ac:dyDescent="0.2">
      <c r="B225" s="90">
        <v>221</v>
      </c>
      <c r="C225" s="91">
        <v>42854</v>
      </c>
      <c r="D225" s="92">
        <v>21.09</v>
      </c>
      <c r="E225" s="51" cm="1">
        <f t="array" ref="E2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133.81183531722053</v>
      </c>
      <c r="F225" s="49" cm="1">
        <f t="array" ref="F2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68.71611278952669</v>
      </c>
      <c r="G225" s="20">
        <f>tbl_Monitoring[[#This Row],[Area (km2)]]/4046.8564224*1000000</f>
        <v>5211.4524951425165</v>
      </c>
      <c r="H225" s="20">
        <f>tbl_Monitoring[[#This Row],[Volume (MCM)]]/1233.4818375475*1000000</f>
        <v>108483.02037691543</v>
      </c>
      <c r="I225" s="40">
        <f>tbl_Monitoring[[#This Row],[Elevation (SRTM30-m)]]*3.280839895</f>
        <v>225.44656426919892</v>
      </c>
    </row>
    <row r="226" spans="2:9" ht="16" x14ac:dyDescent="0.2">
      <c r="B226" s="90">
        <v>222</v>
      </c>
      <c r="C226" s="91">
        <v>42860</v>
      </c>
      <c r="D226" s="92">
        <v>20.71</v>
      </c>
      <c r="E226" s="51" cm="1">
        <f t="array" ref="E2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131.01372655589122</v>
      </c>
      <c r="F226" s="49" cm="1">
        <f t="array" ref="F2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68.588553205773749</v>
      </c>
      <c r="G226" s="20">
        <f>tbl_Monitoring[[#This Row],[Area (km2)]]/4046.8564224*1000000</f>
        <v>5117.5524501849941</v>
      </c>
      <c r="H226" s="20">
        <f>tbl_Monitoring[[#This Row],[Volume (MCM)]]/1233.4818375475*1000000</f>
        <v>106214.55668644658</v>
      </c>
      <c r="I226" s="40">
        <f>tbl_Monitoring[[#This Row],[Elevation (SRTM30-m)]]*3.280839895</f>
        <v>225.02806169783267</v>
      </c>
    </row>
    <row r="227" spans="2:9" ht="16" x14ac:dyDescent="0.2">
      <c r="B227" s="90">
        <v>223</v>
      </c>
      <c r="C227" s="91">
        <v>42862</v>
      </c>
      <c r="D227" s="92">
        <v>20.51</v>
      </c>
      <c r="E227" s="51" cm="1">
        <f t="array" ref="E2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129.54103773413897</v>
      </c>
      <c r="F227" s="49" cm="1">
        <f t="array" ref="F2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68.521416582745886</v>
      </c>
      <c r="G227" s="20">
        <f>tbl_Monitoring[[#This Row],[Area (km2)]]/4046.8564224*1000000</f>
        <v>5068.1313738915605</v>
      </c>
      <c r="H227" s="20">
        <f>tbl_Monitoring[[#This Row],[Volume (MCM)]]/1233.4818375475*1000000</f>
        <v>105020.62842830509</v>
      </c>
      <c r="I227" s="40">
        <f>tbl_Monitoring[[#This Row],[Elevation (SRTM30-m)]]*3.280839895</f>
        <v>224.80779718658729</v>
      </c>
    </row>
    <row r="228" spans="2:9" ht="16" x14ac:dyDescent="0.2">
      <c r="B228" s="90">
        <v>224</v>
      </c>
      <c r="C228" s="91">
        <v>42870</v>
      </c>
      <c r="D228" s="92">
        <v>23.69</v>
      </c>
      <c r="E228" s="51" cm="1">
        <f t="array" ref="E2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152.51764226235264</v>
      </c>
      <c r="F228" s="49" cm="1">
        <f t="array" ref="F2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69.488894462558875</v>
      </c>
      <c r="G228" s="20">
        <f>tbl_Monitoring[[#This Row],[Area (km2)]]/4046.8564224*1000000</f>
        <v>5853.9264869571471</v>
      </c>
      <c r="H228" s="20">
        <f>tbl_Monitoring[[#This Row],[Volume (MCM)]]/1233.4818375475*1000000</f>
        <v>123648.06486782126</v>
      </c>
      <c r="I228" s="40">
        <f>tbl_Monitoring[[#This Row],[Elevation (SRTM30-m)]]*3.280839895</f>
        <v>227.98193721220775</v>
      </c>
    </row>
    <row r="229" spans="2:9" ht="16" x14ac:dyDescent="0.2">
      <c r="B229" s="90">
        <v>225</v>
      </c>
      <c r="C229" s="91">
        <v>42878</v>
      </c>
      <c r="D229" s="92">
        <v>23.51</v>
      </c>
      <c r="E229" s="51" cm="1">
        <f t="array" ref="E2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151.23728108853774</v>
      </c>
      <c r="F229" s="49" cm="1">
        <f t="array" ref="F2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69.438731432711876</v>
      </c>
      <c r="G229" s="20">
        <f>tbl_Monitoring[[#This Row],[Area (km2)]]/4046.8564224*1000000</f>
        <v>5809.4475182930573</v>
      </c>
      <c r="H229" s="20">
        <f>tbl_Monitoring[[#This Row],[Volume (MCM)]]/1233.4818375475*1000000</f>
        <v>122610.05917139316</v>
      </c>
      <c r="I229" s="40">
        <f>tbl_Monitoring[[#This Row],[Elevation (SRTM30-m)]]*3.280839895</f>
        <v>227.81736034263164</v>
      </c>
    </row>
    <row r="230" spans="2:9" ht="16" x14ac:dyDescent="0.2">
      <c r="B230" s="90">
        <v>226</v>
      </c>
      <c r="C230" s="91">
        <v>42880</v>
      </c>
      <c r="D230" s="92">
        <v>22.62</v>
      </c>
      <c r="E230" s="51" cm="1">
        <f t="array" ref="E2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144.9066063957863</v>
      </c>
      <c r="F230" s="49" cm="1">
        <f t="array" ref="F2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69.190703118468349</v>
      </c>
      <c r="G230" s="20">
        <f>tbl_Monitoring[[#This Row],[Area (km2)]]/4046.8564224*1000000</f>
        <v>5589.5237287872806</v>
      </c>
      <c r="H230" s="20">
        <f>tbl_Monitoring[[#This Row],[Volume (MCM)]]/1233.4818375475*1000000</f>
        <v>117477.69767238759</v>
      </c>
      <c r="I230" s="40">
        <f>tbl_Monitoring[[#This Row],[Elevation (SRTM30-m)]]*3.280839895</f>
        <v>227.00361915417187</v>
      </c>
    </row>
    <row r="231" spans="2:9" ht="16" x14ac:dyDescent="0.2">
      <c r="B231" s="90">
        <v>227</v>
      </c>
      <c r="C231" s="91">
        <v>42886</v>
      </c>
      <c r="D231" s="92">
        <v>22.09</v>
      </c>
      <c r="E231" s="51" cm="1">
        <f t="array" ref="E2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141.13665405066465</v>
      </c>
      <c r="F231" s="49" cm="1">
        <f t="array" ref="F2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69.043000863918849</v>
      </c>
      <c r="G231" s="20">
        <f>tbl_Monitoring[[#This Row],[Area (km2)]]/4046.8564224*1000000</f>
        <v>5458.5578766096824</v>
      </c>
      <c r="H231" s="20">
        <f>tbl_Monitoring[[#This Row],[Volume (MCM)]]/1233.4818375475*1000000</f>
        <v>114421.34756623818</v>
      </c>
      <c r="I231" s="40">
        <f>tbl_Monitoring[[#This Row],[Elevation (SRTM30-m)]]*3.280839895</f>
        <v>226.51903170486443</v>
      </c>
    </row>
    <row r="232" spans="2:9" ht="16" x14ac:dyDescent="0.2">
      <c r="B232" s="90">
        <v>228</v>
      </c>
      <c r="C232" s="91">
        <v>42894</v>
      </c>
      <c r="D232" s="92">
        <v>22.03</v>
      </c>
      <c r="E232" s="51" cm="1">
        <f t="array" ref="E2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140.70986699272635</v>
      </c>
      <c r="F232" s="49" cm="1">
        <f t="array" ref="F2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69.026279853969854</v>
      </c>
      <c r="G232" s="20">
        <f>tbl_Monitoring[[#This Row],[Area (km2)]]/4046.8564224*1000000</f>
        <v>5443.7315537216518</v>
      </c>
      <c r="H232" s="20">
        <f>tbl_Monitoring[[#This Row],[Volume (MCM)]]/1233.4818375475*1000000</f>
        <v>114075.34566742883</v>
      </c>
      <c r="I232" s="40">
        <f>tbl_Monitoring[[#This Row],[Elevation (SRTM30-m)]]*3.280839895</f>
        <v>226.46417274833908</v>
      </c>
    </row>
    <row r="233" spans="2:9" ht="16" x14ac:dyDescent="0.2">
      <c r="B233" s="90">
        <v>229</v>
      </c>
      <c r="C233" s="91">
        <v>42900</v>
      </c>
      <c r="D233" s="92">
        <v>22.08</v>
      </c>
      <c r="E233" s="51" cm="1">
        <f t="array" ref="E2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141.06552287434158</v>
      </c>
      <c r="F233" s="49" cm="1">
        <f t="array" ref="F2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69.040214028927352</v>
      </c>
      <c r="G233" s="20">
        <f>tbl_Monitoring[[#This Row],[Area (km2)]]/4046.8564224*1000000</f>
        <v>5456.0868227950095</v>
      </c>
      <c r="H233" s="20">
        <f>tbl_Monitoring[[#This Row],[Volume (MCM)]]/1233.4818375475*1000000</f>
        <v>114363.68058310328</v>
      </c>
      <c r="I233" s="40">
        <f>tbl_Monitoring[[#This Row],[Elevation (SRTM30-m)]]*3.280839895</f>
        <v>226.50988854544354</v>
      </c>
    </row>
    <row r="234" spans="2:9" ht="16" x14ac:dyDescent="0.2">
      <c r="B234" s="90">
        <v>230</v>
      </c>
      <c r="C234" s="91">
        <v>42910</v>
      </c>
      <c r="D234" s="92">
        <v>21.8</v>
      </c>
      <c r="E234" s="51" cm="1">
        <f t="array" ref="E2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139.03988063444109</v>
      </c>
      <c r="F234" s="49" cm="1">
        <f t="array" ref="F2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68.954447801275592</v>
      </c>
      <c r="G234" s="20">
        <f>tbl_Monitoring[[#This Row],[Area (km2)]]/4046.8564224*1000000</f>
        <v>5386.8973159842044</v>
      </c>
      <c r="H234" s="20">
        <f>tbl_Monitoring[[#This Row],[Volume (MCM)]]/1233.4818375475*1000000</f>
        <v>112721.46569331779</v>
      </c>
      <c r="I234" s="40">
        <f>tbl_Monitoring[[#This Row],[Elevation (SRTM30-m)]]*3.280839895</f>
        <v>226.22850328411999</v>
      </c>
    </row>
    <row r="235" spans="2:9" ht="16" x14ac:dyDescent="0.2">
      <c r="B235" s="90">
        <v>231</v>
      </c>
      <c r="C235" s="91">
        <v>42918</v>
      </c>
      <c r="D235" s="92">
        <v>21.05</v>
      </c>
      <c r="E235" s="51" cm="1">
        <f t="array" ref="E2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133.51729755287008</v>
      </c>
      <c r="F235" s="49" cm="1">
        <f t="array" ref="F2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68.702685464921117</v>
      </c>
      <c r="G235" s="20">
        <f>tbl_Monitoring[[#This Row],[Area (km2)]]/4046.8564224*1000000</f>
        <v>5201.5682798838307</v>
      </c>
      <c r="H235" s="20">
        <f>tbl_Monitoring[[#This Row],[Volume (MCM)]]/1233.4818375475*1000000</f>
        <v>108244.23472528713</v>
      </c>
      <c r="I235" s="40">
        <f>tbl_Monitoring[[#This Row],[Elevation (SRTM30-m)]]*3.280839895</f>
        <v>225.40251136694982</v>
      </c>
    </row>
    <row r="236" spans="2:9" ht="16" x14ac:dyDescent="0.2">
      <c r="B236" s="90">
        <v>232</v>
      </c>
      <c r="C236" s="91">
        <v>42920</v>
      </c>
      <c r="D236" s="92">
        <v>20.309999999999999</v>
      </c>
      <c r="E236" s="51" cm="1">
        <f t="array" ref="E2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128.06834891238668</v>
      </c>
      <c r="F236" s="49" cm="1">
        <f t="array" ref="F2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68.454279959718022</v>
      </c>
      <c r="G236" s="20">
        <f>tbl_Monitoring[[#This Row],[Area (km2)]]/4046.8564224*1000000</f>
        <v>5018.7102975981279</v>
      </c>
      <c r="H236" s="20">
        <f>tbl_Monitoring[[#This Row],[Volume (MCM)]]/1233.4818375475*1000000</f>
        <v>103826.70017016357</v>
      </c>
      <c r="I236" s="40">
        <f>tbl_Monitoring[[#This Row],[Elevation (SRTM30-m)]]*3.280839895</f>
        <v>224.58753267534189</v>
      </c>
    </row>
    <row r="237" spans="2:9" ht="16" x14ac:dyDescent="0.2">
      <c r="B237" s="90">
        <v>233</v>
      </c>
      <c r="C237" s="91">
        <v>42934</v>
      </c>
      <c r="D237" s="92">
        <v>20.56</v>
      </c>
      <c r="E237" s="51" cm="1">
        <f t="array" ref="E2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129.90920993957701</v>
      </c>
      <c r="F237" s="49" cm="1">
        <f t="array" ref="F2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68.538200738502852</v>
      </c>
      <c r="G237" s="20">
        <f>tbl_Monitoring[[#This Row],[Area (km2)]]/4046.8564224*1000000</f>
        <v>5080.4866429649182</v>
      </c>
      <c r="H237" s="20">
        <f>tbl_Monitoring[[#This Row],[Volume (MCM)]]/1233.4818375475*1000000</f>
        <v>105319.11049284044</v>
      </c>
      <c r="I237" s="40">
        <f>tbl_Monitoring[[#This Row],[Elevation (SRTM30-m)]]*3.280839895</f>
        <v>224.86286331439862</v>
      </c>
    </row>
    <row r="238" spans="2:9" ht="16" x14ac:dyDescent="0.2">
      <c r="B238" s="90">
        <v>234</v>
      </c>
      <c r="C238" s="91">
        <v>42942</v>
      </c>
      <c r="D238" s="92">
        <v>18.98</v>
      </c>
      <c r="E238" s="51" cm="1">
        <f t="array" ref="E2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118.27496824773412</v>
      </c>
      <c r="F238" s="49" cm="1">
        <f t="array" ref="F2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68.007821416582743</v>
      </c>
      <c r="G238" s="20">
        <f>tbl_Monitoring[[#This Row],[Area (km2)]]/4046.8564224*1000000</f>
        <v>4690.0601402467983</v>
      </c>
      <c r="H238" s="20">
        <f>tbl_Monitoring[[#This Row],[Volume (MCM)]]/1233.4818375475*1000000</f>
        <v>95887.077253522584</v>
      </c>
      <c r="I238" s="40">
        <f>tbl_Monitoring[[#This Row],[Elevation (SRTM30-m)]]*3.280839895</f>
        <v>223.1227736755601</v>
      </c>
    </row>
    <row r="239" spans="2:9" ht="16" x14ac:dyDescent="0.2">
      <c r="B239" s="90">
        <v>235</v>
      </c>
      <c r="C239" s="91">
        <v>42950</v>
      </c>
      <c r="D239" s="92">
        <v>18.54</v>
      </c>
      <c r="E239" s="51" cm="1">
        <f t="array" ref="E2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114.79757999999998</v>
      </c>
      <c r="F239" s="49" cm="1">
        <f t="array" ref="F2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67.82561205273069</v>
      </c>
      <c r="G239" s="20">
        <f>tbl_Monitoring[[#This Row],[Area (km2)]]/4046.8564224*1000000</f>
        <v>4581.3337724012454</v>
      </c>
      <c r="H239" s="20">
        <f>tbl_Monitoring[[#This Row],[Volume (MCM)]]/1233.4818375475*1000000</f>
        <v>93067.912721154484</v>
      </c>
      <c r="I239" s="40">
        <f>tbl_Monitoring[[#This Row],[Elevation (SRTM30-m)]]*3.280839895</f>
        <v>222.52497392539169</v>
      </c>
    </row>
    <row r="240" spans="2:9" ht="16" x14ac:dyDescent="0.2">
      <c r="B240" s="90">
        <v>236</v>
      </c>
      <c r="C240" s="91">
        <v>42960</v>
      </c>
      <c r="D240" s="92">
        <v>18.5</v>
      </c>
      <c r="E240" s="51" cm="1">
        <f t="array" ref="E2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114.48024666666666</v>
      </c>
      <c r="F240" s="49" cm="1">
        <f t="array" ref="F2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67.808872148985145</v>
      </c>
      <c r="G240" s="20">
        <f>tbl_Monitoring[[#This Row],[Area (km2)]]/4046.8564224*1000000</f>
        <v>4571.4495571425587</v>
      </c>
      <c r="H240" s="20">
        <f>tbl_Monitoring[[#This Row],[Volume (MCM)]]/1233.4818375475*1000000</f>
        <v>92810.646400991813</v>
      </c>
      <c r="I240" s="40">
        <f>tbl_Monitoring[[#This Row],[Elevation (SRTM30-m)]]*3.280839895</f>
        <v>222.47005298134485</v>
      </c>
    </row>
    <row r="241" spans="2:9" ht="16" x14ac:dyDescent="0.2">
      <c r="B241" s="90">
        <v>237</v>
      </c>
      <c r="C241" s="91">
        <v>42966</v>
      </c>
      <c r="D241" s="92">
        <v>18.21</v>
      </c>
      <c r="E241" s="51" cm="1">
        <f t="array" ref="E2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112.17957999999999</v>
      </c>
      <c r="F241" s="49" cm="1">
        <f t="array" ref="F2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67.687507846829874</v>
      </c>
      <c r="G241" s="20">
        <f>tbl_Monitoring[[#This Row],[Area (km2)]]/4046.8564224*1000000</f>
        <v>4499.7889965170807</v>
      </c>
      <c r="H241" s="20">
        <f>tbl_Monitoring[[#This Row],[Volume (MCM)]]/1233.4818375475*1000000</f>
        <v>90945.465579812459</v>
      </c>
      <c r="I241" s="40">
        <f>tbl_Monitoring[[#This Row],[Elevation (SRTM30-m)]]*3.280839895</f>
        <v>222.07187613700501</v>
      </c>
    </row>
    <row r="242" spans="2:9" ht="16" x14ac:dyDescent="0.2">
      <c r="B242" s="90">
        <v>238</v>
      </c>
      <c r="C242" s="91">
        <v>42974</v>
      </c>
      <c r="D242" s="92">
        <v>18.059999999999999</v>
      </c>
      <c r="E242" s="51" cm="1">
        <f t="array" ref="E2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110.98957999999998</v>
      </c>
      <c r="F242" s="49" cm="1">
        <f t="array" ref="F2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67.624733207784061</v>
      </c>
      <c r="G242" s="20">
        <f>tbl_Monitoring[[#This Row],[Area (km2)]]/4046.8564224*1000000</f>
        <v>4462.7231892970049</v>
      </c>
      <c r="H242" s="20">
        <f>tbl_Monitoring[[#This Row],[Volume (MCM)]]/1233.4818375475*1000000</f>
        <v>89980.716879202446</v>
      </c>
      <c r="I242" s="40">
        <f>tbl_Monitoring[[#This Row],[Elevation (SRTM30-m)]]*3.280839895</f>
        <v>221.86592259682928</v>
      </c>
    </row>
    <row r="243" spans="2:9" ht="16" x14ac:dyDescent="0.2">
      <c r="B243" s="90">
        <v>239</v>
      </c>
      <c r="C243" s="91">
        <v>42975</v>
      </c>
      <c r="D243" s="92">
        <v>18.03</v>
      </c>
      <c r="E243" s="51" cm="1">
        <f t="array" ref="E2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110.75157999999999</v>
      </c>
      <c r="F243" s="49" cm="1">
        <f t="array" ref="F2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67.612178279974884</v>
      </c>
      <c r="G243" s="20">
        <f>tbl_Monitoring[[#This Row],[Area (km2)]]/4046.8564224*1000000</f>
        <v>4455.310027852991</v>
      </c>
      <c r="H243" s="20">
        <f>tbl_Monitoring[[#This Row],[Volume (MCM)]]/1233.4818375475*1000000</f>
        <v>89787.767139080461</v>
      </c>
      <c r="I243" s="40">
        <f>tbl_Monitoring[[#This Row],[Elevation (SRTM30-m)]]*3.280839895</f>
        <v>221.8247318887941</v>
      </c>
    </row>
    <row r="244" spans="2:9" ht="16" x14ac:dyDescent="0.2">
      <c r="B244" s="90">
        <v>240</v>
      </c>
      <c r="C244" s="91">
        <v>42982</v>
      </c>
      <c r="D244" s="92">
        <v>17.98</v>
      </c>
      <c r="E244" s="51" cm="1">
        <f t="array" ref="E2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110.35491333333333</v>
      </c>
      <c r="F244" s="49" cm="1">
        <f t="array" ref="F2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67.591253400292942</v>
      </c>
      <c r="G244" s="20">
        <f>tbl_Monitoring[[#This Row],[Area (km2)]]/4046.8564224*1000000</f>
        <v>4442.9547587796324</v>
      </c>
      <c r="H244" s="20">
        <f>tbl_Monitoring[[#This Row],[Volume (MCM)]]/1233.4818375475*1000000</f>
        <v>89466.184238877118</v>
      </c>
      <c r="I244" s="40">
        <f>tbl_Monitoring[[#This Row],[Elevation (SRTM30-m)]]*3.280839895</f>
        <v>221.75608070873551</v>
      </c>
    </row>
    <row r="245" spans="2:9" ht="16" x14ac:dyDescent="0.2">
      <c r="B245" s="90">
        <v>241</v>
      </c>
      <c r="C245" s="91">
        <v>42990</v>
      </c>
      <c r="D245" s="92">
        <v>17.73</v>
      </c>
      <c r="E245" s="51" cm="1">
        <f t="array" ref="E2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108.37157999999999</v>
      </c>
      <c r="F245" s="49" cm="1">
        <f t="array" ref="F2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67.486629001883244</v>
      </c>
      <c r="G245" s="20">
        <f>tbl_Monitoring[[#This Row],[Area (km2)]]/4046.8564224*1000000</f>
        <v>4381.178413412842</v>
      </c>
      <c r="H245" s="20">
        <f>tbl_Monitoring[[#This Row],[Volume (MCM)]]/1233.4818375475*1000000</f>
        <v>87858.269737860435</v>
      </c>
      <c r="I245" s="40">
        <f>tbl_Monitoring[[#This Row],[Elevation (SRTM30-m)]]*3.280839895</f>
        <v>221.41282480844259</v>
      </c>
    </row>
    <row r="246" spans="2:9" ht="16" x14ac:dyDescent="0.2">
      <c r="B246" s="90">
        <v>242</v>
      </c>
      <c r="C246" s="91">
        <v>42995</v>
      </c>
      <c r="D246" s="92">
        <v>17.04</v>
      </c>
      <c r="E246" s="51" cm="1">
        <f t="array" ref="E2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102.89757999999999</v>
      </c>
      <c r="F246" s="49" cm="1">
        <f t="array" ref="F2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67.197865662272449</v>
      </c>
      <c r="G246" s="20">
        <f>tbl_Monitoring[[#This Row],[Area (km2)]]/4046.8564224*1000000</f>
        <v>4210.675700200497</v>
      </c>
      <c r="H246" s="20">
        <f>tbl_Monitoring[[#This Row],[Volume (MCM)]]/1233.4818375475*1000000</f>
        <v>83420.425715054385</v>
      </c>
      <c r="I246" s="40">
        <f>tbl_Monitoring[[#This Row],[Elevation (SRTM30-m)]]*3.280839895</f>
        <v>220.46543852363405</v>
      </c>
    </row>
    <row r="247" spans="2:9" ht="16" x14ac:dyDescent="0.2">
      <c r="B247" s="90">
        <v>243</v>
      </c>
      <c r="C247" s="91">
        <v>42998</v>
      </c>
      <c r="D247" s="92">
        <v>16.89</v>
      </c>
      <c r="E247" s="51" cm="1">
        <f t="array" ref="E2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101.70758000000001</v>
      </c>
      <c r="F247" s="49" cm="1">
        <f t="array" ref="F2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67.135091023226622</v>
      </c>
      <c r="G247" s="20">
        <f>tbl_Monitoring[[#This Row],[Area (km2)]]/4046.8564224*1000000</f>
        <v>4173.609892980422</v>
      </c>
      <c r="H247" s="20">
        <f>tbl_Monitoring[[#This Row],[Volume (MCM)]]/1233.4818375475*1000000</f>
        <v>82455.677014444387</v>
      </c>
      <c r="I247" s="40">
        <f>tbl_Monitoring[[#This Row],[Elevation (SRTM30-m)]]*3.280839895</f>
        <v>220.25948498345829</v>
      </c>
    </row>
    <row r="248" spans="2:9" ht="16" x14ac:dyDescent="0.2">
      <c r="B248" s="90">
        <v>244</v>
      </c>
      <c r="C248" s="91">
        <v>43000</v>
      </c>
      <c r="D248" s="92">
        <v>16.89</v>
      </c>
      <c r="E248" s="51" cm="1">
        <f t="array" ref="E2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101.70758000000001</v>
      </c>
      <c r="F248" s="49" cm="1">
        <f t="array" ref="F2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67.135091023226622</v>
      </c>
      <c r="G248" s="20">
        <f>tbl_Monitoring[[#This Row],[Area (km2)]]/4046.8564224*1000000</f>
        <v>4173.609892980422</v>
      </c>
      <c r="H248" s="20">
        <f>tbl_Monitoring[[#This Row],[Volume (MCM)]]/1233.4818375475*1000000</f>
        <v>82455.677014444387</v>
      </c>
      <c r="I248" s="40">
        <f>tbl_Monitoring[[#This Row],[Elevation (SRTM30-m)]]*3.280839895</f>
        <v>220.25948498345829</v>
      </c>
    </row>
    <row r="249" spans="2:9" ht="16" x14ac:dyDescent="0.2">
      <c r="B249" s="90">
        <v>245</v>
      </c>
      <c r="C249" s="91">
        <v>43006</v>
      </c>
      <c r="D249" s="92">
        <v>16.82</v>
      </c>
      <c r="E249" s="51" cm="1">
        <f t="array" ref="E2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101.15224666666667</v>
      </c>
      <c r="F249" s="49" cm="1">
        <f t="array" ref="F2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67.105796191671899</v>
      </c>
      <c r="G249" s="20">
        <f>tbl_Monitoring[[#This Row],[Area (km2)]]/4046.8564224*1000000</f>
        <v>4156.3125162777205</v>
      </c>
      <c r="H249" s="20">
        <f>tbl_Monitoring[[#This Row],[Volume (MCM)]]/1233.4818375475*1000000</f>
        <v>82005.460954159716</v>
      </c>
      <c r="I249" s="40">
        <f>tbl_Monitoring[[#This Row],[Elevation (SRTM30-m)]]*3.280839895</f>
        <v>220.16337333137625</v>
      </c>
    </row>
    <row r="250" spans="2:9" ht="16" x14ac:dyDescent="0.2">
      <c r="B250" s="90">
        <v>246</v>
      </c>
      <c r="C250" s="91">
        <v>43014</v>
      </c>
      <c r="D250" s="92">
        <v>16.86</v>
      </c>
      <c r="E250" s="51" cm="1">
        <f t="array" ref="E2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101.46957999999999</v>
      </c>
      <c r="F250" s="49" cm="1">
        <f t="array" ref="F2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67.122536095417445</v>
      </c>
      <c r="G250" s="20">
        <f>tbl_Monitoring[[#This Row],[Area (km2)]]/4046.8564224*1000000</f>
        <v>4166.1967315364072</v>
      </c>
      <c r="H250" s="20">
        <f>tbl_Monitoring[[#This Row],[Volume (MCM)]]/1233.4818375475*1000000</f>
        <v>82262.727274322358</v>
      </c>
      <c r="I250" s="40">
        <f>tbl_Monitoring[[#This Row],[Elevation (SRTM30-m)]]*3.280839895</f>
        <v>220.21829427542309</v>
      </c>
    </row>
    <row r="251" spans="2:9" ht="16" x14ac:dyDescent="0.2">
      <c r="B251" s="90">
        <v>247</v>
      </c>
      <c r="C251" s="91">
        <v>43015</v>
      </c>
      <c r="D251" s="92">
        <v>16.79</v>
      </c>
      <c r="E251" s="51" cm="1">
        <f t="array" ref="E2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100.91424666666666</v>
      </c>
      <c r="F251" s="49" cm="1">
        <f t="array" ref="F2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67.093241263862737</v>
      </c>
      <c r="G251" s="20">
        <f>tbl_Monitoring[[#This Row],[Area (km2)]]/4046.8564224*1000000</f>
        <v>4148.8993548337057</v>
      </c>
      <c r="H251" s="20">
        <f>tbl_Monitoring[[#This Row],[Volume (MCM)]]/1233.4818375475*1000000</f>
        <v>81812.511214037688</v>
      </c>
      <c r="I251" s="40">
        <f>tbl_Monitoring[[#This Row],[Elevation (SRTM30-m)]]*3.280839895</f>
        <v>220.1221826233411</v>
      </c>
    </row>
    <row r="252" spans="2:9" ht="16" x14ac:dyDescent="0.2">
      <c r="B252" s="90">
        <v>248</v>
      </c>
      <c r="C252" s="91">
        <v>43020</v>
      </c>
      <c r="D252" s="92">
        <v>16.77</v>
      </c>
      <c r="E252" s="51" cm="1">
        <f t="array" ref="E2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100.75557999999999</v>
      </c>
      <c r="F252" s="49" cm="1">
        <f t="array" ref="F2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67.084871311989957</v>
      </c>
      <c r="G252" s="20">
        <f>tbl_Monitoring[[#This Row],[Area (km2)]]/4046.8564224*1000000</f>
        <v>4143.9572472043619</v>
      </c>
      <c r="H252" s="20">
        <f>tbl_Monitoring[[#This Row],[Volume (MCM)]]/1233.4818375475*1000000</f>
        <v>81683.87805395636</v>
      </c>
      <c r="I252" s="40">
        <f>tbl_Monitoring[[#This Row],[Elevation (SRTM30-m)]]*3.280839895</f>
        <v>220.09472215131765</v>
      </c>
    </row>
    <row r="253" spans="2:9" ht="16" x14ac:dyDescent="0.2">
      <c r="B253" s="90">
        <v>249</v>
      </c>
      <c r="C253" s="91">
        <v>43022</v>
      </c>
      <c r="D253" s="92">
        <v>16.72</v>
      </c>
      <c r="E253" s="51" cm="1">
        <f t="array" ref="E2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100.35891333333332</v>
      </c>
      <c r="F253" s="49" cm="1">
        <f t="array" ref="F2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67.063946432308015</v>
      </c>
      <c r="G253" s="20">
        <f>tbl_Monitoring[[#This Row],[Area (km2)]]/4046.8564224*1000000</f>
        <v>4131.6019781310042</v>
      </c>
      <c r="H253" s="20">
        <f>tbl_Monitoring[[#This Row],[Volume (MCM)]]/1233.4818375475*1000000</f>
        <v>81362.295153753017</v>
      </c>
      <c r="I253" s="40">
        <f>tbl_Monitoring[[#This Row],[Elevation (SRTM30-m)]]*3.280839895</f>
        <v>220.02607097125906</v>
      </c>
    </row>
    <row r="254" spans="2:9" ht="16" x14ac:dyDescent="0.2">
      <c r="B254" s="90">
        <v>250</v>
      </c>
      <c r="C254" s="91">
        <v>43030</v>
      </c>
      <c r="D254" s="92">
        <v>15.88</v>
      </c>
      <c r="E254" s="51" cm="1">
        <f t="array" ref="E2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93.593593064091309</v>
      </c>
      <c r="F254" s="49" cm="1">
        <f t="array" ref="F2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66.664813188957169</v>
      </c>
      <c r="G254" s="20">
        <f>tbl_Monitoring[[#This Row],[Area (km2)]]/4046.8564224*1000000</f>
        <v>3924.0334576985861</v>
      </c>
      <c r="H254" s="20">
        <f>tbl_Monitoring[[#This Row],[Volume (MCM)]]/1233.4818375475*1000000</f>
        <v>75877.5607512641</v>
      </c>
      <c r="I254" s="40">
        <f>tbl_Monitoring[[#This Row],[Elevation (SRTM30-m)]]*3.280839895</f>
        <v>218.71657870305287</v>
      </c>
    </row>
    <row r="255" spans="2:9" ht="16" x14ac:dyDescent="0.2">
      <c r="B255" s="90">
        <v>251</v>
      </c>
      <c r="C255" s="91">
        <v>43035</v>
      </c>
      <c r="D255" s="92">
        <v>15.9</v>
      </c>
      <c r="E255" s="51" cm="1">
        <f t="array" ref="E2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93.75520851624232</v>
      </c>
      <c r="F255" s="49" cm="1">
        <f t="array" ref="F2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66.674568334796604</v>
      </c>
      <c r="G255" s="20">
        <f>tbl_Monitoring[[#This Row],[Area (km2)]]/4046.8564224*1000000</f>
        <v>3928.975565327929</v>
      </c>
      <c r="H255" s="20">
        <f>tbl_Monitoring[[#This Row],[Volume (MCM)]]/1233.4818375475*1000000</f>
        <v>76008.58453064326</v>
      </c>
      <c r="I255" s="40">
        <f>tbl_Monitoring[[#This Row],[Elevation (SRTM30-m)]]*3.280839895</f>
        <v>218.74858377470443</v>
      </c>
    </row>
    <row r="256" spans="2:9" ht="16" x14ac:dyDescent="0.2">
      <c r="B256" s="90">
        <v>252</v>
      </c>
      <c r="C256" s="91">
        <v>43038</v>
      </c>
      <c r="D256" s="92">
        <v>15.89</v>
      </c>
      <c r="E256" s="51" cm="1">
        <f t="array" ref="E2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93.674400790166814</v>
      </c>
      <c r="F256" s="49" cm="1">
        <f t="array" ref="F2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66.669690761876893</v>
      </c>
      <c r="G256" s="20">
        <f>tbl_Monitoring[[#This Row],[Area (km2)]]/4046.8564224*1000000</f>
        <v>3926.5045115132571</v>
      </c>
      <c r="H256" s="20">
        <f>tbl_Monitoring[[#This Row],[Volume (MCM)]]/1233.4818375475*1000000</f>
        <v>75943.072640953673</v>
      </c>
      <c r="I256" s="40">
        <f>tbl_Monitoring[[#This Row],[Elevation (SRTM30-m)]]*3.280839895</f>
        <v>218.73258123887868</v>
      </c>
    </row>
    <row r="257" spans="2:9" ht="16" x14ac:dyDescent="0.2">
      <c r="B257" s="90">
        <v>253</v>
      </c>
      <c r="C257" s="91">
        <v>43040</v>
      </c>
      <c r="D257" s="92">
        <v>15.83</v>
      </c>
      <c r="E257" s="51" cm="1">
        <f t="array" ref="E2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93.189554433713781</v>
      </c>
      <c r="F257" s="49" cm="1">
        <f t="array" ref="F2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66.640425324358603</v>
      </c>
      <c r="G257" s="20">
        <f>tbl_Monitoring[[#This Row],[Area (km2)]]/4046.8564224*1000000</f>
        <v>3911.6781886252274</v>
      </c>
      <c r="H257" s="20">
        <f>tbl_Monitoring[[#This Row],[Volume (MCM)]]/1233.4818375475*1000000</f>
        <v>75550.001302816236</v>
      </c>
      <c r="I257" s="40">
        <f>tbl_Monitoring[[#This Row],[Elevation (SRTM30-m)]]*3.280839895</f>
        <v>218.63656602392402</v>
      </c>
    </row>
    <row r="258" spans="2:9" ht="16" x14ac:dyDescent="0.2">
      <c r="B258" s="90">
        <v>254</v>
      </c>
      <c r="C258" s="91">
        <v>43045</v>
      </c>
      <c r="D258" s="92">
        <v>15.77</v>
      </c>
      <c r="E258" s="51" cm="1">
        <f t="array" ref="E2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92.704708077260747</v>
      </c>
      <c r="F258" s="49" cm="1">
        <f t="array" ref="F2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66.611159886840312</v>
      </c>
      <c r="G258" s="20">
        <f>tbl_Monitoring[[#This Row],[Area (km2)]]/4046.8564224*1000000</f>
        <v>3896.8518657371969</v>
      </c>
      <c r="H258" s="20">
        <f>tbl_Monitoring[[#This Row],[Volume (MCM)]]/1233.4818375475*1000000</f>
        <v>75156.929964678784</v>
      </c>
      <c r="I258" s="40">
        <f>tbl_Monitoring[[#This Row],[Elevation (SRTM30-m)]]*3.280839895</f>
        <v>218.54055080896939</v>
      </c>
    </row>
    <row r="259" spans="2:9" ht="16" x14ac:dyDescent="0.2">
      <c r="B259" s="90">
        <v>255</v>
      </c>
      <c r="C259" s="91">
        <v>43046</v>
      </c>
      <c r="D259" s="92">
        <v>15.75</v>
      </c>
      <c r="E259" s="51" cm="1">
        <f t="array" ref="E2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92.54309262510975</v>
      </c>
      <c r="F259" s="49" cm="1">
        <f t="array" ref="F2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66.601404741000877</v>
      </c>
      <c r="G259" s="20">
        <f>tbl_Monitoring[[#This Row],[Area (km2)]]/4046.8564224*1000000</f>
        <v>3891.909758107854</v>
      </c>
      <c r="H259" s="20">
        <f>tbl_Monitoring[[#This Row],[Volume (MCM)]]/1233.4818375475*1000000</f>
        <v>75025.906185299653</v>
      </c>
      <c r="I259" s="40">
        <f>tbl_Monitoring[[#This Row],[Elevation (SRTM30-m)]]*3.280839895</f>
        <v>218.50854573731783</v>
      </c>
    </row>
    <row r="260" spans="2:9" ht="16" x14ac:dyDescent="0.2">
      <c r="B260" s="90">
        <v>256</v>
      </c>
      <c r="C260" s="91">
        <v>43054</v>
      </c>
      <c r="D260" s="92">
        <v>15.72</v>
      </c>
      <c r="E260" s="51" cm="1">
        <f t="array" ref="E2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92.300669446883234</v>
      </c>
      <c r="F260" s="49" cm="1">
        <f t="array" ref="F2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66.586772022241732</v>
      </c>
      <c r="G260" s="20">
        <f>tbl_Monitoring[[#This Row],[Area (km2)]]/4046.8564224*1000000</f>
        <v>3884.4965966638392</v>
      </c>
      <c r="H260" s="20">
        <f>tbl_Monitoring[[#This Row],[Volume (MCM)]]/1233.4818375475*1000000</f>
        <v>74829.37051623092</v>
      </c>
      <c r="I260" s="40">
        <f>tbl_Monitoring[[#This Row],[Elevation (SRTM30-m)]]*3.280839895</f>
        <v>218.4605381298405</v>
      </c>
    </row>
    <row r="261" spans="2:9" ht="16" x14ac:dyDescent="0.2">
      <c r="B261" s="90">
        <v>257</v>
      </c>
      <c r="C261" s="91">
        <v>43055</v>
      </c>
      <c r="D261" s="92">
        <v>15.65</v>
      </c>
      <c r="E261" s="51" cm="1">
        <f t="array" ref="E2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91.735015364354695</v>
      </c>
      <c r="F261" s="49" cm="1">
        <f t="array" ref="F2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66.552629011803731</v>
      </c>
      <c r="G261" s="20">
        <f>tbl_Monitoring[[#This Row],[Area (km2)]]/4046.8564224*1000000</f>
        <v>3867.1992199611373</v>
      </c>
      <c r="H261" s="20">
        <f>tbl_Monitoring[[#This Row],[Volume (MCM)]]/1233.4818375475*1000000</f>
        <v>74370.78728840391</v>
      </c>
      <c r="I261" s="40">
        <f>tbl_Monitoring[[#This Row],[Elevation (SRTM30-m)]]*3.280839895</f>
        <v>218.34852037906012</v>
      </c>
    </row>
    <row r="262" spans="2:9" ht="16" x14ac:dyDescent="0.2">
      <c r="B262" s="90">
        <v>258</v>
      </c>
      <c r="C262" s="91">
        <v>43060</v>
      </c>
      <c r="D262" s="92">
        <v>15.67</v>
      </c>
      <c r="E262" s="51" cm="1">
        <f t="array" ref="E2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91.896630816505706</v>
      </c>
      <c r="F262" s="49" cm="1">
        <f t="array" ref="F2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66.562384157643152</v>
      </c>
      <c r="G262" s="20">
        <f>tbl_Monitoring[[#This Row],[Area (km2)]]/4046.8564224*1000000</f>
        <v>3872.1413275904806</v>
      </c>
      <c r="H262" s="20">
        <f>tbl_Monitoring[[#This Row],[Volume (MCM)]]/1233.4818375475*1000000</f>
        <v>74501.811067783041</v>
      </c>
      <c r="I262" s="40">
        <f>tbl_Monitoring[[#This Row],[Elevation (SRTM30-m)]]*3.280839895</f>
        <v>218.38052545071164</v>
      </c>
    </row>
    <row r="263" spans="2:9" ht="16" x14ac:dyDescent="0.2">
      <c r="B263" s="90">
        <v>259</v>
      </c>
      <c r="C263" s="91">
        <v>43062</v>
      </c>
      <c r="D263" s="92">
        <v>16.53</v>
      </c>
      <c r="E263" s="51" cm="1">
        <f t="array" ref="E2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98.846095258999128</v>
      </c>
      <c r="F263" s="49" cm="1">
        <f t="array" ref="F2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66.981855428738655</v>
      </c>
      <c r="G263" s="20">
        <f>tbl_Monitoring[[#This Row],[Area (km2)]]/4046.8564224*1000000</f>
        <v>4084.651955652243</v>
      </c>
      <c r="H263" s="20">
        <f>tbl_Monitoring[[#This Row],[Volume (MCM)]]/1233.4818375475*1000000</f>
        <v>80135.833581086423</v>
      </c>
      <c r="I263" s="40">
        <f>tbl_Monitoring[[#This Row],[Elevation (SRTM30-m)]]*3.280839895</f>
        <v>219.75674353172812</v>
      </c>
    </row>
    <row r="264" spans="2:9" ht="16" x14ac:dyDescent="0.2">
      <c r="B264" s="90">
        <v>260</v>
      </c>
      <c r="C264" s="91">
        <v>43065</v>
      </c>
      <c r="D264" s="92">
        <v>15.63</v>
      </c>
      <c r="E264" s="51" cm="1">
        <f t="array" ref="E2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91.573399912203698</v>
      </c>
      <c r="F264" s="49" cm="1">
        <f t="array" ref="F2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66.542873865964296</v>
      </c>
      <c r="G264" s="20">
        <f>tbl_Monitoring[[#This Row],[Area (km2)]]/4046.8564224*1000000</f>
        <v>3862.2571123317944</v>
      </c>
      <c r="H264" s="20">
        <f>tbl_Monitoring[[#This Row],[Volume (MCM)]]/1233.4818375475*1000000</f>
        <v>74239.763509024764</v>
      </c>
      <c r="I264" s="40">
        <f>tbl_Monitoring[[#This Row],[Elevation (SRTM30-m)]]*3.280839895</f>
        <v>218.31651530740857</v>
      </c>
    </row>
    <row r="265" spans="2:9" ht="16" x14ac:dyDescent="0.2">
      <c r="B265" s="90">
        <v>261</v>
      </c>
      <c r="C265" s="91">
        <v>43070</v>
      </c>
      <c r="D265" s="92">
        <v>15.62</v>
      </c>
      <c r="E265" s="51" cm="1">
        <f t="array" ref="E2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91.492592186128178</v>
      </c>
      <c r="F265" s="49" cm="1">
        <f t="array" ref="F2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66.537996293044586</v>
      </c>
      <c r="G265" s="20">
        <f>tbl_Monitoring[[#This Row],[Area (km2)]]/4046.8564224*1000000</f>
        <v>3859.786058517122</v>
      </c>
      <c r="H265" s="20">
        <f>tbl_Monitoring[[#This Row],[Volume (MCM)]]/1233.4818375475*1000000</f>
        <v>74174.251619335177</v>
      </c>
      <c r="I265" s="40">
        <f>tbl_Monitoring[[#This Row],[Elevation (SRTM30-m)]]*3.280839895</f>
        <v>218.30051277158279</v>
      </c>
    </row>
    <row r="266" spans="2:9" ht="16" x14ac:dyDescent="0.2">
      <c r="B266" s="90">
        <v>262</v>
      </c>
      <c r="C266" s="91">
        <v>43075</v>
      </c>
      <c r="D266" s="92">
        <v>15.5</v>
      </c>
      <c r="E266" s="51" cm="1">
        <f t="array" ref="E2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90.522899473222125</v>
      </c>
      <c r="F266" s="49" cm="1">
        <f t="array" ref="F2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66.479465418008004</v>
      </c>
      <c r="G266" s="20">
        <f>tbl_Monitoring[[#This Row],[Area (km2)]]/4046.8564224*1000000</f>
        <v>3830.1334127410628</v>
      </c>
      <c r="H266" s="20">
        <f>tbl_Monitoring[[#This Row],[Volume (MCM)]]/1233.4818375475*1000000</f>
        <v>73388.108943060288</v>
      </c>
      <c r="I266" s="40">
        <f>tbl_Monitoring[[#This Row],[Elevation (SRTM30-m)]]*3.280839895</f>
        <v>218.10848234167352</v>
      </c>
    </row>
    <row r="267" spans="2:9" ht="16" x14ac:dyDescent="0.2">
      <c r="B267" s="90">
        <v>263</v>
      </c>
      <c r="C267" s="91">
        <v>43078</v>
      </c>
      <c r="D267" s="92">
        <v>16.16</v>
      </c>
      <c r="E267" s="51" cm="1">
        <f t="array" ref="E2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95.85620939420545</v>
      </c>
      <c r="F267" s="49" cm="1">
        <f t="array" ref="F2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66.801385230709201</v>
      </c>
      <c r="G267" s="20">
        <f>tbl_Monitoring[[#This Row],[Area (km2)]]/4046.8564224*1000000</f>
        <v>3993.2229645093921</v>
      </c>
      <c r="H267" s="20">
        <f>tbl_Monitoring[[#This Row],[Volume (MCM)]]/1233.4818375475*1000000</f>
        <v>77711.893662572184</v>
      </c>
      <c r="I267" s="40">
        <f>tbl_Monitoring[[#This Row],[Elevation (SRTM30-m)]]*3.280839895</f>
        <v>219.16464970617454</v>
      </c>
    </row>
    <row r="268" spans="2:9" ht="16" x14ac:dyDescent="0.2">
      <c r="B268" s="90">
        <v>264</v>
      </c>
      <c r="C268" s="91">
        <v>43080</v>
      </c>
      <c r="D268" s="92">
        <v>15.14</v>
      </c>
      <c r="E268" s="51" cm="1">
        <f t="array" ref="E2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87.613821334503953</v>
      </c>
      <c r="F268" s="49" cm="1">
        <f t="array" ref="F2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66.303872792898261</v>
      </c>
      <c r="G268" s="20">
        <f>tbl_Monitoring[[#This Row],[Area (km2)]]/4046.8564224*1000000</f>
        <v>3741.1754754128833</v>
      </c>
      <c r="H268" s="20">
        <f>tbl_Monitoring[[#This Row],[Volume (MCM)]]/1233.4818375475*1000000</f>
        <v>71029.680914235636</v>
      </c>
      <c r="I268" s="40">
        <f>tbl_Monitoring[[#This Row],[Elevation (SRTM30-m)]]*3.280839895</f>
        <v>217.53239105194569</v>
      </c>
    </row>
    <row r="269" spans="2:9" ht="16" x14ac:dyDescent="0.2">
      <c r="B269" s="90">
        <v>265</v>
      </c>
      <c r="C269" s="91">
        <v>43085</v>
      </c>
      <c r="D269" s="92">
        <v>15.49</v>
      </c>
      <c r="E269" s="51" cm="1">
        <f t="array" ref="E2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90.44209174714662</v>
      </c>
      <c r="F269" s="49" cm="1">
        <f t="array" ref="F2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66.47458784508828</v>
      </c>
      <c r="G269" s="20">
        <f>tbl_Monitoring[[#This Row],[Area (km2)]]/4046.8564224*1000000</f>
        <v>3827.6623589263913</v>
      </c>
      <c r="H269" s="20">
        <f>tbl_Monitoring[[#This Row],[Volume (MCM)]]/1233.4818375475*1000000</f>
        <v>73322.597053370715</v>
      </c>
      <c r="I269" s="40">
        <f>tbl_Monitoring[[#This Row],[Elevation (SRTM30-m)]]*3.280839895</f>
        <v>218.09247980584772</v>
      </c>
    </row>
    <row r="270" spans="2:9" ht="16" x14ac:dyDescent="0.2">
      <c r="B270" s="90">
        <v>266</v>
      </c>
      <c r="C270" s="91">
        <v>43086</v>
      </c>
      <c r="D270" s="92">
        <v>16.27</v>
      </c>
      <c r="E270" s="51" cm="1">
        <f t="array" ref="E2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96.745094381035997</v>
      </c>
      <c r="F270" s="49" cm="1">
        <f t="array" ref="F2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66.855038532826072</v>
      </c>
      <c r="G270" s="20">
        <f>tbl_Monitoring[[#This Row],[Area (km2)]]/4046.8564224*1000000</f>
        <v>4020.4045564707799</v>
      </c>
      <c r="H270" s="20">
        <f>tbl_Monitoring[[#This Row],[Volume (MCM)]]/1233.4818375475*1000000</f>
        <v>78432.524449157499</v>
      </c>
      <c r="I270" s="40">
        <f>tbl_Monitoring[[#This Row],[Elevation (SRTM30-m)]]*3.280839895</f>
        <v>219.34067760025806</v>
      </c>
    </row>
    <row r="271" spans="2:9" ht="16" x14ac:dyDescent="0.2">
      <c r="B271" s="90">
        <v>267</v>
      </c>
      <c r="C271" s="91">
        <v>43095</v>
      </c>
      <c r="D271" s="92">
        <v>15.11</v>
      </c>
      <c r="E271" s="51" cm="1">
        <f t="array" ref="E2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87.371398156277436</v>
      </c>
      <c r="F271" s="49" cm="1">
        <f t="array" ref="F2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66.289240074139101</v>
      </c>
      <c r="G271" s="20">
        <f>tbl_Monitoring[[#This Row],[Area (km2)]]/4046.8564224*1000000</f>
        <v>3733.7623139688681</v>
      </c>
      <c r="H271" s="20">
        <f>tbl_Monitoring[[#This Row],[Volume (MCM)]]/1233.4818375475*1000000</f>
        <v>70833.145245166917</v>
      </c>
      <c r="I271" s="40">
        <f>tbl_Monitoring[[#This Row],[Elevation (SRTM30-m)]]*3.280839895</f>
        <v>217.48438344446834</v>
      </c>
    </row>
    <row r="272" spans="2:9" ht="16" x14ac:dyDescent="0.2">
      <c r="B272" s="90">
        <v>268</v>
      </c>
      <c r="C272" s="91">
        <v>43102</v>
      </c>
      <c r="D272" s="92">
        <v>15.9</v>
      </c>
      <c r="E272" s="51" cm="1">
        <f t="array" ref="E2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93.75520851624232</v>
      </c>
      <c r="F272" s="49" cm="1">
        <f t="array" ref="F2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66.674568334796604</v>
      </c>
      <c r="G272" s="20">
        <f>tbl_Monitoring[[#This Row],[Area (km2)]]/4046.8564224*1000000</f>
        <v>3928.975565327929</v>
      </c>
      <c r="H272" s="20">
        <f>tbl_Monitoring[[#This Row],[Volume (MCM)]]/1233.4818375475*1000000</f>
        <v>76008.58453064326</v>
      </c>
      <c r="I272" s="40">
        <f>tbl_Monitoring[[#This Row],[Elevation (SRTM30-m)]]*3.280839895</f>
        <v>218.74858377470443</v>
      </c>
    </row>
    <row r="273" spans="2:9" ht="16" x14ac:dyDescent="0.2">
      <c r="B273" s="90">
        <v>269</v>
      </c>
      <c r="C273" s="91">
        <v>43105</v>
      </c>
      <c r="D273" s="92">
        <v>15.03</v>
      </c>
      <c r="E273" s="51" cm="1">
        <f t="array" ref="E2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86.724936347673392</v>
      </c>
      <c r="F273" s="49" cm="1">
        <f t="array" ref="F2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66.25021949078139</v>
      </c>
      <c r="G273" s="20">
        <f>tbl_Monitoring[[#This Row],[Area (km2)]]/4046.8564224*1000000</f>
        <v>3713.9938834514946</v>
      </c>
      <c r="H273" s="20">
        <f>tbl_Monitoring[[#This Row],[Volume (MCM)]]/1233.4818375475*1000000</f>
        <v>70309.05012765032</v>
      </c>
      <c r="I273" s="40">
        <f>tbl_Monitoring[[#This Row],[Elevation (SRTM30-m)]]*3.280839895</f>
        <v>217.35636315786218</v>
      </c>
    </row>
    <row r="274" spans="2:9" ht="16" x14ac:dyDescent="0.2">
      <c r="B274" s="90">
        <v>270</v>
      </c>
      <c r="C274" s="91">
        <v>43110</v>
      </c>
      <c r="D274" s="92">
        <v>15.93</v>
      </c>
      <c r="E274" s="51" cm="1">
        <f t="array" ref="E2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93.997631694468822</v>
      </c>
      <c r="F274" s="49" cm="1">
        <f t="array" ref="F2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66.689201053555749</v>
      </c>
      <c r="G274" s="20">
        <f>tbl_Monitoring[[#This Row],[Area (km2)]]/4046.8564224*1000000</f>
        <v>3936.3887267719438</v>
      </c>
      <c r="H274" s="20">
        <f>tbl_Monitoring[[#This Row],[Volume (MCM)]]/1233.4818375475*1000000</f>
        <v>76205.120199711964</v>
      </c>
      <c r="I274" s="40">
        <f>tbl_Monitoring[[#This Row],[Elevation (SRTM30-m)]]*3.280839895</f>
        <v>218.79659138218173</v>
      </c>
    </row>
    <row r="275" spans="2:9" ht="16" x14ac:dyDescent="0.2">
      <c r="B275" s="90">
        <v>271</v>
      </c>
      <c r="C275" s="91">
        <v>43115</v>
      </c>
      <c r="D275" s="92">
        <v>14.93</v>
      </c>
      <c r="E275" s="51" cm="1">
        <f t="array" ref="E2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85.91685908691835</v>
      </c>
      <c r="F275" s="49" cm="1">
        <f t="array" ref="F2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66.20144376158423</v>
      </c>
      <c r="G275" s="20">
        <f>tbl_Monitoring[[#This Row],[Area (km2)]]/4046.8564224*1000000</f>
        <v>3689.2833453047783</v>
      </c>
      <c r="H275" s="20">
        <f>tbl_Monitoring[[#This Row],[Volume (MCM)]]/1233.4818375475*1000000</f>
        <v>69653.931230754592</v>
      </c>
      <c r="I275" s="40">
        <f>tbl_Monitoring[[#This Row],[Elevation (SRTM30-m)]]*3.280839895</f>
        <v>217.19633779960441</v>
      </c>
    </row>
    <row r="276" spans="2:9" ht="16" x14ac:dyDescent="0.2">
      <c r="B276" s="90">
        <v>272</v>
      </c>
      <c r="C276" s="91">
        <v>43118</v>
      </c>
      <c r="D276" s="92">
        <v>15.81</v>
      </c>
      <c r="E276" s="51" cm="1">
        <f t="array" ref="E2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93.027938981562784</v>
      </c>
      <c r="F276" s="49" cm="1">
        <f t="array" ref="F2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66.630670178519168</v>
      </c>
      <c r="G276" s="20">
        <f>tbl_Monitoring[[#This Row],[Area (km2)]]/4046.8564224*1000000</f>
        <v>3906.7360809958836</v>
      </c>
      <c r="H276" s="20">
        <f>tbl_Monitoring[[#This Row],[Volume (MCM)]]/1233.4818375475*1000000</f>
        <v>75418.977523437105</v>
      </c>
      <c r="I276" s="40">
        <f>tbl_Monitoring[[#This Row],[Elevation (SRTM30-m)]]*3.280839895</f>
        <v>218.60456095227246</v>
      </c>
    </row>
    <row r="277" spans="2:9" ht="16" x14ac:dyDescent="0.2">
      <c r="B277" s="90">
        <v>273</v>
      </c>
      <c r="C277" s="91">
        <v>43120</v>
      </c>
      <c r="D277" s="92">
        <v>14.95</v>
      </c>
      <c r="E277" s="51" cm="1">
        <f t="array" ref="E2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86.078474539069347</v>
      </c>
      <c r="F277" s="49" cm="1">
        <f t="array" ref="F2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66.211198907423665</v>
      </c>
      <c r="G277" s="20">
        <f>tbl_Monitoring[[#This Row],[Area (km2)]]/4046.8564224*1000000</f>
        <v>3694.2254529341212</v>
      </c>
      <c r="H277" s="20">
        <f>tbl_Monitoring[[#This Row],[Volume (MCM)]]/1233.4818375475*1000000</f>
        <v>69784.955010133708</v>
      </c>
      <c r="I277" s="40">
        <f>tbl_Monitoring[[#This Row],[Elevation (SRTM30-m)]]*3.280839895</f>
        <v>217.22834287125599</v>
      </c>
    </row>
    <row r="278" spans="2:9" ht="16" x14ac:dyDescent="0.2">
      <c r="B278" s="90">
        <v>274</v>
      </c>
      <c r="C278" s="91">
        <v>43125</v>
      </c>
      <c r="D278" s="92">
        <v>14.62</v>
      </c>
      <c r="E278" s="51" cm="1">
        <f t="array" ref="E2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83.411819578577692</v>
      </c>
      <c r="F278" s="49" cm="1">
        <f t="array" ref="F2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66.050239001073066</v>
      </c>
      <c r="G278" s="20">
        <f>tbl_Monitoring[[#This Row],[Area (km2)]]/4046.8564224*1000000</f>
        <v>3612.680677049957</v>
      </c>
      <c r="H278" s="20">
        <f>tbl_Monitoring[[#This Row],[Volume (MCM)]]/1233.4818375475*1000000</f>
        <v>67623.062650377775</v>
      </c>
      <c r="I278" s="40">
        <f>tbl_Monitoring[[#This Row],[Elevation (SRTM30-m)]]*3.280839895</f>
        <v>216.70025918900546</v>
      </c>
    </row>
    <row r="279" spans="2:9" ht="16" x14ac:dyDescent="0.2">
      <c r="B279" s="90">
        <v>275</v>
      </c>
      <c r="C279" s="91">
        <v>43126</v>
      </c>
      <c r="D279" s="92">
        <v>14.95</v>
      </c>
      <c r="E279" s="51" cm="1">
        <f t="array" ref="E2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86.078474539069347</v>
      </c>
      <c r="F279" s="49" cm="1">
        <f t="array" ref="F2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66.211198907423665</v>
      </c>
      <c r="G279" s="20">
        <f>tbl_Monitoring[[#This Row],[Area (km2)]]/4046.8564224*1000000</f>
        <v>3694.2254529341212</v>
      </c>
      <c r="H279" s="20">
        <f>tbl_Monitoring[[#This Row],[Volume (MCM)]]/1233.4818375475*1000000</f>
        <v>69784.955010133708</v>
      </c>
      <c r="I279" s="40">
        <f>tbl_Monitoring[[#This Row],[Elevation (SRTM30-m)]]*3.280839895</f>
        <v>217.22834287125599</v>
      </c>
    </row>
    <row r="280" spans="2:9" ht="16" x14ac:dyDescent="0.2">
      <c r="B280" s="90">
        <v>276</v>
      </c>
      <c r="C280" s="91">
        <v>43134</v>
      </c>
      <c r="D280" s="92">
        <v>14.83</v>
      </c>
      <c r="E280" s="51" cm="1">
        <f t="array" ref="E2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85.108781826163295</v>
      </c>
      <c r="F280" s="49" cm="1">
        <f t="array" ref="F2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66.152668032387083</v>
      </c>
      <c r="G280" s="20">
        <f>tbl_Monitoring[[#This Row],[Area (km2)]]/4046.8564224*1000000</f>
        <v>3664.572807158062</v>
      </c>
      <c r="H280" s="20">
        <f>tbl_Monitoring[[#This Row],[Volume (MCM)]]/1233.4818375475*1000000</f>
        <v>68998.812333858834</v>
      </c>
      <c r="I280" s="40">
        <f>tbl_Monitoring[[#This Row],[Elevation (SRTM30-m)]]*3.280839895</f>
        <v>217.03631244134669</v>
      </c>
    </row>
    <row r="281" spans="2:9" ht="16" x14ac:dyDescent="0.2">
      <c r="B281" s="90">
        <v>277</v>
      </c>
      <c r="C281" s="91">
        <v>43135</v>
      </c>
      <c r="D281" s="92">
        <v>14.46</v>
      </c>
      <c r="E281" s="51" cm="1">
        <f t="array" ref="E2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82.12991075794622</v>
      </c>
      <c r="F281" s="49" cm="1">
        <f t="array" ref="F2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65.969030154849222</v>
      </c>
      <c r="G281" s="20">
        <f>tbl_Monitoring[[#This Row],[Area (km2)]]/4046.8564224*1000000</f>
        <v>3573.1438160152111</v>
      </c>
      <c r="H281" s="20">
        <f>tbl_Monitoring[[#This Row],[Volume (MCM)]]/1233.4818375475*1000000</f>
        <v>66583.802256256167</v>
      </c>
      <c r="I281" s="40">
        <f>tbl_Monitoring[[#This Row],[Elevation (SRTM30-m)]]*3.280839895</f>
        <v>216.43382596648738</v>
      </c>
    </row>
    <row r="282" spans="2:9" ht="16" x14ac:dyDescent="0.2">
      <c r="B282" s="90">
        <v>278</v>
      </c>
      <c r="C282" s="91">
        <v>43140</v>
      </c>
      <c r="D282" s="92">
        <v>14.47</v>
      </c>
      <c r="E282" s="51" cm="1">
        <f t="array" ref="E2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82.20878606356969</v>
      </c>
      <c r="F282" s="49" cm="1">
        <f t="array" ref="F2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65.974463461016029</v>
      </c>
      <c r="G282" s="20">
        <f>tbl_Monitoring[[#This Row],[Area (km2)]]/4046.8564224*1000000</f>
        <v>3575.6148698298825</v>
      </c>
      <c r="H282" s="20">
        <f>tbl_Monitoring[[#This Row],[Volume (MCM)]]/1233.4818375475*1000000</f>
        <v>66647.747507189328</v>
      </c>
      <c r="I282" s="40">
        <f>tbl_Monitoring[[#This Row],[Elevation (SRTM30-m)]]*3.280839895</f>
        <v>216.45165177412119</v>
      </c>
    </row>
    <row r="283" spans="2:9" ht="16" x14ac:dyDescent="0.2">
      <c r="B283" s="90">
        <v>279</v>
      </c>
      <c r="C283" s="91">
        <v>43150</v>
      </c>
      <c r="D283" s="92">
        <v>14.47</v>
      </c>
      <c r="E283" s="51" cm="1">
        <f t="array" ref="E2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82.20878606356969</v>
      </c>
      <c r="F283" s="49" cm="1">
        <f t="array" ref="F2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65.974463461016029</v>
      </c>
      <c r="G283" s="20">
        <f>tbl_Monitoring[[#This Row],[Area (km2)]]/4046.8564224*1000000</f>
        <v>3575.6148698298825</v>
      </c>
      <c r="H283" s="20">
        <f>tbl_Monitoring[[#This Row],[Volume (MCM)]]/1233.4818375475*1000000</f>
        <v>66647.747507189328</v>
      </c>
      <c r="I283" s="40">
        <f>tbl_Monitoring[[#This Row],[Elevation (SRTM30-m)]]*3.280839895</f>
        <v>216.45165177412119</v>
      </c>
    </row>
    <row r="284" spans="2:9" ht="16" x14ac:dyDescent="0.2">
      <c r="B284" s="90">
        <v>280</v>
      </c>
      <c r="C284" s="91">
        <v>43150</v>
      </c>
      <c r="D284" s="92">
        <v>14.49</v>
      </c>
      <c r="E284" s="51" cm="1">
        <f t="array" ref="E2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82.366536674816629</v>
      </c>
      <c r="F284" s="49" cm="1">
        <f t="array" ref="F2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65.98533007334963</v>
      </c>
      <c r="G284" s="20">
        <f>tbl_Monitoring[[#This Row],[Area (km2)]]/4046.8564224*1000000</f>
        <v>3580.5569774592259</v>
      </c>
      <c r="H284" s="20">
        <f>tbl_Monitoring[[#This Row],[Volume (MCM)]]/1233.4818375475*1000000</f>
        <v>66775.638009055649</v>
      </c>
      <c r="I284" s="40">
        <f>tbl_Monitoring[[#This Row],[Elevation (SRTM30-m)]]*3.280839895</f>
        <v>216.48730338938876</v>
      </c>
    </row>
    <row r="285" spans="2:9" ht="16" x14ac:dyDescent="0.2">
      <c r="B285" s="90">
        <v>281</v>
      </c>
      <c r="C285" s="91">
        <v>43158</v>
      </c>
      <c r="D285" s="92">
        <v>15.59</v>
      </c>
      <c r="E285" s="51" cm="1">
        <f t="array" ref="E2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91.250169007901661</v>
      </c>
      <c r="F285" s="49" cm="1">
        <f t="array" ref="F2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66.52336357428544</v>
      </c>
      <c r="G285" s="20">
        <f>tbl_Monitoring[[#This Row],[Area (km2)]]/4046.8564224*1000000</f>
        <v>3852.3728970731072</v>
      </c>
      <c r="H285" s="20">
        <f>tbl_Monitoring[[#This Row],[Volume (MCM)]]/1233.4818375475*1000000</f>
        <v>73977.715950266444</v>
      </c>
      <c r="I285" s="40">
        <f>tbl_Monitoring[[#This Row],[Elevation (SRTM30-m)]]*3.280839895</f>
        <v>218.25250516410549</v>
      </c>
    </row>
    <row r="286" spans="2:9" ht="16" x14ac:dyDescent="0.2">
      <c r="B286" s="90">
        <v>282</v>
      </c>
      <c r="C286" s="91">
        <v>43160</v>
      </c>
      <c r="D286" s="92">
        <v>14.44</v>
      </c>
      <c r="E286" s="51" cm="1">
        <f t="array" ref="E2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81.972160146699267</v>
      </c>
      <c r="F286" s="49" cm="1">
        <f t="array" ref="F2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65.958163542515621</v>
      </c>
      <c r="G286" s="20">
        <f>tbl_Monitoring[[#This Row],[Area (km2)]]/4046.8564224*1000000</f>
        <v>3568.2017083858673</v>
      </c>
      <c r="H286" s="20">
        <f>tbl_Monitoring[[#This Row],[Volume (MCM)]]/1233.4818375475*1000000</f>
        <v>66455.911754389832</v>
      </c>
      <c r="I286" s="40">
        <f>tbl_Monitoring[[#This Row],[Elevation (SRTM30-m)]]*3.280839895</f>
        <v>216.39817435121978</v>
      </c>
    </row>
    <row r="287" spans="2:9" ht="16" x14ac:dyDescent="0.2">
      <c r="B287" s="90">
        <v>283</v>
      </c>
      <c r="C287" s="91">
        <v>43165</v>
      </c>
      <c r="D287" s="92">
        <v>15.03</v>
      </c>
      <c r="E287" s="51" cm="1">
        <f t="array" ref="E2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86.724936347673392</v>
      </c>
      <c r="F287" s="49" cm="1">
        <f t="array" ref="F2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66.25021949078139</v>
      </c>
      <c r="G287" s="20">
        <f>tbl_Monitoring[[#This Row],[Area (km2)]]/4046.8564224*1000000</f>
        <v>3713.9938834514946</v>
      </c>
      <c r="H287" s="20">
        <f>tbl_Monitoring[[#This Row],[Volume (MCM)]]/1233.4818375475*1000000</f>
        <v>70309.05012765032</v>
      </c>
      <c r="I287" s="40">
        <f>tbl_Monitoring[[#This Row],[Elevation (SRTM30-m)]]*3.280839895</f>
        <v>217.35636315786218</v>
      </c>
    </row>
    <row r="288" spans="2:9" ht="16" x14ac:dyDescent="0.2">
      <c r="B288" s="90">
        <v>284</v>
      </c>
      <c r="C288" s="91">
        <v>43166</v>
      </c>
      <c r="D288" s="92">
        <v>15.81</v>
      </c>
      <c r="E288" s="51" cm="1">
        <f t="array" ref="E2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93.027938981562784</v>
      </c>
      <c r="F288" s="49" cm="1">
        <f t="array" ref="F2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66.630670178519168</v>
      </c>
      <c r="G288" s="20">
        <f>tbl_Monitoring[[#This Row],[Area (km2)]]/4046.8564224*1000000</f>
        <v>3906.7360809958836</v>
      </c>
      <c r="H288" s="20">
        <f>tbl_Monitoring[[#This Row],[Volume (MCM)]]/1233.4818375475*1000000</f>
        <v>75418.977523437105</v>
      </c>
      <c r="I288" s="40">
        <f>tbl_Monitoring[[#This Row],[Elevation (SRTM30-m)]]*3.280839895</f>
        <v>218.60456095227246</v>
      </c>
    </row>
    <row r="289" spans="2:9" ht="16" x14ac:dyDescent="0.2">
      <c r="B289" s="90">
        <v>285</v>
      </c>
      <c r="C289" s="91">
        <v>43170</v>
      </c>
      <c r="D289" s="92">
        <v>14.68</v>
      </c>
      <c r="E289" s="51" cm="1">
        <f t="array" ref="E2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83.896665935030725</v>
      </c>
      <c r="F289" s="49" cm="1">
        <f t="array" ref="F2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66.079504438591357</v>
      </c>
      <c r="G289" s="20">
        <f>tbl_Monitoring[[#This Row],[Area (km2)]]/4046.8564224*1000000</f>
        <v>3627.5069999379871</v>
      </c>
      <c r="H289" s="20">
        <f>tbl_Monitoring[[#This Row],[Volume (MCM)]]/1233.4818375475*1000000</f>
        <v>68016.133988515227</v>
      </c>
      <c r="I289" s="40">
        <f>tbl_Monitoring[[#This Row],[Elevation (SRTM30-m)]]*3.280839895</f>
        <v>216.79627440396013</v>
      </c>
    </row>
    <row r="290" spans="2:9" ht="16" x14ac:dyDescent="0.2">
      <c r="B290" s="90">
        <v>286</v>
      </c>
      <c r="C290" s="91">
        <v>43174</v>
      </c>
      <c r="D290" s="92">
        <v>14.93</v>
      </c>
      <c r="E290" s="51" cm="1">
        <f t="array" ref="E2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85.91685908691835</v>
      </c>
      <c r="F290" s="49" cm="1">
        <f t="array" ref="F2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66.20144376158423</v>
      </c>
      <c r="G290" s="20">
        <f>tbl_Monitoring[[#This Row],[Area (km2)]]/4046.8564224*1000000</f>
        <v>3689.2833453047783</v>
      </c>
      <c r="H290" s="20">
        <f>tbl_Monitoring[[#This Row],[Volume (MCM)]]/1233.4818375475*1000000</f>
        <v>69653.931230754592</v>
      </c>
      <c r="I290" s="40">
        <f>tbl_Monitoring[[#This Row],[Elevation (SRTM30-m)]]*3.280839895</f>
        <v>217.19633779960441</v>
      </c>
    </row>
    <row r="291" spans="2:9" ht="16" x14ac:dyDescent="0.2">
      <c r="B291" s="90">
        <v>287</v>
      </c>
      <c r="C291" s="91">
        <v>43175</v>
      </c>
      <c r="D291" s="92">
        <v>14.63</v>
      </c>
      <c r="E291" s="51" cm="1">
        <f t="array" ref="E2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83.492627304653212</v>
      </c>
      <c r="F291" s="49" cm="1">
        <f t="array" ref="F2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66.055116573992777</v>
      </c>
      <c r="G291" s="20">
        <f>tbl_Monitoring[[#This Row],[Area (km2)]]/4046.8564224*1000000</f>
        <v>3615.1517308646289</v>
      </c>
      <c r="H291" s="20">
        <f>tbl_Monitoring[[#This Row],[Volume (MCM)]]/1233.4818375475*1000000</f>
        <v>67688.574540067362</v>
      </c>
      <c r="I291" s="40">
        <f>tbl_Monitoring[[#This Row],[Elevation (SRTM30-m)]]*3.280839895</f>
        <v>216.71626172483124</v>
      </c>
    </row>
    <row r="292" spans="2:9" ht="16" x14ac:dyDescent="0.2">
      <c r="B292" s="90">
        <v>288</v>
      </c>
      <c r="C292" s="91">
        <v>43180</v>
      </c>
      <c r="D292" s="92">
        <v>14.56</v>
      </c>
      <c r="E292" s="51" cm="1">
        <f t="array" ref="E2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82.926973222124673</v>
      </c>
      <c r="F292" s="49" cm="1">
        <f t="array" ref="F2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66.020973563554776</v>
      </c>
      <c r="G292" s="20">
        <f>tbl_Monitoring[[#This Row],[Area (km2)]]/4046.8564224*1000000</f>
        <v>3597.8543541619274</v>
      </c>
      <c r="H292" s="20">
        <f>tbl_Monitoring[[#This Row],[Volume (MCM)]]/1233.4818375475*1000000</f>
        <v>67229.991312240352</v>
      </c>
      <c r="I292" s="40">
        <f>tbl_Monitoring[[#This Row],[Elevation (SRTM30-m)]]*3.280839895</f>
        <v>216.60424397405083</v>
      </c>
    </row>
    <row r="293" spans="2:9" ht="16" x14ac:dyDescent="0.2">
      <c r="B293" s="90">
        <v>289</v>
      </c>
      <c r="C293" s="91">
        <v>43182</v>
      </c>
      <c r="D293" s="92">
        <v>14.53</v>
      </c>
      <c r="E293" s="51" cm="1">
        <f t="array" ref="E2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82.684550043898156</v>
      </c>
      <c r="F293" s="49" cm="1">
        <f t="array" ref="F2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66.006340844795631</v>
      </c>
      <c r="G293" s="20">
        <f>tbl_Monitoring[[#This Row],[Area (km2)]]/4046.8564224*1000000</f>
        <v>3590.4411927179121</v>
      </c>
      <c r="H293" s="20">
        <f>tbl_Monitoring[[#This Row],[Volume (MCM)]]/1233.4818375475*1000000</f>
        <v>67033.455643171619</v>
      </c>
      <c r="I293" s="40">
        <f>tbl_Monitoring[[#This Row],[Elevation (SRTM30-m)]]*3.280839895</f>
        <v>216.55623636657353</v>
      </c>
    </row>
    <row r="294" spans="2:9" ht="16" x14ac:dyDescent="0.2">
      <c r="B294" s="90">
        <v>290</v>
      </c>
      <c r="C294" s="91">
        <v>43185</v>
      </c>
      <c r="D294" s="92">
        <v>14.24</v>
      </c>
      <c r="E294" s="51" cm="1">
        <f t="array" ref="E2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80.394654034229831</v>
      </c>
      <c r="F294" s="49" cm="1">
        <f t="array" ref="F2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65.849497419179571</v>
      </c>
      <c r="G294" s="20">
        <f>tbl_Monitoring[[#This Row],[Area (km2)]]/4046.8564224*1000000</f>
        <v>3518.7806320924342</v>
      </c>
      <c r="H294" s="20">
        <f>tbl_Monitoring[[#This Row],[Volume (MCM)]]/1233.4818375475*1000000</f>
        <v>65177.006735726602</v>
      </c>
      <c r="I294" s="40">
        <f>tbl_Monitoring[[#This Row],[Elevation (SRTM30-m)]]*3.280839895</f>
        <v>216.04165819854387</v>
      </c>
    </row>
    <row r="295" spans="2:9" ht="16" x14ac:dyDescent="0.2">
      <c r="B295" s="90">
        <v>291</v>
      </c>
      <c r="C295" s="91">
        <v>43190</v>
      </c>
      <c r="D295" s="92">
        <v>14.47</v>
      </c>
      <c r="E295" s="51" cm="1">
        <f t="array" ref="E2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82.20878606356969</v>
      </c>
      <c r="F295" s="49" cm="1">
        <f t="array" ref="F2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65.974463461016029</v>
      </c>
      <c r="G295" s="20">
        <f>tbl_Monitoring[[#This Row],[Area (km2)]]/4046.8564224*1000000</f>
        <v>3575.6148698298825</v>
      </c>
      <c r="H295" s="20">
        <f>tbl_Monitoring[[#This Row],[Volume (MCM)]]/1233.4818375475*1000000</f>
        <v>66647.747507189328</v>
      </c>
      <c r="I295" s="40">
        <f>tbl_Monitoring[[#This Row],[Elevation (SRTM30-m)]]*3.280839895</f>
        <v>216.45165177412119</v>
      </c>
    </row>
    <row r="296" spans="2:9" ht="16" x14ac:dyDescent="0.2">
      <c r="B296" s="90">
        <v>292</v>
      </c>
      <c r="C296" s="91">
        <v>43190</v>
      </c>
      <c r="D296" s="92">
        <v>14.44</v>
      </c>
      <c r="E296" s="51" cm="1">
        <f t="array" ref="E2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81.972160146699267</v>
      </c>
      <c r="F296" s="49" cm="1">
        <f t="array" ref="F2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65.958163542515621</v>
      </c>
      <c r="G296" s="20">
        <f>tbl_Monitoring[[#This Row],[Area (km2)]]/4046.8564224*1000000</f>
        <v>3568.2017083858673</v>
      </c>
      <c r="H296" s="20">
        <f>tbl_Monitoring[[#This Row],[Volume (MCM)]]/1233.4818375475*1000000</f>
        <v>66455.911754389832</v>
      </c>
      <c r="I296" s="40">
        <f>tbl_Monitoring[[#This Row],[Elevation (SRTM30-m)]]*3.280839895</f>
        <v>216.39817435121978</v>
      </c>
    </row>
    <row r="297" spans="2:9" ht="16" x14ac:dyDescent="0.2">
      <c r="B297" s="90">
        <v>293</v>
      </c>
      <c r="C297" s="91">
        <v>43195</v>
      </c>
      <c r="D297" s="92">
        <v>14.32</v>
      </c>
      <c r="E297" s="51" cm="1">
        <f t="array" ref="E2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81.025656479217602</v>
      </c>
      <c r="F297" s="49" cm="1">
        <f t="array" ref="F2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65.892963868513988</v>
      </c>
      <c r="G297" s="20">
        <f>tbl_Monitoring[[#This Row],[Area (km2)]]/4046.8564224*1000000</f>
        <v>3538.5490626098076</v>
      </c>
      <c r="H297" s="20">
        <f>tbl_Monitoring[[#This Row],[Volume (MCM)]]/1233.4818375475*1000000</f>
        <v>65688.568743191892</v>
      </c>
      <c r="I297" s="40">
        <f>tbl_Monitoring[[#This Row],[Elevation (SRTM30-m)]]*3.280839895</f>
        <v>216.18426465961423</v>
      </c>
    </row>
    <row r="298" spans="2:9" ht="16" x14ac:dyDescent="0.2">
      <c r="B298" s="90">
        <v>294</v>
      </c>
      <c r="C298" s="91">
        <v>43198</v>
      </c>
      <c r="D298" s="92">
        <v>14.35</v>
      </c>
      <c r="E298" s="51" cm="1">
        <f t="array" ref="E2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81.262282396088011</v>
      </c>
      <c r="F298" s="49" cm="1">
        <f t="array" ref="F2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65.909263787014396</v>
      </c>
      <c r="G298" s="20">
        <f>tbl_Monitoring[[#This Row],[Area (km2)]]/4046.8564224*1000000</f>
        <v>3545.9622240538224</v>
      </c>
      <c r="H298" s="20">
        <f>tbl_Monitoring[[#This Row],[Volume (MCM)]]/1233.4818375475*1000000</f>
        <v>65880.404495991374</v>
      </c>
      <c r="I298" s="40">
        <f>tbl_Monitoring[[#This Row],[Elevation (SRTM30-m)]]*3.280839895</f>
        <v>216.23774208251564</v>
      </c>
    </row>
    <row r="299" spans="2:9" ht="16" x14ac:dyDescent="0.2">
      <c r="B299" s="90">
        <v>295</v>
      </c>
      <c r="C299" s="91">
        <v>43205</v>
      </c>
      <c r="D299" s="92">
        <v>14.01</v>
      </c>
      <c r="E299" s="51" cm="1">
        <f t="array" ref="E2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78.580522004889971</v>
      </c>
      <c r="F299" s="49" cm="1">
        <f t="array" ref="F2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65.724531377343112</v>
      </c>
      <c r="G299" s="20">
        <f>tbl_Monitoring[[#This Row],[Area (km2)]]/4046.8564224*1000000</f>
        <v>3461.9463943549863</v>
      </c>
      <c r="H299" s="20">
        <f>tbl_Monitoring[[#This Row],[Volume (MCM)]]/1233.4818375475*1000000</f>
        <v>63706.26596426389</v>
      </c>
      <c r="I299" s="40">
        <f>tbl_Monitoring[[#This Row],[Elevation (SRTM30-m)]]*3.280839895</f>
        <v>215.63166462296658</v>
      </c>
    </row>
    <row r="300" spans="2:9" ht="16" x14ac:dyDescent="0.2">
      <c r="B300" s="90">
        <v>296</v>
      </c>
      <c r="C300" s="91">
        <v>43206</v>
      </c>
      <c r="D300" s="92">
        <v>14</v>
      </c>
      <c r="E300" s="51" cm="1">
        <f t="array" ref="E3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78.501646699266502</v>
      </c>
      <c r="F300" s="49" cm="1">
        <f t="array" ref="F3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65.719098071176305</v>
      </c>
      <c r="G300" s="20">
        <f>tbl_Monitoring[[#This Row],[Area (km2)]]/4046.8564224*1000000</f>
        <v>3459.4753405403148</v>
      </c>
      <c r="H300" s="20">
        <f>tbl_Monitoring[[#This Row],[Volume (MCM)]]/1233.4818375475*1000000</f>
        <v>63642.32071333073</v>
      </c>
      <c r="I300" s="40">
        <f>tbl_Monitoring[[#This Row],[Elevation (SRTM30-m)]]*3.280839895</f>
        <v>215.61383881533277</v>
      </c>
    </row>
    <row r="301" spans="2:9" ht="16" x14ac:dyDescent="0.2">
      <c r="B301" s="90">
        <v>297</v>
      </c>
      <c r="C301" s="91">
        <v>43210</v>
      </c>
      <c r="D301" s="92">
        <v>15.87</v>
      </c>
      <c r="E301" s="51" cm="1">
        <f t="array" ref="E3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93.512785338015789</v>
      </c>
      <c r="F301" s="49" cm="1">
        <f t="array" ref="F3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66.659935616037458</v>
      </c>
      <c r="G301" s="20">
        <f>tbl_Monitoring[[#This Row],[Area (km2)]]/4046.8564224*1000000</f>
        <v>3921.5624038839132</v>
      </c>
      <c r="H301" s="20">
        <f>tbl_Monitoring[[#This Row],[Volume (MCM)]]/1233.4818375475*1000000</f>
        <v>75812.048861574513</v>
      </c>
      <c r="I301" s="40">
        <f>tbl_Monitoring[[#This Row],[Elevation (SRTM30-m)]]*3.280839895</f>
        <v>218.7005761672271</v>
      </c>
    </row>
    <row r="302" spans="2:9" ht="16" x14ac:dyDescent="0.2">
      <c r="B302" s="90">
        <v>298</v>
      </c>
      <c r="C302" s="91">
        <v>43214</v>
      </c>
      <c r="D302" s="92">
        <v>15.07</v>
      </c>
      <c r="E302" s="51" cm="1">
        <f t="array" ref="E3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87.048167251975414</v>
      </c>
      <c r="F302" s="49" cm="1">
        <f t="array" ref="F3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66.269729782460246</v>
      </c>
      <c r="G302" s="20">
        <f>tbl_Monitoring[[#This Row],[Area (km2)]]/4046.8564224*1000000</f>
        <v>3723.8780987101813</v>
      </c>
      <c r="H302" s="20">
        <f>tbl_Monitoring[[#This Row],[Volume (MCM)]]/1233.4818375475*1000000</f>
        <v>70571.097686408611</v>
      </c>
      <c r="I302" s="40">
        <f>tbl_Monitoring[[#This Row],[Elevation (SRTM30-m)]]*3.280839895</f>
        <v>217.42037330116526</v>
      </c>
    </row>
    <row r="303" spans="2:9" ht="16" x14ac:dyDescent="0.2">
      <c r="B303" s="90">
        <v>299</v>
      </c>
      <c r="C303" s="91">
        <v>43215</v>
      </c>
      <c r="D303" s="92">
        <v>14.68</v>
      </c>
      <c r="E303" s="51" cm="1">
        <f t="array" ref="E3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83.896665935030725</v>
      </c>
      <c r="F303" s="49" cm="1">
        <f t="array" ref="F3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66.079504438591357</v>
      </c>
      <c r="G303" s="20">
        <f>tbl_Monitoring[[#This Row],[Area (km2)]]/4046.8564224*1000000</f>
        <v>3627.5069999379871</v>
      </c>
      <c r="H303" s="20">
        <f>tbl_Monitoring[[#This Row],[Volume (MCM)]]/1233.4818375475*1000000</f>
        <v>68016.133988515227</v>
      </c>
      <c r="I303" s="40">
        <f>tbl_Monitoring[[#This Row],[Elevation (SRTM30-m)]]*3.280839895</f>
        <v>216.79627440396013</v>
      </c>
    </row>
    <row r="304" spans="2:9" ht="16" x14ac:dyDescent="0.2">
      <c r="B304" s="90">
        <v>300</v>
      </c>
      <c r="C304" s="91">
        <v>43220</v>
      </c>
      <c r="D304" s="92">
        <v>14.75</v>
      </c>
      <c r="E304" s="51" cm="1">
        <f t="array" ref="E3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84.462320017559264</v>
      </c>
      <c r="F304" s="49" cm="1">
        <f t="array" ref="F3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66.113647449029358</v>
      </c>
      <c r="G304" s="20">
        <f>tbl_Monitoring[[#This Row],[Area (km2)]]/4046.8564224*1000000</f>
        <v>3644.8043766406886</v>
      </c>
      <c r="H304" s="20">
        <f>tbl_Monitoring[[#This Row],[Volume (MCM)]]/1233.4818375475*1000000</f>
        <v>68474.717216342236</v>
      </c>
      <c r="I304" s="40">
        <f>tbl_Monitoring[[#This Row],[Elevation (SRTM30-m)]]*3.280839895</f>
        <v>216.90829215474051</v>
      </c>
    </row>
    <row r="305" spans="2:9" ht="16" x14ac:dyDescent="0.2">
      <c r="B305" s="90">
        <v>301</v>
      </c>
      <c r="C305" s="91">
        <v>43222</v>
      </c>
      <c r="D305" s="92">
        <v>14.6</v>
      </c>
      <c r="E305" s="51" cm="1">
        <f t="array" ref="E3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83.250204126426681</v>
      </c>
      <c r="F305" s="49" cm="1">
        <f t="array" ref="F3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66.040483855233632</v>
      </c>
      <c r="G305" s="20">
        <f>tbl_Monitoring[[#This Row],[Area (km2)]]/4046.8564224*1000000</f>
        <v>3607.7385694206137</v>
      </c>
      <c r="H305" s="20">
        <f>tbl_Monitoring[[#This Row],[Volume (MCM)]]/1233.4818375475*1000000</f>
        <v>67492.038870998629</v>
      </c>
      <c r="I305" s="40">
        <f>tbl_Monitoring[[#This Row],[Elevation (SRTM30-m)]]*3.280839895</f>
        <v>216.66825411735391</v>
      </c>
    </row>
    <row r="306" spans="2:9" ht="16" x14ac:dyDescent="0.2">
      <c r="B306" s="90">
        <v>302</v>
      </c>
      <c r="C306" s="91">
        <v>43230</v>
      </c>
      <c r="D306" s="92">
        <v>14.41</v>
      </c>
      <c r="E306" s="51" cm="1">
        <f t="array" ref="E3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81.735534229828858</v>
      </c>
      <c r="F306" s="49" cm="1">
        <f t="array" ref="F3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65.941863624015213</v>
      </c>
      <c r="G306" s="20">
        <f>tbl_Monitoring[[#This Row],[Area (km2)]]/4046.8564224*1000000</f>
        <v>3560.7885469418525</v>
      </c>
      <c r="H306" s="20">
        <f>tbl_Monitoring[[#This Row],[Volume (MCM)]]/1233.4818375475*1000000</f>
        <v>66264.076001590351</v>
      </c>
      <c r="I306" s="40">
        <f>tbl_Monitoring[[#This Row],[Elevation (SRTM30-m)]]*3.280839895</f>
        <v>216.3446969283184</v>
      </c>
    </row>
    <row r="307" spans="2:9" ht="16" x14ac:dyDescent="0.2">
      <c r="B307" s="90">
        <v>303</v>
      </c>
      <c r="C307" s="91">
        <v>43235</v>
      </c>
      <c r="D307" s="92">
        <v>14.38</v>
      </c>
      <c r="E307" s="51" cm="1">
        <f t="array" ref="E3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81.498908312958434</v>
      </c>
      <c r="F307" s="49" cm="1">
        <f t="array" ref="F3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65.925563705514804</v>
      </c>
      <c r="G307" s="20">
        <f>tbl_Monitoring[[#This Row],[Area (km2)]]/4046.8564224*1000000</f>
        <v>3553.3753854978377</v>
      </c>
      <c r="H307" s="20">
        <f>tbl_Monitoring[[#This Row],[Volume (MCM)]]/1233.4818375475*1000000</f>
        <v>66072.240248790855</v>
      </c>
      <c r="I307" s="40">
        <f>tbl_Monitoring[[#This Row],[Elevation (SRTM30-m)]]*3.280839895</f>
        <v>216.29121950541702</v>
      </c>
    </row>
    <row r="308" spans="2:9" ht="16" x14ac:dyDescent="0.2">
      <c r="B308" s="90">
        <v>304</v>
      </c>
      <c r="C308" s="91">
        <v>43270</v>
      </c>
      <c r="D308" s="92">
        <v>13.28</v>
      </c>
      <c r="E308" s="51" cm="1">
        <f t="array" ref="E3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72.822624694376515</v>
      </c>
      <c r="F308" s="49" cm="1">
        <f t="array" ref="F3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65.327900027166535</v>
      </c>
      <c r="G308" s="20">
        <f>tbl_Monitoring[[#This Row],[Area (km2)]]/4046.8564224*1000000</f>
        <v>3281.5594658839555</v>
      </c>
      <c r="H308" s="20">
        <f>tbl_Monitoring[[#This Row],[Volume (MCM)]]/1233.4818375475*1000000</f>
        <v>59038.262646143099</v>
      </c>
      <c r="I308" s="40">
        <f>tbl_Monitoring[[#This Row],[Elevation (SRTM30-m)]]*3.280839895</f>
        <v>214.33038066569955</v>
      </c>
    </row>
    <row r="309" spans="2:9" ht="16" x14ac:dyDescent="0.2">
      <c r="B309" s="90">
        <v>305</v>
      </c>
      <c r="C309" s="91">
        <v>43278</v>
      </c>
      <c r="D309" s="92">
        <v>13.3</v>
      </c>
      <c r="E309" s="51" cm="1">
        <f t="array" ref="E3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72.980375305623468</v>
      </c>
      <c r="F309" s="49" cm="1">
        <f t="array" ref="F3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65.338766639500136</v>
      </c>
      <c r="G309" s="20">
        <f>tbl_Monitoring[[#This Row],[Area (km2)]]/4046.8564224*1000000</f>
        <v>3286.5015735132993</v>
      </c>
      <c r="H309" s="20">
        <f>tbl_Monitoring[[#This Row],[Volume (MCM)]]/1233.4818375475*1000000</f>
        <v>59166.153148009427</v>
      </c>
      <c r="I309" s="40">
        <f>tbl_Monitoring[[#This Row],[Elevation (SRTM30-m)]]*3.280839895</f>
        <v>214.36603228096715</v>
      </c>
    </row>
    <row r="310" spans="2:9" ht="16" x14ac:dyDescent="0.2">
      <c r="B310" s="90">
        <v>306</v>
      </c>
      <c r="C310" s="91">
        <v>43294</v>
      </c>
      <c r="D310" s="92">
        <v>12.97</v>
      </c>
      <c r="E310" s="51" cm="1">
        <f t="array" ref="E3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70.377490220048898</v>
      </c>
      <c r="F310" s="49" cm="1">
        <f t="array" ref="F3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65.15946753599566</v>
      </c>
      <c r="G310" s="20">
        <f>tbl_Monitoring[[#This Row],[Area (km2)]]/4046.8564224*1000000</f>
        <v>3204.9567976291341</v>
      </c>
      <c r="H310" s="20">
        <f>tbl_Monitoring[[#This Row],[Volume (MCM)]]/1233.4818375475*1000000</f>
        <v>57055.959867215104</v>
      </c>
      <c r="I310" s="40">
        <f>tbl_Monitoring[[#This Row],[Elevation (SRTM30-m)]]*3.280839895</f>
        <v>213.77778062905193</v>
      </c>
    </row>
    <row r="311" spans="2:9" ht="16" x14ac:dyDescent="0.2">
      <c r="B311" s="90">
        <v>307</v>
      </c>
      <c r="C311" s="91">
        <v>43302</v>
      </c>
      <c r="D311" s="92">
        <v>13.18</v>
      </c>
      <c r="E311" s="51" cm="1">
        <f t="array" ref="E3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72.033871638141804</v>
      </c>
      <c r="F311" s="49" cm="1">
        <f t="array" ref="F3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65.273566965498503</v>
      </c>
      <c r="G311" s="20">
        <f>tbl_Monitoring[[#This Row],[Area (km2)]]/4046.8564224*1000000</f>
        <v>3256.8489277372391</v>
      </c>
      <c r="H311" s="20">
        <f>tbl_Monitoring[[#This Row],[Volume (MCM)]]/1233.4818375475*1000000</f>
        <v>58398.810136811488</v>
      </c>
      <c r="I311" s="40">
        <f>tbl_Monitoring[[#This Row],[Elevation (SRTM30-m)]]*3.280839895</f>
        <v>214.1521225893616</v>
      </c>
    </row>
    <row r="312" spans="2:9" ht="16" x14ac:dyDescent="0.2">
      <c r="B312" s="90">
        <v>308</v>
      </c>
      <c r="C312" s="91">
        <v>43310</v>
      </c>
      <c r="D312" s="92">
        <v>14.36</v>
      </c>
      <c r="E312" s="51" cm="1">
        <f t="array" ref="E3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81.341157701711481</v>
      </c>
      <c r="F312" s="49" cm="1">
        <f t="array" ref="F3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65.914697093181204</v>
      </c>
      <c r="G312" s="20">
        <f>tbl_Monitoring[[#This Row],[Area (km2)]]/4046.8564224*1000000</f>
        <v>3548.4332778684939</v>
      </c>
      <c r="H312" s="20">
        <f>tbl_Monitoring[[#This Row],[Volume (MCM)]]/1233.4818375475*1000000</f>
        <v>65944.349746924534</v>
      </c>
      <c r="I312" s="40">
        <f>tbl_Monitoring[[#This Row],[Elevation (SRTM30-m)]]*3.280839895</f>
        <v>216.25556789014945</v>
      </c>
    </row>
    <row r="313" spans="2:9" ht="16" x14ac:dyDescent="0.2">
      <c r="B313" s="90">
        <v>309</v>
      </c>
      <c r="C313" s="91">
        <v>43310</v>
      </c>
      <c r="D313" s="92">
        <v>14.18</v>
      </c>
      <c r="E313" s="51" cm="1">
        <f t="array" ref="E3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79.921402200488998</v>
      </c>
      <c r="F313" s="49" cm="1">
        <f t="array" ref="F3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65.816897582178754</v>
      </c>
      <c r="G313" s="20">
        <f>tbl_Monitoring[[#This Row],[Area (km2)]]/4046.8564224*1000000</f>
        <v>3503.9543092044046</v>
      </c>
      <c r="H313" s="20">
        <f>tbl_Monitoring[[#This Row],[Volume (MCM)]]/1233.4818375475*1000000</f>
        <v>64793.335230127632</v>
      </c>
      <c r="I313" s="40">
        <f>tbl_Monitoring[[#This Row],[Elevation (SRTM30-m)]]*3.280839895</f>
        <v>215.93470335274111</v>
      </c>
    </row>
    <row r="314" spans="2:9" ht="16" x14ac:dyDescent="0.2">
      <c r="B314" s="90">
        <v>310</v>
      </c>
      <c r="C314" s="91">
        <v>43330</v>
      </c>
      <c r="D314" s="92">
        <v>14.68</v>
      </c>
      <c r="E314" s="51" cm="1">
        <f t="array" ref="E3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83.896665935030725</v>
      </c>
      <c r="F314" s="49" cm="1">
        <f t="array" ref="F3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66.079504438591357</v>
      </c>
      <c r="G314" s="20">
        <f>tbl_Monitoring[[#This Row],[Area (km2)]]/4046.8564224*1000000</f>
        <v>3627.5069999379871</v>
      </c>
      <c r="H314" s="20">
        <f>tbl_Monitoring[[#This Row],[Volume (MCM)]]/1233.4818375475*1000000</f>
        <v>68016.133988515227</v>
      </c>
      <c r="I314" s="40">
        <f>tbl_Monitoring[[#This Row],[Elevation (SRTM30-m)]]*3.280839895</f>
        <v>216.79627440396013</v>
      </c>
    </row>
    <row r="315" spans="2:9" ht="16" x14ac:dyDescent="0.2">
      <c r="B315" s="90">
        <v>311</v>
      </c>
      <c r="C315" s="91">
        <v>43334</v>
      </c>
      <c r="D315" s="92">
        <v>14.65</v>
      </c>
      <c r="E315" s="51" cm="1">
        <f t="array" ref="E3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83.654242756804223</v>
      </c>
      <c r="F315" s="49" cm="1">
        <f t="array" ref="F3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66.064871719832212</v>
      </c>
      <c r="G315" s="20">
        <f>tbl_Monitoring[[#This Row],[Area (km2)]]/4046.8564224*1000000</f>
        <v>3620.0938384939723</v>
      </c>
      <c r="H315" s="20">
        <f>tbl_Monitoring[[#This Row],[Volume (MCM)]]/1233.4818375475*1000000</f>
        <v>67819.598319446508</v>
      </c>
      <c r="I315" s="40">
        <f>tbl_Monitoring[[#This Row],[Elevation (SRTM30-m)]]*3.280839895</f>
        <v>216.7482667964828</v>
      </c>
    </row>
    <row r="316" spans="2:9" ht="16" x14ac:dyDescent="0.2">
      <c r="B316" s="90">
        <v>312</v>
      </c>
      <c r="C316" s="91">
        <v>43345</v>
      </c>
      <c r="D316" s="92">
        <v>14.04</v>
      </c>
      <c r="E316" s="51" cm="1">
        <f t="array" ref="E3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78.81714792176038</v>
      </c>
      <c r="F316" s="49" cm="1">
        <f t="array" ref="F3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65.74083129584352</v>
      </c>
      <c r="G316" s="20">
        <f>tbl_Monitoring[[#This Row],[Area (km2)]]/4046.8564224*1000000</f>
        <v>3469.3595557990011</v>
      </c>
      <c r="H316" s="20">
        <f>tbl_Monitoring[[#This Row],[Volume (MCM)]]/1233.4818375475*1000000</f>
        <v>63898.101717063364</v>
      </c>
      <c r="I316" s="40">
        <f>tbl_Monitoring[[#This Row],[Elevation (SRTM30-m)]]*3.280839895</f>
        <v>215.68514204586799</v>
      </c>
    </row>
    <row r="317" spans="2:9" ht="16" x14ac:dyDescent="0.2">
      <c r="B317" s="90">
        <v>313</v>
      </c>
      <c r="C317" s="91">
        <v>43350</v>
      </c>
      <c r="D317" s="92">
        <v>13.94</v>
      </c>
      <c r="E317" s="51" cm="1">
        <f t="array" ref="E3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78.028394865525669</v>
      </c>
      <c r="F317" s="49" cm="1">
        <f t="array" ref="F3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65.686498234175502</v>
      </c>
      <c r="G317" s="20">
        <f>tbl_Monitoring[[#This Row],[Area (km2)]]/4046.8564224*1000000</f>
        <v>3444.6490176522848</v>
      </c>
      <c r="H317" s="20">
        <f>tbl_Monitoring[[#This Row],[Volume (MCM)]]/1233.4818375475*1000000</f>
        <v>63258.64920773176</v>
      </c>
      <c r="I317" s="40">
        <f>tbl_Monitoring[[#This Row],[Elevation (SRTM30-m)]]*3.280839895</f>
        <v>215.50688396953007</v>
      </c>
    </row>
    <row r="318" spans="2:9" ht="16" x14ac:dyDescent="0.2">
      <c r="B318" s="90">
        <v>314</v>
      </c>
      <c r="C318" s="91">
        <v>43350</v>
      </c>
      <c r="D318" s="92">
        <v>13.96</v>
      </c>
      <c r="E318" s="51" cm="1">
        <f t="array" ref="E3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78.186145476772623</v>
      </c>
      <c r="F318" s="49" cm="1">
        <f t="array" ref="F3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65.697364846509103</v>
      </c>
      <c r="G318" s="20">
        <f>tbl_Monitoring[[#This Row],[Area (km2)]]/4046.8564224*1000000</f>
        <v>3449.5911252816281</v>
      </c>
      <c r="H318" s="20">
        <f>tbl_Monitoring[[#This Row],[Volume (MCM)]]/1233.4818375475*1000000</f>
        <v>63386.539709598095</v>
      </c>
      <c r="I318" s="40">
        <f>tbl_Monitoring[[#This Row],[Elevation (SRTM30-m)]]*3.280839895</f>
        <v>215.54253558479763</v>
      </c>
    </row>
    <row r="319" spans="2:9" ht="16" x14ac:dyDescent="0.2">
      <c r="B319" s="90">
        <v>315</v>
      </c>
      <c r="C319" s="91">
        <v>43358</v>
      </c>
      <c r="D319" s="92">
        <v>13.95</v>
      </c>
      <c r="E319" s="51" cm="1">
        <f t="array" ref="E3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78.107270171149139</v>
      </c>
      <c r="F319" s="49" cm="1">
        <f t="array" ref="F3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65.691931540342296</v>
      </c>
      <c r="G319" s="20">
        <f>tbl_Monitoring[[#This Row],[Area (km2)]]/4046.8564224*1000000</f>
        <v>3447.1200714669562</v>
      </c>
      <c r="H319" s="20">
        <f>tbl_Monitoring[[#This Row],[Volume (MCM)]]/1233.4818375475*1000000</f>
        <v>63322.59445866492</v>
      </c>
      <c r="I319" s="40">
        <f>tbl_Monitoring[[#This Row],[Elevation (SRTM30-m)]]*3.280839895</f>
        <v>215.52470977716382</v>
      </c>
    </row>
    <row r="320" spans="2:9" ht="16" x14ac:dyDescent="0.2">
      <c r="B320" s="90">
        <v>316</v>
      </c>
      <c r="C320" s="91">
        <v>43360</v>
      </c>
      <c r="D320" s="92">
        <v>13.5</v>
      </c>
      <c r="E320" s="51" cm="1">
        <f t="array" ref="E3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74.557881418092904</v>
      </c>
      <c r="F320" s="49" cm="1">
        <f t="array" ref="F3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65.447432762836186</v>
      </c>
      <c r="G320" s="20">
        <f>tbl_Monitoring[[#This Row],[Area (km2)]]/4046.8564224*1000000</f>
        <v>3335.9226498067324</v>
      </c>
      <c r="H320" s="20">
        <f>tbl_Monitoring[[#This Row],[Volume (MCM)]]/1233.4818375475*1000000</f>
        <v>60445.058166672658</v>
      </c>
      <c r="I320" s="40">
        <f>tbl_Monitoring[[#This Row],[Elevation (SRTM30-m)]]*3.280839895</f>
        <v>214.72254843364306</v>
      </c>
    </row>
    <row r="321" spans="2:9" ht="16" x14ac:dyDescent="0.2">
      <c r="B321" s="90">
        <v>317</v>
      </c>
      <c r="C321" s="91">
        <v>43365</v>
      </c>
      <c r="D321" s="92">
        <v>13.46</v>
      </c>
      <c r="E321" s="51" cm="1">
        <f t="array" ref="E3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74.242380195599026</v>
      </c>
      <c r="F321" s="49" cm="1">
        <f t="array" ref="F3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65.425699538168971</v>
      </c>
      <c r="G321" s="20">
        <f>tbl_Monitoring[[#This Row],[Area (km2)]]/4046.8564224*1000000</f>
        <v>3326.0384345480456</v>
      </c>
      <c r="H321" s="20">
        <f>tbl_Monitoring[[#This Row],[Volume (MCM)]]/1233.4818375475*1000000</f>
        <v>60189.277162940016</v>
      </c>
      <c r="I321" s="40">
        <f>tbl_Monitoring[[#This Row],[Elevation (SRTM30-m)]]*3.280839895</f>
        <v>214.65124520310783</v>
      </c>
    </row>
    <row r="322" spans="2:9" ht="16" x14ac:dyDescent="0.2">
      <c r="B322" s="90">
        <v>318</v>
      </c>
      <c r="C322" s="91">
        <v>43366</v>
      </c>
      <c r="D322" s="92">
        <v>13.36</v>
      </c>
      <c r="E322" s="51" cm="1">
        <f t="array" ref="E3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73.453627139364301</v>
      </c>
      <c r="F322" s="49" cm="1">
        <f t="array" ref="F3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65.371366476500953</v>
      </c>
      <c r="G322" s="20">
        <f>tbl_Monitoring[[#This Row],[Area (km2)]]/4046.8564224*1000000</f>
        <v>3301.3278964013289</v>
      </c>
      <c r="H322" s="20">
        <f>tbl_Monitoring[[#This Row],[Volume (MCM)]]/1233.4818375475*1000000</f>
        <v>59549.824653608397</v>
      </c>
      <c r="I322" s="40">
        <f>tbl_Monitoring[[#This Row],[Elevation (SRTM30-m)]]*3.280839895</f>
        <v>214.47298712676991</v>
      </c>
    </row>
    <row r="323" spans="2:9" ht="16" x14ac:dyDescent="0.2">
      <c r="B323" s="90">
        <v>319</v>
      </c>
      <c r="C323" s="91">
        <v>43370</v>
      </c>
      <c r="D323" s="92">
        <v>13.44</v>
      </c>
      <c r="E323" s="51" cm="1">
        <f t="array" ref="E3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74.084629584352072</v>
      </c>
      <c r="F323" s="49" cm="1">
        <f t="array" ref="F3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65.41483292583537</v>
      </c>
      <c r="G323" s="20">
        <f>tbl_Monitoring[[#This Row],[Area (km2)]]/4046.8564224*1000000</f>
        <v>3321.0963269187023</v>
      </c>
      <c r="H323" s="20">
        <f>tbl_Monitoring[[#This Row],[Volume (MCM)]]/1233.4818375475*1000000</f>
        <v>60061.38666107368</v>
      </c>
      <c r="I323" s="40">
        <f>tbl_Monitoring[[#This Row],[Elevation (SRTM30-m)]]*3.280839895</f>
        <v>214.61559358784027</v>
      </c>
    </row>
    <row r="324" spans="2:9" ht="16" x14ac:dyDescent="0.2">
      <c r="B324" s="90">
        <v>320</v>
      </c>
      <c r="C324" s="91">
        <v>43374</v>
      </c>
      <c r="D324" s="92">
        <v>14.43</v>
      </c>
      <c r="E324" s="51" cm="1">
        <f t="array" ref="E3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81.893284841075797</v>
      </c>
      <c r="F324" s="49" cm="1">
        <f t="array" ref="F3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65.952730236348813</v>
      </c>
      <c r="G324" s="20">
        <f>tbl_Monitoring[[#This Row],[Area (km2)]]/4046.8564224*1000000</f>
        <v>3565.7306545711958</v>
      </c>
      <c r="H324" s="20">
        <f>tbl_Monitoring[[#This Row],[Volume (MCM)]]/1233.4818375475*1000000</f>
        <v>66391.966503456671</v>
      </c>
      <c r="I324" s="40">
        <f>tbl_Monitoring[[#This Row],[Elevation (SRTM30-m)]]*3.280839895</f>
        <v>216.38034854358597</v>
      </c>
    </row>
    <row r="325" spans="2:9" ht="16" x14ac:dyDescent="0.2">
      <c r="B325" s="90">
        <v>321</v>
      </c>
      <c r="C325" s="91">
        <v>43375</v>
      </c>
      <c r="D325" s="92">
        <v>14.34</v>
      </c>
      <c r="E325" s="51" cm="1">
        <f t="array" ref="E3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81.183407090464542</v>
      </c>
      <c r="F325" s="49" cm="1">
        <f t="array" ref="F3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65.903830480847603</v>
      </c>
      <c r="G325" s="20">
        <f>tbl_Monitoring[[#This Row],[Area (km2)]]/4046.8564224*1000000</f>
        <v>3543.4911702391505</v>
      </c>
      <c r="H325" s="20">
        <f>tbl_Monitoring[[#This Row],[Volume (MCM)]]/1233.4818375475*1000000</f>
        <v>65816.459245058199</v>
      </c>
      <c r="I325" s="40">
        <f>tbl_Monitoring[[#This Row],[Elevation (SRTM30-m)]]*3.280839895</f>
        <v>216.21991627488185</v>
      </c>
    </row>
    <row r="326" spans="2:9" ht="16" x14ac:dyDescent="0.2">
      <c r="B326" s="90">
        <v>322</v>
      </c>
      <c r="C326" s="91">
        <v>43380</v>
      </c>
      <c r="D326" s="92">
        <v>14.03</v>
      </c>
      <c r="E326" s="51" cm="1">
        <f t="array" ref="E3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78.738272616136911</v>
      </c>
      <c r="F326" s="49" cm="1">
        <f t="array" ref="F3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65.735397989676713</v>
      </c>
      <c r="G326" s="20">
        <f>tbl_Monitoring[[#This Row],[Area (km2)]]/4046.8564224*1000000</f>
        <v>3466.8885019843297</v>
      </c>
      <c r="H326" s="20">
        <f>tbl_Monitoring[[#This Row],[Volume (MCM)]]/1233.4818375475*1000000</f>
        <v>63834.156466130204</v>
      </c>
      <c r="I326" s="40">
        <f>tbl_Monitoring[[#This Row],[Elevation (SRTM30-m)]]*3.280839895</f>
        <v>215.66731623823418</v>
      </c>
    </row>
    <row r="327" spans="2:9" ht="16" x14ac:dyDescent="0.2">
      <c r="B327" s="90">
        <v>323</v>
      </c>
      <c r="C327" s="91">
        <v>43382</v>
      </c>
      <c r="D327" s="92">
        <v>14.42</v>
      </c>
      <c r="E327" s="51" cm="1">
        <f t="array" ref="E3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81.814409535452327</v>
      </c>
      <c r="F327" s="49" cm="1">
        <f t="array" ref="F3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65.94729693018202</v>
      </c>
      <c r="G327" s="20">
        <f>tbl_Monitoring[[#This Row],[Area (km2)]]/4046.8564224*1000000</f>
        <v>3563.2596007565239</v>
      </c>
      <c r="H327" s="20">
        <f>tbl_Monitoring[[#This Row],[Volume (MCM)]]/1233.4818375475*1000000</f>
        <v>66328.021252523511</v>
      </c>
      <c r="I327" s="40">
        <f>tbl_Monitoring[[#This Row],[Elevation (SRTM30-m)]]*3.280839895</f>
        <v>216.36252273595221</v>
      </c>
    </row>
    <row r="328" spans="2:9" ht="16" x14ac:dyDescent="0.2">
      <c r="B328" s="90">
        <v>324</v>
      </c>
      <c r="C328" s="91">
        <v>43385</v>
      </c>
      <c r="D328" s="92">
        <v>14.16</v>
      </c>
      <c r="E328" s="51" cm="1">
        <f t="array" ref="E3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79.763651589242059</v>
      </c>
      <c r="F328" s="49" cm="1">
        <f t="array" ref="F3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65.806030969845153</v>
      </c>
      <c r="G328" s="20">
        <f>tbl_Monitoring[[#This Row],[Area (km2)]]/4046.8564224*1000000</f>
        <v>3499.0122015750612</v>
      </c>
      <c r="H328" s="20">
        <f>tbl_Monitoring[[#This Row],[Volume (MCM)]]/1233.4818375475*1000000</f>
        <v>64665.444728261318</v>
      </c>
      <c r="I328" s="40">
        <f>tbl_Monitoring[[#This Row],[Elevation (SRTM30-m)]]*3.280839895</f>
        <v>215.89905173747354</v>
      </c>
    </row>
    <row r="329" spans="2:9" ht="16" x14ac:dyDescent="0.2">
      <c r="B329" s="90">
        <v>325</v>
      </c>
      <c r="C329" s="91">
        <v>43390</v>
      </c>
      <c r="D329" s="92">
        <v>14.85</v>
      </c>
      <c r="E329" s="51" cm="1">
        <f t="array" ref="E3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85.270397278314306</v>
      </c>
      <c r="F329" s="49" cm="1">
        <f t="array" ref="F3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66.162423178226518</v>
      </c>
      <c r="G329" s="20">
        <f>tbl_Monitoring[[#This Row],[Area (km2)]]/4046.8564224*1000000</f>
        <v>3669.5149147874054</v>
      </c>
      <c r="H329" s="20">
        <f>tbl_Monitoring[[#This Row],[Volume (MCM)]]/1233.4818375475*1000000</f>
        <v>69129.83611323798</v>
      </c>
      <c r="I329" s="40">
        <f>tbl_Monitoring[[#This Row],[Elevation (SRTM30-m)]]*3.280839895</f>
        <v>217.06831751299828</v>
      </c>
    </row>
    <row r="330" spans="2:9" ht="16" x14ac:dyDescent="0.2">
      <c r="B330" s="90">
        <v>326</v>
      </c>
      <c r="C330" s="91">
        <v>43390</v>
      </c>
      <c r="D330" s="92">
        <v>14.34</v>
      </c>
      <c r="E330" s="51" cm="1">
        <f t="array" ref="E3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81.183407090464542</v>
      </c>
      <c r="F330" s="49" cm="1">
        <f t="array" ref="F3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65.903830480847603</v>
      </c>
      <c r="G330" s="20">
        <f>tbl_Monitoring[[#This Row],[Area (km2)]]/4046.8564224*1000000</f>
        <v>3543.4911702391505</v>
      </c>
      <c r="H330" s="20">
        <f>tbl_Monitoring[[#This Row],[Volume (MCM)]]/1233.4818375475*1000000</f>
        <v>65816.459245058199</v>
      </c>
      <c r="I330" s="40">
        <f>tbl_Monitoring[[#This Row],[Elevation (SRTM30-m)]]*3.280839895</f>
        <v>216.21991627488185</v>
      </c>
    </row>
    <row r="331" spans="2:9" ht="16" x14ac:dyDescent="0.2">
      <c r="B331" s="90">
        <v>327</v>
      </c>
      <c r="C331" s="91">
        <v>43395</v>
      </c>
      <c r="D331" s="92">
        <v>13.94</v>
      </c>
      <c r="E331" s="51" cm="1">
        <f t="array" ref="E3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78.028394865525669</v>
      </c>
      <c r="F331" s="49" cm="1">
        <f t="array" ref="F3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65.686498234175502</v>
      </c>
      <c r="G331" s="20">
        <f>tbl_Monitoring[[#This Row],[Area (km2)]]/4046.8564224*1000000</f>
        <v>3444.6490176522848</v>
      </c>
      <c r="H331" s="20">
        <f>tbl_Monitoring[[#This Row],[Volume (MCM)]]/1233.4818375475*1000000</f>
        <v>63258.64920773176</v>
      </c>
      <c r="I331" s="40">
        <f>tbl_Monitoring[[#This Row],[Elevation (SRTM30-m)]]*3.280839895</f>
        <v>215.50688396953007</v>
      </c>
    </row>
    <row r="332" spans="2:9" ht="16" x14ac:dyDescent="0.2">
      <c r="B332" s="90">
        <v>328</v>
      </c>
      <c r="C332" s="91">
        <v>43398</v>
      </c>
      <c r="D332" s="92">
        <v>14.23</v>
      </c>
      <c r="E332" s="51" cm="1">
        <f t="array" ref="E3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80.315778728606361</v>
      </c>
      <c r="F332" s="49" cm="1">
        <f t="array" ref="F3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65.844064113012763</v>
      </c>
      <c r="G332" s="20">
        <f>tbl_Monitoring[[#This Row],[Area (km2)]]/4046.8564224*1000000</f>
        <v>3516.3095782777627</v>
      </c>
      <c r="H332" s="20">
        <f>tbl_Monitoring[[#This Row],[Volume (MCM)]]/1233.4818375475*1000000</f>
        <v>65113.061484793441</v>
      </c>
      <c r="I332" s="40">
        <f>tbl_Monitoring[[#This Row],[Elevation (SRTM30-m)]]*3.280839895</f>
        <v>216.02383239091009</v>
      </c>
    </row>
    <row r="333" spans="2:9" ht="16" x14ac:dyDescent="0.2">
      <c r="B333" s="90">
        <v>329</v>
      </c>
      <c r="C333" s="91">
        <v>43400</v>
      </c>
      <c r="D333" s="92">
        <v>14.17</v>
      </c>
      <c r="E333" s="51" cm="1">
        <f t="array" ref="E3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79.842526894865529</v>
      </c>
      <c r="F333" s="49" cm="1">
        <f t="array" ref="F3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65.811464276011947</v>
      </c>
      <c r="G333" s="20">
        <f>tbl_Monitoring[[#This Row],[Area (km2)]]/4046.8564224*1000000</f>
        <v>3501.4832553897331</v>
      </c>
      <c r="H333" s="20">
        <f>tbl_Monitoring[[#This Row],[Volume (MCM)]]/1233.4818375475*1000000</f>
        <v>64729.389979194471</v>
      </c>
      <c r="I333" s="40">
        <f>tbl_Monitoring[[#This Row],[Elevation (SRTM30-m)]]*3.280839895</f>
        <v>215.9168775451073</v>
      </c>
    </row>
    <row r="334" spans="2:9" ht="16" x14ac:dyDescent="0.2">
      <c r="B334" s="90">
        <v>330</v>
      </c>
      <c r="C334" s="91">
        <v>43405</v>
      </c>
      <c r="D334" s="92">
        <v>13.95</v>
      </c>
      <c r="E334" s="51" cm="1">
        <f t="array" ref="E3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78.107270171149139</v>
      </c>
      <c r="F334" s="49" cm="1">
        <f t="array" ref="F3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65.691931540342296</v>
      </c>
      <c r="G334" s="20">
        <f>tbl_Monitoring[[#This Row],[Area (km2)]]/4046.8564224*1000000</f>
        <v>3447.1200714669562</v>
      </c>
      <c r="H334" s="20">
        <f>tbl_Monitoring[[#This Row],[Volume (MCM)]]/1233.4818375475*1000000</f>
        <v>63322.59445866492</v>
      </c>
      <c r="I334" s="40">
        <f>tbl_Monitoring[[#This Row],[Elevation (SRTM30-m)]]*3.280839895</f>
        <v>215.52470977716382</v>
      </c>
    </row>
    <row r="335" spans="2:9" ht="16" x14ac:dyDescent="0.2">
      <c r="B335" s="90">
        <v>331</v>
      </c>
      <c r="C335" s="91">
        <v>43406</v>
      </c>
      <c r="D335" s="92">
        <v>14.09</v>
      </c>
      <c r="E335" s="51" cm="1">
        <f t="array" ref="E3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79.211524449877743</v>
      </c>
      <c r="F335" s="49" cm="1">
        <f t="array" ref="F3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65.767997826677529</v>
      </c>
      <c r="G335" s="20">
        <f>tbl_Monitoring[[#This Row],[Area (km2)]]/4046.8564224*1000000</f>
        <v>3481.7148248723597</v>
      </c>
      <c r="H335" s="20">
        <f>tbl_Monitoring[[#This Row],[Volume (MCM)]]/1233.4818375475*1000000</f>
        <v>64217.827971729173</v>
      </c>
      <c r="I335" s="40">
        <f>tbl_Monitoring[[#This Row],[Elevation (SRTM30-m)]]*3.280839895</f>
        <v>215.77427108403694</v>
      </c>
    </row>
    <row r="336" spans="2:9" ht="16" x14ac:dyDescent="0.2">
      <c r="B336" s="90">
        <v>332</v>
      </c>
      <c r="C336" s="91">
        <v>43410</v>
      </c>
      <c r="D336" s="92">
        <v>13.42</v>
      </c>
      <c r="E336" s="51" cm="1">
        <f t="array" ref="E3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73.926878973105133</v>
      </c>
      <c r="F336" s="49" cm="1">
        <f t="array" ref="F3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65.403966313501769</v>
      </c>
      <c r="G336" s="20">
        <f>tbl_Monitoring[[#This Row],[Area (km2)]]/4046.8564224*1000000</f>
        <v>3316.1542192893589</v>
      </c>
      <c r="H336" s="20">
        <f>tbl_Monitoring[[#This Row],[Volume (MCM)]]/1233.4818375475*1000000</f>
        <v>59933.496159207367</v>
      </c>
      <c r="I336" s="40">
        <f>tbl_Monitoring[[#This Row],[Elevation (SRTM30-m)]]*3.280839895</f>
        <v>214.5799419725727</v>
      </c>
    </row>
    <row r="337" spans="2:9" ht="16" x14ac:dyDescent="0.2">
      <c r="B337" s="90">
        <v>333</v>
      </c>
      <c r="C337" s="91">
        <v>43414</v>
      </c>
      <c r="D337" s="92">
        <v>13.64</v>
      </c>
      <c r="E337" s="51" cm="1">
        <f t="array" ref="E3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75.662135696821522</v>
      </c>
      <c r="F337" s="49" cm="1">
        <f t="array" ref="F3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65.52349904917142</v>
      </c>
      <c r="G337" s="20">
        <f>tbl_Monitoring[[#This Row],[Area (km2)]]/4046.8564224*1000000</f>
        <v>3370.5174032121349</v>
      </c>
      <c r="H337" s="20">
        <f>tbl_Monitoring[[#This Row],[Volume (MCM)]]/1233.4818375475*1000000</f>
        <v>61340.291679736925</v>
      </c>
      <c r="I337" s="40">
        <f>tbl_Monitoring[[#This Row],[Elevation (SRTM30-m)]]*3.280839895</f>
        <v>214.97210974051617</v>
      </c>
    </row>
    <row r="338" spans="2:9" ht="16" x14ac:dyDescent="0.2">
      <c r="B338" s="90">
        <v>334</v>
      </c>
      <c r="C338" s="91">
        <v>43415</v>
      </c>
      <c r="D338" s="92">
        <v>13.85</v>
      </c>
      <c r="E338" s="51" cm="1">
        <f t="array" ref="E3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77.318517114914414</v>
      </c>
      <c r="F338" s="49" cm="1">
        <f t="array" ref="F3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65.637598478674278</v>
      </c>
      <c r="G338" s="20">
        <f>tbl_Monitoring[[#This Row],[Area (km2)]]/4046.8564224*1000000</f>
        <v>3422.4095333202399</v>
      </c>
      <c r="H338" s="20">
        <f>tbl_Monitoring[[#This Row],[Volume (MCM)]]/1233.4818375475*1000000</f>
        <v>62683.141949333301</v>
      </c>
      <c r="I338" s="40">
        <f>tbl_Monitoring[[#This Row],[Elevation (SRTM30-m)]]*3.280839895</f>
        <v>215.3464517008259</v>
      </c>
    </row>
    <row r="339" spans="2:9" ht="16" x14ac:dyDescent="0.2">
      <c r="B339" s="90">
        <v>335</v>
      </c>
      <c r="C339" s="91">
        <v>43420</v>
      </c>
      <c r="D339" s="92">
        <v>13.35</v>
      </c>
      <c r="E339" s="51" cm="1">
        <f t="array" ref="E3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73.374751833740831</v>
      </c>
      <c r="F339" s="49" cm="1">
        <f t="array" ref="F3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65.365933170334145</v>
      </c>
      <c r="G339" s="20">
        <f>tbl_Monitoring[[#This Row],[Area (km2)]]/4046.8564224*1000000</f>
        <v>3298.8568425866574</v>
      </c>
      <c r="H339" s="20">
        <f>tbl_Monitoring[[#This Row],[Volume (MCM)]]/1233.4818375475*1000000</f>
        <v>59485.879402675237</v>
      </c>
      <c r="I339" s="40">
        <f>tbl_Monitoring[[#This Row],[Elevation (SRTM30-m)]]*3.280839895</f>
        <v>214.4551613191361</v>
      </c>
    </row>
    <row r="340" spans="2:9" ht="16" x14ac:dyDescent="0.2">
      <c r="B340" s="90">
        <v>336</v>
      </c>
      <c r="C340" s="91">
        <v>43425</v>
      </c>
      <c r="D340" s="92">
        <v>13.75</v>
      </c>
      <c r="E340" s="51" cm="1">
        <f t="array" ref="E3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76.529764058679703</v>
      </c>
      <c r="F340" s="49" cm="1">
        <f t="array" ref="F3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65.583265417006245</v>
      </c>
      <c r="G340" s="20">
        <f>tbl_Monitoring[[#This Row],[Area (km2)]]/4046.8564224*1000000</f>
        <v>3397.6989951735231</v>
      </c>
      <c r="H340" s="20">
        <f>tbl_Monitoring[[#This Row],[Volume (MCM)]]/1233.4818375475*1000000</f>
        <v>62043.689440001697</v>
      </c>
      <c r="I340" s="40">
        <f>tbl_Monitoring[[#This Row],[Elevation (SRTM30-m)]]*3.280839895</f>
        <v>215.16819362448791</v>
      </c>
    </row>
    <row r="341" spans="2:9" ht="16" x14ac:dyDescent="0.2">
      <c r="B341" s="90">
        <v>337</v>
      </c>
      <c r="C341" s="91">
        <v>43430</v>
      </c>
      <c r="D341" s="92">
        <v>14.49</v>
      </c>
      <c r="E341" s="51" cm="1">
        <f t="array" ref="E3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82.366536674816629</v>
      </c>
      <c r="F341" s="49" cm="1">
        <f t="array" ref="F3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65.98533007334963</v>
      </c>
      <c r="G341" s="20">
        <f>tbl_Monitoring[[#This Row],[Area (km2)]]/4046.8564224*1000000</f>
        <v>3580.5569774592259</v>
      </c>
      <c r="H341" s="20">
        <f>tbl_Monitoring[[#This Row],[Volume (MCM)]]/1233.4818375475*1000000</f>
        <v>66775.638009055649</v>
      </c>
      <c r="I341" s="40">
        <f>tbl_Monitoring[[#This Row],[Elevation (SRTM30-m)]]*3.280839895</f>
        <v>216.48730338938876</v>
      </c>
    </row>
    <row r="342" spans="2:9" ht="16" x14ac:dyDescent="0.2">
      <c r="B342" s="90">
        <v>338</v>
      </c>
      <c r="C342" s="91">
        <v>43430</v>
      </c>
      <c r="D342" s="92">
        <v>14.09</v>
      </c>
      <c r="E342" s="51" cm="1">
        <f t="array" ref="E3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79.211524449877743</v>
      </c>
      <c r="F342" s="49" cm="1">
        <f t="array" ref="F3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65.767997826677529</v>
      </c>
      <c r="G342" s="20">
        <f>tbl_Monitoring[[#This Row],[Area (km2)]]/4046.8564224*1000000</f>
        <v>3481.7148248723597</v>
      </c>
      <c r="H342" s="20">
        <f>tbl_Monitoring[[#This Row],[Volume (MCM)]]/1233.4818375475*1000000</f>
        <v>64217.827971729173</v>
      </c>
      <c r="I342" s="40">
        <f>tbl_Monitoring[[#This Row],[Elevation (SRTM30-m)]]*3.280839895</f>
        <v>215.77427108403694</v>
      </c>
    </row>
    <row r="343" spans="2:9" ht="16" x14ac:dyDescent="0.2">
      <c r="B343" s="90">
        <v>339</v>
      </c>
      <c r="C343" s="91">
        <v>43435</v>
      </c>
      <c r="D343" s="92">
        <v>13.92</v>
      </c>
      <c r="E343" s="51" cm="1">
        <f t="array" ref="E3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77.87064425427873</v>
      </c>
      <c r="F343" s="49" cm="1">
        <f t="array" ref="F3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65.675631621841887</v>
      </c>
      <c r="G343" s="20">
        <f>tbl_Monitoring[[#This Row],[Area (km2)]]/4046.8564224*1000000</f>
        <v>3439.7069100229414</v>
      </c>
      <c r="H343" s="20">
        <f>tbl_Monitoring[[#This Row],[Volume (MCM)]]/1233.4818375475*1000000</f>
        <v>63130.758705865446</v>
      </c>
      <c r="I343" s="40">
        <f>tbl_Monitoring[[#This Row],[Elevation (SRTM30-m)]]*3.280839895</f>
        <v>215.47123235426244</v>
      </c>
    </row>
    <row r="344" spans="2:9" ht="16" x14ac:dyDescent="0.2">
      <c r="B344" s="90">
        <v>340</v>
      </c>
      <c r="C344" s="91">
        <v>43438</v>
      </c>
      <c r="D344" s="92">
        <v>14.37</v>
      </c>
      <c r="E344" s="51" cm="1">
        <f t="array" ref="E3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81.420033007334951</v>
      </c>
      <c r="F344" s="49" cm="1">
        <f t="array" ref="F3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65.920130399347997</v>
      </c>
      <c r="G344" s="20">
        <f>tbl_Monitoring[[#This Row],[Area (km2)]]/4046.8564224*1000000</f>
        <v>3550.9043316831653</v>
      </c>
      <c r="H344" s="20">
        <f>tbl_Monitoring[[#This Row],[Volume (MCM)]]/1233.4818375475*1000000</f>
        <v>66008.294997857694</v>
      </c>
      <c r="I344" s="40">
        <f>tbl_Monitoring[[#This Row],[Elevation (SRTM30-m)]]*3.280839895</f>
        <v>216.27339369778321</v>
      </c>
    </row>
    <row r="345" spans="2:9" ht="16" x14ac:dyDescent="0.2">
      <c r="B345" s="90">
        <v>341</v>
      </c>
      <c r="C345" s="91">
        <v>43440</v>
      </c>
      <c r="D345" s="92">
        <v>13.76</v>
      </c>
      <c r="E345" s="51" cm="1">
        <f t="array" ref="E3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76.608639364303173</v>
      </c>
      <c r="F345" s="49" cm="1">
        <f t="array" ref="F3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65.588698723173053</v>
      </c>
      <c r="G345" s="20">
        <f>tbl_Monitoring[[#This Row],[Area (km2)]]/4046.8564224*1000000</f>
        <v>3400.170048988195</v>
      </c>
      <c r="H345" s="20">
        <f>tbl_Monitoring[[#This Row],[Volume (MCM)]]/1233.4818375475*1000000</f>
        <v>62107.63469093485</v>
      </c>
      <c r="I345" s="40">
        <f>tbl_Monitoring[[#This Row],[Elevation (SRTM30-m)]]*3.280839895</f>
        <v>215.18601943212173</v>
      </c>
    </row>
    <row r="346" spans="2:9" ht="16" x14ac:dyDescent="0.2">
      <c r="B346" s="90">
        <v>342</v>
      </c>
      <c r="C346" s="91">
        <v>43445</v>
      </c>
      <c r="D346" s="92">
        <v>13.85</v>
      </c>
      <c r="E346" s="51" cm="1">
        <f t="array" ref="E3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77.318517114914414</v>
      </c>
      <c r="F346" s="49" cm="1">
        <f t="array" ref="F3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65.637598478674278</v>
      </c>
      <c r="G346" s="20">
        <f>tbl_Monitoring[[#This Row],[Area (km2)]]/4046.8564224*1000000</f>
        <v>3422.4095333202399</v>
      </c>
      <c r="H346" s="20">
        <f>tbl_Monitoring[[#This Row],[Volume (MCM)]]/1233.4818375475*1000000</f>
        <v>62683.141949333301</v>
      </c>
      <c r="I346" s="40">
        <f>tbl_Monitoring[[#This Row],[Elevation (SRTM30-m)]]*3.280839895</f>
        <v>215.3464517008259</v>
      </c>
    </row>
    <row r="347" spans="2:9" ht="16" x14ac:dyDescent="0.2">
      <c r="B347" s="90">
        <v>343</v>
      </c>
      <c r="C347" s="91">
        <v>43450</v>
      </c>
      <c r="D347" s="92">
        <v>13.89</v>
      </c>
      <c r="E347" s="51" cm="1">
        <f t="array" ref="E3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77.634018337408321</v>
      </c>
      <c r="F347" s="49" cm="1">
        <f t="array" ref="F3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65.659331703341479</v>
      </c>
      <c r="G347" s="20">
        <f>tbl_Monitoring[[#This Row],[Area (km2)]]/4046.8564224*1000000</f>
        <v>3432.2937485789266</v>
      </c>
      <c r="H347" s="20">
        <f>tbl_Monitoring[[#This Row],[Volume (MCM)]]/1233.4818375475*1000000</f>
        <v>62938.92295306595</v>
      </c>
      <c r="I347" s="40">
        <f>tbl_Monitoring[[#This Row],[Elevation (SRTM30-m)]]*3.280839895</f>
        <v>215.41775493136103</v>
      </c>
    </row>
    <row r="348" spans="2:9" ht="16" x14ac:dyDescent="0.2">
      <c r="B348" s="90">
        <v>344</v>
      </c>
      <c r="C348" s="91">
        <v>43454</v>
      </c>
      <c r="D348" s="92">
        <v>14.16</v>
      </c>
      <c r="E348" s="51" cm="1">
        <f t="array" ref="E3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79.763651589242059</v>
      </c>
      <c r="F348" s="49" cm="1">
        <f t="array" ref="F3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65.806030969845153</v>
      </c>
      <c r="G348" s="20">
        <f>tbl_Monitoring[[#This Row],[Area (km2)]]/4046.8564224*1000000</f>
        <v>3499.0122015750612</v>
      </c>
      <c r="H348" s="20">
        <f>tbl_Monitoring[[#This Row],[Volume (MCM)]]/1233.4818375475*1000000</f>
        <v>64665.444728261318</v>
      </c>
      <c r="I348" s="40">
        <f>tbl_Monitoring[[#This Row],[Elevation (SRTM30-m)]]*3.280839895</f>
        <v>215.89905173747354</v>
      </c>
    </row>
    <row r="349" spans="2:9" ht="16" x14ac:dyDescent="0.2">
      <c r="B349" s="90">
        <v>345</v>
      </c>
      <c r="C349" s="91">
        <v>43455</v>
      </c>
      <c r="D349" s="92">
        <v>13.72</v>
      </c>
      <c r="E349" s="51" cm="1">
        <f t="array" ref="E3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76.293138141809294</v>
      </c>
      <c r="F349" s="49" cm="1">
        <f t="array" ref="F3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65.566965498505837</v>
      </c>
      <c r="G349" s="20">
        <f>tbl_Monitoring[[#This Row],[Area (km2)]]/4046.8564224*1000000</f>
        <v>3390.2858337295083</v>
      </c>
      <c r="H349" s="20">
        <f>tbl_Monitoring[[#This Row],[Volume (MCM)]]/1233.4818375475*1000000</f>
        <v>61851.853687202209</v>
      </c>
      <c r="I349" s="40">
        <f>tbl_Monitoring[[#This Row],[Elevation (SRTM30-m)]]*3.280839895</f>
        <v>215.11471620158653</v>
      </c>
    </row>
    <row r="350" spans="2:9" ht="16" x14ac:dyDescent="0.2">
      <c r="B350" s="90">
        <v>346</v>
      </c>
      <c r="C350" s="91">
        <v>43460</v>
      </c>
      <c r="D350" s="92">
        <v>13.26</v>
      </c>
      <c r="E350" s="51" cm="1">
        <f t="array" ref="E3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72.664874083129575</v>
      </c>
      <c r="F350" s="49" cm="1">
        <f t="array" ref="F3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65.31703341483292</v>
      </c>
      <c r="G350" s="20">
        <f>tbl_Monitoring[[#This Row],[Area (km2)]]/4046.8564224*1000000</f>
        <v>3276.6173582546121</v>
      </c>
      <c r="H350" s="20">
        <f>tbl_Monitoring[[#This Row],[Volume (MCM)]]/1233.4818375475*1000000</f>
        <v>58910.372144276778</v>
      </c>
      <c r="I350" s="40">
        <f>tbl_Monitoring[[#This Row],[Elevation (SRTM30-m)]]*3.280839895</f>
        <v>214.29472905043195</v>
      </c>
    </row>
    <row r="351" spans="2:9" ht="16" x14ac:dyDescent="0.2">
      <c r="B351" s="90">
        <v>347</v>
      </c>
      <c r="C351" s="91">
        <v>43462</v>
      </c>
      <c r="D351" s="92">
        <v>14.17</v>
      </c>
      <c r="E351" s="51" cm="1">
        <f t="array" ref="E3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79.842526894865529</v>
      </c>
      <c r="F351" s="49" cm="1">
        <f t="array" ref="F3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65.811464276011947</v>
      </c>
      <c r="G351" s="20">
        <f>tbl_Monitoring[[#This Row],[Area (km2)]]/4046.8564224*1000000</f>
        <v>3501.4832553897331</v>
      </c>
      <c r="H351" s="20">
        <f>tbl_Monitoring[[#This Row],[Volume (MCM)]]/1233.4818375475*1000000</f>
        <v>64729.389979194471</v>
      </c>
      <c r="I351" s="40">
        <f>tbl_Monitoring[[#This Row],[Elevation (SRTM30-m)]]*3.280839895</f>
        <v>215.9168775451073</v>
      </c>
    </row>
    <row r="352" spans="2:9" ht="16" x14ac:dyDescent="0.2">
      <c r="B352" s="90">
        <v>348</v>
      </c>
      <c r="C352" s="91">
        <v>43465</v>
      </c>
      <c r="D352" s="92">
        <v>14.11</v>
      </c>
      <c r="E352" s="51" cm="1">
        <f t="array" ref="E3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79.369275061124682</v>
      </c>
      <c r="F352" s="49" cm="1">
        <f t="array" ref="F3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65.778864439011144</v>
      </c>
      <c r="G352" s="20">
        <f>tbl_Monitoring[[#This Row],[Area (km2)]]/4046.8564224*1000000</f>
        <v>3486.6569325017031</v>
      </c>
      <c r="H352" s="20">
        <f>tbl_Monitoring[[#This Row],[Volume (MCM)]]/1233.4818375475*1000000</f>
        <v>64345.718473595494</v>
      </c>
      <c r="I352" s="40">
        <f>tbl_Monitoring[[#This Row],[Elevation (SRTM30-m)]]*3.280839895</f>
        <v>215.80992269930456</v>
      </c>
    </row>
    <row r="353" spans="2:9" ht="16" x14ac:dyDescent="0.2">
      <c r="B353" s="90">
        <v>349</v>
      </c>
      <c r="C353" s="91">
        <v>43470</v>
      </c>
      <c r="D353" s="92">
        <v>13.8</v>
      </c>
      <c r="E353" s="51" cm="1">
        <f t="array" ref="E3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76.924140586797066</v>
      </c>
      <c r="F353" s="49" cm="1">
        <f t="array" ref="F3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65.610431947840254</v>
      </c>
      <c r="G353" s="20">
        <f>tbl_Monitoring[[#This Row],[Area (km2)]]/4046.8564224*1000000</f>
        <v>3410.0542642468818</v>
      </c>
      <c r="H353" s="20">
        <f>tbl_Monitoring[[#This Row],[Volume (MCM)]]/1233.4818375475*1000000</f>
        <v>62363.415694667499</v>
      </c>
      <c r="I353" s="40">
        <f>tbl_Monitoring[[#This Row],[Elevation (SRTM30-m)]]*3.280839895</f>
        <v>215.25732266265689</v>
      </c>
    </row>
    <row r="354" spans="2:9" ht="16" x14ac:dyDescent="0.2">
      <c r="B354" s="90">
        <v>350</v>
      </c>
      <c r="C354" s="91">
        <v>43470</v>
      </c>
      <c r="D354" s="92">
        <v>13.17</v>
      </c>
      <c r="E354" s="51" cm="1">
        <f t="array" ref="E3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71.954996332518334</v>
      </c>
      <c r="F354" s="49" cm="1">
        <f t="array" ref="F3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65.26813365933171</v>
      </c>
      <c r="G354" s="20">
        <f>tbl_Monitoring[[#This Row],[Area (km2)]]/4046.8564224*1000000</f>
        <v>3254.3778739225672</v>
      </c>
      <c r="H354" s="20">
        <f>tbl_Monitoring[[#This Row],[Volume (MCM)]]/1233.4818375475*1000000</f>
        <v>58334.864885878327</v>
      </c>
      <c r="I354" s="40">
        <f>tbl_Monitoring[[#This Row],[Elevation (SRTM30-m)]]*3.280839895</f>
        <v>214.13429678172781</v>
      </c>
    </row>
    <row r="355" spans="2:9" ht="16" x14ac:dyDescent="0.2">
      <c r="B355" s="90">
        <v>351</v>
      </c>
      <c r="C355" s="91">
        <v>43478</v>
      </c>
      <c r="D355" s="92">
        <v>13.82</v>
      </c>
      <c r="E355" s="51" cm="1">
        <f t="array" ref="E3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77.081891198044005</v>
      </c>
      <c r="F355" s="49" cm="1">
        <f t="array" ref="F3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65.621298560173869</v>
      </c>
      <c r="G355" s="20">
        <f>tbl_Monitoring[[#This Row],[Area (km2)]]/4046.8564224*1000000</f>
        <v>3414.9963718762251</v>
      </c>
      <c r="H355" s="20">
        <f>tbl_Monitoring[[#This Row],[Volume (MCM)]]/1233.4818375475*1000000</f>
        <v>62491.30619653382</v>
      </c>
      <c r="I355" s="40">
        <f>tbl_Monitoring[[#This Row],[Elevation (SRTM30-m)]]*3.280839895</f>
        <v>215.29297427792449</v>
      </c>
    </row>
    <row r="356" spans="2:9" ht="16" x14ac:dyDescent="0.2">
      <c r="B356" s="90">
        <v>352</v>
      </c>
      <c r="C356" s="91">
        <v>43480</v>
      </c>
      <c r="D356" s="92">
        <v>14.85</v>
      </c>
      <c r="E356" s="51" cm="1">
        <f t="array" ref="E3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85.270397278314306</v>
      </c>
      <c r="F356" s="49" cm="1">
        <f t="array" ref="F3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66.162423178226518</v>
      </c>
      <c r="G356" s="20">
        <f>tbl_Monitoring[[#This Row],[Area (km2)]]/4046.8564224*1000000</f>
        <v>3669.5149147874054</v>
      </c>
      <c r="H356" s="20">
        <f>tbl_Monitoring[[#This Row],[Volume (MCM)]]/1233.4818375475*1000000</f>
        <v>69129.83611323798</v>
      </c>
      <c r="I356" s="40">
        <f>tbl_Monitoring[[#This Row],[Elevation (SRTM30-m)]]*3.280839895</f>
        <v>217.06831751299828</v>
      </c>
    </row>
    <row r="357" spans="2:9" ht="16" x14ac:dyDescent="0.2">
      <c r="B357" s="90">
        <v>353</v>
      </c>
      <c r="C357" s="91">
        <v>43485</v>
      </c>
      <c r="D357" s="92">
        <v>12.92</v>
      </c>
      <c r="E357" s="51" cm="1">
        <f t="array" ref="E3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69.983113691931536</v>
      </c>
      <c r="F357" s="49" cm="1">
        <f t="array" ref="F3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65.132301005161636</v>
      </c>
      <c r="G357" s="20">
        <f>tbl_Monitoring[[#This Row],[Area (km2)]]/4046.8564224*1000000</f>
        <v>3192.601528555776</v>
      </c>
      <c r="H357" s="20">
        <f>tbl_Monitoring[[#This Row],[Volume (MCM)]]/1233.4818375475*1000000</f>
        <v>56736.233612549295</v>
      </c>
      <c r="I357" s="40">
        <f>tbl_Monitoring[[#This Row],[Elevation (SRTM30-m)]]*3.280839895</f>
        <v>213.6886515908829</v>
      </c>
    </row>
    <row r="358" spans="2:9" ht="16" x14ac:dyDescent="0.2">
      <c r="B358" s="90">
        <v>354</v>
      </c>
      <c r="C358" s="91">
        <v>43486</v>
      </c>
      <c r="D358" s="92">
        <v>13.3</v>
      </c>
      <c r="E358" s="51" cm="1">
        <f t="array" ref="E3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72.980375305623468</v>
      </c>
      <c r="F358" s="49" cm="1">
        <f t="array" ref="F3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65.338766639500136</v>
      </c>
      <c r="G358" s="20">
        <f>tbl_Monitoring[[#This Row],[Area (km2)]]/4046.8564224*1000000</f>
        <v>3286.5015735132993</v>
      </c>
      <c r="H358" s="20">
        <f>tbl_Monitoring[[#This Row],[Volume (MCM)]]/1233.4818375475*1000000</f>
        <v>59166.153148009427</v>
      </c>
      <c r="I358" s="40">
        <f>tbl_Monitoring[[#This Row],[Elevation (SRTM30-m)]]*3.280839895</f>
        <v>214.36603228096715</v>
      </c>
    </row>
    <row r="359" spans="2:9" ht="16" x14ac:dyDescent="0.2">
      <c r="B359" s="90">
        <v>355</v>
      </c>
      <c r="C359" s="91">
        <v>43490</v>
      </c>
      <c r="D359" s="92">
        <v>13.13</v>
      </c>
      <c r="E359" s="51" cm="1">
        <f t="array" ref="E3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71.639495110024455</v>
      </c>
      <c r="F359" s="49" cm="1">
        <f t="array" ref="F3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65.246400434664494</v>
      </c>
      <c r="G359" s="20">
        <f>tbl_Monitoring[[#This Row],[Area (km2)]]/4046.8564224*1000000</f>
        <v>3244.493658663881</v>
      </c>
      <c r="H359" s="20">
        <f>tbl_Monitoring[[#This Row],[Volume (MCM)]]/1233.4818375475*1000000</f>
        <v>58079.083882145693</v>
      </c>
      <c r="I359" s="40">
        <f>tbl_Monitoring[[#This Row],[Elevation (SRTM30-m)]]*3.280839895</f>
        <v>214.06299355119262</v>
      </c>
    </row>
    <row r="360" spans="2:9" ht="16" x14ac:dyDescent="0.2">
      <c r="B360" s="90">
        <v>356</v>
      </c>
      <c r="C360" s="91">
        <v>43493</v>
      </c>
      <c r="D360" s="92">
        <v>14.32</v>
      </c>
      <c r="E360" s="51" cm="1">
        <f t="array" ref="E3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81.025656479217602</v>
      </c>
      <c r="F360" s="49" cm="1">
        <f t="array" ref="F3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65.892963868513988</v>
      </c>
      <c r="G360" s="20">
        <f>tbl_Monitoring[[#This Row],[Area (km2)]]/4046.8564224*1000000</f>
        <v>3538.5490626098076</v>
      </c>
      <c r="H360" s="20">
        <f>tbl_Monitoring[[#This Row],[Volume (MCM)]]/1233.4818375475*1000000</f>
        <v>65688.568743191892</v>
      </c>
      <c r="I360" s="40">
        <f>tbl_Monitoring[[#This Row],[Elevation (SRTM30-m)]]*3.280839895</f>
        <v>216.18426465961423</v>
      </c>
    </row>
    <row r="361" spans="2:9" ht="16" x14ac:dyDescent="0.2">
      <c r="B361" s="90">
        <v>357</v>
      </c>
      <c r="C361" s="91">
        <v>43502</v>
      </c>
      <c r="D361" s="92">
        <v>27</v>
      </c>
      <c r="E361" s="51" cm="1">
        <f t="array" ref="E3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175.83677969735183</v>
      </c>
      <c r="F361" s="49" cm="1">
        <f t="array" ref="F3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70.344682639764613</v>
      </c>
      <c r="G361" s="20">
        <f>tbl_Monitoring[[#This Row],[Area (km2)]]/4046.8564224*1000000</f>
        <v>6671.8452996134647</v>
      </c>
      <c r="H361" s="20">
        <f>tbl_Monitoring[[#This Row],[Volume (MCM)]]/1233.4818375475*1000000</f>
        <v>142553.19725417567</v>
      </c>
      <c r="I361" s="40">
        <f>tbl_Monitoring[[#This Row],[Elevation (SRTM30-m)]]*3.280839895</f>
        <v>230.78964120565368</v>
      </c>
    </row>
    <row r="362" spans="2:9" ht="16" x14ac:dyDescent="0.2">
      <c r="B362" s="90">
        <v>358</v>
      </c>
      <c r="C362" s="91">
        <v>43505</v>
      </c>
      <c r="D362" s="92">
        <v>26.16</v>
      </c>
      <c r="E362" s="51" cm="1">
        <f t="array" ref="E3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169.98997011349306</v>
      </c>
      <c r="F362" s="49" cm="1">
        <f t="array" ref="F3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70.148521787866045</v>
      </c>
      <c r="G362" s="20">
        <f>tbl_Monitoring[[#This Row],[Area (km2)]]/4046.8564224*1000000</f>
        <v>6464.2767791810447</v>
      </c>
      <c r="H362" s="20">
        <f>tbl_Monitoring[[#This Row],[Volume (MCM)]]/1233.4818375475*1000000</f>
        <v>137813.11158296396</v>
      </c>
      <c r="I362" s="40">
        <f>tbl_Monitoring[[#This Row],[Elevation (SRTM30-m)]]*3.280839895</f>
        <v>230.14606885690765</v>
      </c>
    </row>
    <row r="363" spans="2:9" ht="16" x14ac:dyDescent="0.2">
      <c r="B363" s="90">
        <v>359</v>
      </c>
      <c r="C363" s="91">
        <v>43510</v>
      </c>
      <c r="D363" s="92">
        <v>26.69</v>
      </c>
      <c r="E363" s="51" cm="1">
        <f t="array" ref="E3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173.67902854140397</v>
      </c>
      <c r="F363" s="49" cm="1">
        <f t="array" ref="F3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70.27228994442109</v>
      </c>
      <c r="G363" s="20">
        <f>tbl_Monitoring[[#This Row],[Area (km2)]]/4046.8564224*1000000</f>
        <v>6595.2426313586429</v>
      </c>
      <c r="H363" s="20">
        <f>tbl_Monitoring[[#This Row],[Volume (MCM)]]/1233.4818375475*1000000</f>
        <v>140803.8799231333</v>
      </c>
      <c r="I363" s="40">
        <f>tbl_Monitoring[[#This Row],[Elevation (SRTM30-m)]]*3.280839895</f>
        <v>230.55213236266405</v>
      </c>
    </row>
    <row r="364" spans="2:9" ht="16" x14ac:dyDescent="0.2">
      <c r="B364" s="90">
        <v>360</v>
      </c>
      <c r="C364" s="91">
        <v>43510</v>
      </c>
      <c r="D364" s="92">
        <v>26.45</v>
      </c>
      <c r="E364" s="51" cm="1">
        <f t="array" ref="E3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172.00851151744428</v>
      </c>
      <c r="F364" s="49" cm="1">
        <f t="array" ref="F3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70.21624398673579</v>
      </c>
      <c r="G364" s="20">
        <f>tbl_Monitoring[[#This Row],[Area (km2)]]/4046.8564224*1000000</f>
        <v>6535.9373398065227</v>
      </c>
      <c r="H364" s="20">
        <f>tbl_Monitoring[[#This Row],[Volume (MCM)]]/1233.4818375475*1000000</f>
        <v>139449.56973135847</v>
      </c>
      <c r="I364" s="40">
        <f>tbl_Monitoring[[#This Row],[Elevation (SRTM30-m)]]*3.280839895</f>
        <v>230.36825454873664</v>
      </c>
    </row>
    <row r="365" spans="2:9" ht="16" x14ac:dyDescent="0.2">
      <c r="B365" s="90">
        <v>361</v>
      </c>
      <c r="C365" s="91">
        <v>43520</v>
      </c>
      <c r="D365" s="92">
        <v>46.64</v>
      </c>
      <c r="E365" s="51" cm="1">
        <f t="array" ref="E3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315.90968565264296</v>
      </c>
      <c r="F365" s="49" cm="1">
        <f t="array" ref="F3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73.981960925326618</v>
      </c>
      <c r="G365" s="20">
        <f>tbl_Monitoring[[#This Row],[Area (km2)]]/4046.8564224*1000000</f>
        <v>11524.994991628591</v>
      </c>
      <c r="H365" s="20">
        <f>tbl_Monitoring[[#This Row],[Volume (MCM)]]/1233.4818375475*1000000</f>
        <v>256112.15020462562</v>
      </c>
      <c r="I365" s="40">
        <f>tbl_Monitoring[[#This Row],[Elevation (SRTM30-m)]]*3.280839895</f>
        <v>242.72296891414268</v>
      </c>
    </row>
    <row r="366" spans="2:9" ht="16" x14ac:dyDescent="0.2">
      <c r="B366" s="90">
        <v>362</v>
      </c>
      <c r="C366" s="91">
        <v>43526</v>
      </c>
      <c r="D366" s="92">
        <v>49.97</v>
      </c>
      <c r="E366" s="51" cm="1">
        <f t="array" ref="E3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339.25679254888348</v>
      </c>
      <c r="F366" s="49" cm="1">
        <f t="array" ref="F3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74.412613932919385</v>
      </c>
      <c r="G366" s="20">
        <f>tbl_Monitoring[[#This Row],[Area (km2)]]/4046.8564224*1000000</f>
        <v>12347.855911914252</v>
      </c>
      <c r="H366" s="20">
        <f>tbl_Monitoring[[#This Row],[Volume (MCM)]]/1233.4818375475*1000000</f>
        <v>275039.9578022316</v>
      </c>
      <c r="I366" s="40">
        <f>tbl_Monitoring[[#This Row],[Elevation (SRTM30-m)]]*3.280839895</f>
        <v>244.13587248235478</v>
      </c>
    </row>
    <row r="367" spans="2:9" ht="16" x14ac:dyDescent="0.2">
      <c r="B367" s="90">
        <v>363</v>
      </c>
      <c r="C367" s="91">
        <v>43530</v>
      </c>
      <c r="D367" s="92">
        <v>63.01</v>
      </c>
      <c r="E367" s="51" cm="1">
        <f t="array" ref="E3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434.193066302619</v>
      </c>
      <c r="F367" s="49" cm="1">
        <f t="array" ref="F3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75.997997148882533</v>
      </c>
      <c r="G367" s="20">
        <f>tbl_Monitoring[[#This Row],[Area (km2)]]/4046.8564224*1000000</f>
        <v>15570.110086246086</v>
      </c>
      <c r="H367" s="20">
        <f>tbl_Monitoring[[#This Row],[Volume (MCM)]]/1233.4818375475*1000000</f>
        <v>352006.04750363721</v>
      </c>
      <c r="I367" s="40">
        <f>tbl_Monitoring[[#This Row],[Elevation (SRTM30-m)]]*3.280839895</f>
        <v>249.33726098615008</v>
      </c>
    </row>
    <row r="368" spans="2:9" ht="16" x14ac:dyDescent="0.2">
      <c r="B368" s="90">
        <v>364</v>
      </c>
      <c r="C368" s="91">
        <v>43534</v>
      </c>
      <c r="D368" s="92">
        <v>60.42</v>
      </c>
      <c r="E368" s="51" cm="1">
        <f t="array" ref="E3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414.96099123104659</v>
      </c>
      <c r="F368" s="49" cm="1">
        <f t="array" ref="F3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75.692856890396925</v>
      </c>
      <c r="G368" s="20">
        <f>tbl_Monitoring[[#This Row],[Area (km2)]]/4046.8564224*1000000</f>
        <v>14930.10714824613</v>
      </c>
      <c r="H368" s="20">
        <f>tbl_Monitoring[[#This Row],[Volume (MCM)]]/1233.4818375475*1000000</f>
        <v>336414.35049915512</v>
      </c>
      <c r="I368" s="40">
        <f>tbl_Monitoring[[#This Row],[Elevation (SRTM30-m)]]*3.280839895</f>
        <v>248.3361446525399</v>
      </c>
    </row>
    <row r="369" spans="2:9" ht="16" x14ac:dyDescent="0.2">
      <c r="B369" s="90">
        <v>365</v>
      </c>
      <c r="C369" s="91">
        <v>43535</v>
      </c>
      <c r="D369" s="92">
        <v>59.85</v>
      </c>
      <c r="E369" s="51" cm="1">
        <f t="array" ref="E3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410.72844961297847</v>
      </c>
      <c r="F369" s="49" cm="1">
        <f t="array" ref="F3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75.62570247057576</v>
      </c>
      <c r="G369" s="20">
        <f>tbl_Monitoring[[#This Row],[Area (km2)]]/4046.8564224*1000000</f>
        <v>14789.257080809844</v>
      </c>
      <c r="H369" s="20">
        <f>tbl_Monitoring[[#This Row],[Volume (MCM)]]/1233.4818375475*1000000</f>
        <v>332982.97316612233</v>
      </c>
      <c r="I369" s="40">
        <f>tbl_Monitoring[[#This Row],[Elevation (SRTM30-m)]]*3.280839895</f>
        <v>248.11582175286503</v>
      </c>
    </row>
    <row r="370" spans="2:9" ht="16" x14ac:dyDescent="0.2">
      <c r="B370" s="90">
        <v>366</v>
      </c>
      <c r="C370" s="91">
        <v>43545</v>
      </c>
      <c r="D370" s="92">
        <v>58.17</v>
      </c>
      <c r="E370" s="51" cm="1">
        <f t="array" ref="E3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398.25359010709366</v>
      </c>
      <c r="F370" s="49" cm="1">
        <f t="array" ref="F3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75.427773654260776</v>
      </c>
      <c r="G370" s="20">
        <f>tbl_Monitoring[[#This Row],[Area (km2)]]/4046.8564224*1000000</f>
        <v>14374.120039945008</v>
      </c>
      <c r="H370" s="20">
        <f>tbl_Monitoring[[#This Row],[Volume (MCM)]]/1233.4818375475*1000000</f>
        <v>322869.43997402582</v>
      </c>
      <c r="I370" s="40">
        <f>tbl_Monitoring[[#This Row],[Elevation (SRTM30-m)]]*3.280839895</f>
        <v>247.46644899592872</v>
      </c>
    </row>
    <row r="371" spans="2:9" ht="16" x14ac:dyDescent="0.2">
      <c r="B371" s="90">
        <v>367</v>
      </c>
      <c r="C371" s="91">
        <v>43550</v>
      </c>
      <c r="D371" s="92">
        <v>62.91</v>
      </c>
      <c r="E371" s="51" cm="1">
        <f t="array" ref="E3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433.45051514155443</v>
      </c>
      <c r="F371" s="49" cm="1">
        <f t="array" ref="F3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75.986215671720913</v>
      </c>
      <c r="G371" s="20">
        <f>tbl_Monitoring[[#This Row],[Area (km2)]]/4046.8564224*1000000</f>
        <v>15545.399548099369</v>
      </c>
      <c r="H371" s="20">
        <f>tbl_Monitoring[[#This Row],[Volume (MCM)]]/1233.4818375475*1000000</f>
        <v>351404.05148029811</v>
      </c>
      <c r="I371" s="40">
        <f>tbl_Monitoring[[#This Row],[Elevation (SRTM30-m)]]*3.280839895</f>
        <v>249.2986078458562</v>
      </c>
    </row>
    <row r="372" spans="2:9" ht="16" x14ac:dyDescent="0.2">
      <c r="B372" s="90">
        <v>368</v>
      </c>
      <c r="C372" s="91">
        <v>43555</v>
      </c>
      <c r="D372" s="92">
        <v>55.99</v>
      </c>
      <c r="E372" s="51" cm="1">
        <f t="array" ref="E3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382.06597479588595</v>
      </c>
      <c r="F372" s="49" cm="1">
        <f t="array" ref="F3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75.17093745213775</v>
      </c>
      <c r="G372" s="20">
        <f>tbl_Monitoring[[#This Row],[Area (km2)]]/4046.8564224*1000000</f>
        <v>13835.430308346587</v>
      </c>
      <c r="H372" s="20">
        <f>tbl_Monitoring[[#This Row],[Volume (MCM)]]/1233.4818375475*1000000</f>
        <v>309745.92666523397</v>
      </c>
      <c r="I372" s="40">
        <f>tbl_Monitoring[[#This Row],[Elevation (SRTM30-m)]]*3.280839895</f>
        <v>246.62381053752318</v>
      </c>
    </row>
    <row r="373" spans="2:9" ht="16" x14ac:dyDescent="0.2">
      <c r="B373" s="90">
        <v>369</v>
      </c>
      <c r="C373" s="91">
        <v>43558</v>
      </c>
      <c r="D373" s="92">
        <v>55.16</v>
      </c>
      <c r="E373" s="51" cm="1">
        <f t="array" ref="E3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375.90280015904995</v>
      </c>
      <c r="F373" s="49" cm="1">
        <f t="array" ref="F3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75.073151191696411</v>
      </c>
      <c r="G373" s="20">
        <f>tbl_Monitoring[[#This Row],[Area (km2)]]/4046.8564224*1000000</f>
        <v>13630.332841728839</v>
      </c>
      <c r="H373" s="20">
        <f>tbl_Monitoring[[#This Row],[Volume (MCM)]]/1233.4818375475*1000000</f>
        <v>304749.35967151955</v>
      </c>
      <c r="I373" s="40">
        <f>tbl_Monitoring[[#This Row],[Elevation (SRTM30-m)]]*3.280839895</f>
        <v>246.30298947308438</v>
      </c>
    </row>
    <row r="374" spans="2:9" ht="16" x14ac:dyDescent="0.2">
      <c r="B374" s="90">
        <v>370</v>
      </c>
      <c r="C374" s="91">
        <v>43560</v>
      </c>
      <c r="D374" s="92">
        <v>55.99</v>
      </c>
      <c r="E374" s="51" cm="1">
        <f t="array" ref="E3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382.06597479588595</v>
      </c>
      <c r="F374" s="49" cm="1">
        <f t="array" ref="F3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75.17093745213775</v>
      </c>
      <c r="G374" s="20">
        <f>tbl_Monitoring[[#This Row],[Area (km2)]]/4046.8564224*1000000</f>
        <v>13835.430308346587</v>
      </c>
      <c r="H374" s="20">
        <f>tbl_Monitoring[[#This Row],[Volume (MCM)]]/1233.4818375475*1000000</f>
        <v>309745.92666523397</v>
      </c>
      <c r="I374" s="40">
        <f>tbl_Monitoring[[#This Row],[Elevation (SRTM30-m)]]*3.280839895</f>
        <v>246.62381053752318</v>
      </c>
    </row>
    <row r="375" spans="2:9" ht="16" x14ac:dyDescent="0.2">
      <c r="B375" s="90">
        <v>371</v>
      </c>
      <c r="C375" s="91">
        <v>43566</v>
      </c>
      <c r="D375" s="92">
        <v>55</v>
      </c>
      <c r="E375" s="51" cm="1">
        <f t="array" ref="E3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374.71471830134664</v>
      </c>
      <c r="F375" s="49" cm="1">
        <f t="array" ref="F3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75.054300828237842</v>
      </c>
      <c r="G375" s="20">
        <f>tbl_Monitoring[[#This Row],[Area (km2)]]/4046.8564224*1000000</f>
        <v>13590.795980694093</v>
      </c>
      <c r="H375" s="20">
        <f>tbl_Monitoring[[#This Row],[Volume (MCM)]]/1233.4818375475*1000000</f>
        <v>303786.16603417706</v>
      </c>
      <c r="I375" s="40">
        <f>tbl_Monitoring[[#This Row],[Elevation (SRTM30-m)]]*3.280839895</f>
        <v>246.24114444861428</v>
      </c>
    </row>
    <row r="376" spans="2:9" ht="16" x14ac:dyDescent="0.2">
      <c r="B376" s="90">
        <v>372</v>
      </c>
      <c r="C376" s="91">
        <v>43570</v>
      </c>
      <c r="D376" s="92">
        <v>56.55</v>
      </c>
      <c r="E376" s="51" cm="1">
        <f t="array" ref="E3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386.22426129784753</v>
      </c>
      <c r="F376" s="49" cm="1">
        <f t="array" ref="F3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75.23691372424274</v>
      </c>
      <c r="G376" s="20">
        <f>tbl_Monitoring[[#This Row],[Area (km2)]]/4046.8564224*1000000</f>
        <v>13973.8093219682</v>
      </c>
      <c r="H376" s="20">
        <f>tbl_Monitoring[[#This Row],[Volume (MCM)]]/1233.4818375475*1000000</f>
        <v>313117.10439593275</v>
      </c>
      <c r="I376" s="40">
        <f>tbl_Monitoring[[#This Row],[Elevation (SRTM30-m)]]*3.280839895</f>
        <v>246.84026812316861</v>
      </c>
    </row>
    <row r="377" spans="2:9" ht="16" x14ac:dyDescent="0.2">
      <c r="B377" s="90">
        <v>373</v>
      </c>
      <c r="C377" s="91">
        <v>43574</v>
      </c>
      <c r="D377" s="92">
        <v>58.79</v>
      </c>
      <c r="E377" s="51" cm="1">
        <f t="array" ref="E3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402.85740730569398</v>
      </c>
      <c r="F377" s="49" cm="1">
        <f t="array" ref="F3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75.500818812662729</v>
      </c>
      <c r="G377" s="20">
        <f>tbl_Monitoring[[#This Row],[Area (km2)]]/4046.8564224*1000000</f>
        <v>14527.32537645465</v>
      </c>
      <c r="H377" s="20">
        <f>tbl_Monitoring[[#This Row],[Volume (MCM)]]/1233.4818375475*1000000</f>
        <v>326601.8153187281</v>
      </c>
      <c r="I377" s="40">
        <f>tbl_Monitoring[[#This Row],[Elevation (SRTM30-m)]]*3.280839895</f>
        <v>247.70609846575042</v>
      </c>
    </row>
    <row r="378" spans="2:9" ht="16" x14ac:dyDescent="0.2">
      <c r="B378" s="90">
        <v>374</v>
      </c>
      <c r="C378" s="91">
        <v>43575</v>
      </c>
      <c r="D378" s="92">
        <v>59.32</v>
      </c>
      <c r="E378" s="51" cm="1">
        <f t="array" ref="E3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406.79292845933622</v>
      </c>
      <c r="F378" s="49" cm="1">
        <f t="array" ref="F3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75.563260641619252</v>
      </c>
      <c r="G378" s="20">
        <f>tbl_Monitoring[[#This Row],[Area (km2)]]/4046.8564224*1000000</f>
        <v>14658.291228632248</v>
      </c>
      <c r="H378" s="20">
        <f>tbl_Monitoring[[#This Row],[Volume (MCM)]]/1233.4818375475*1000000</f>
        <v>329792.39424242522</v>
      </c>
      <c r="I378" s="40">
        <f>tbl_Monitoring[[#This Row],[Elevation (SRTM30-m)]]*3.280839895</f>
        <v>247.91096010930775</v>
      </c>
    </row>
    <row r="379" spans="2:9" ht="16" x14ac:dyDescent="0.2">
      <c r="B379" s="90">
        <v>375</v>
      </c>
      <c r="C379" s="91">
        <v>43580</v>
      </c>
      <c r="D379" s="92">
        <v>59.82</v>
      </c>
      <c r="E379" s="51" cm="1">
        <f t="array" ref="E3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410.50568426465912</v>
      </c>
      <c r="F379" s="49" cm="1">
        <f t="array" ref="F3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75.622168027427279</v>
      </c>
      <c r="G379" s="20">
        <f>tbl_Monitoring[[#This Row],[Area (km2)]]/4046.8564224*1000000</f>
        <v>14781.843919365831</v>
      </c>
      <c r="H379" s="20">
        <f>tbl_Monitoring[[#This Row],[Volume (MCM)]]/1233.4818375475*1000000</f>
        <v>332802.37435912061</v>
      </c>
      <c r="I379" s="40">
        <f>tbl_Monitoring[[#This Row],[Elevation (SRTM30-m)]]*3.280839895</f>
        <v>248.10422581077688</v>
      </c>
    </row>
    <row r="380" spans="2:9" ht="16" x14ac:dyDescent="0.2">
      <c r="B380" s="90">
        <v>376</v>
      </c>
      <c r="C380" s="91">
        <v>43582</v>
      </c>
      <c r="D380" s="92">
        <v>59.24</v>
      </c>
      <c r="E380" s="51" cm="1">
        <f t="array" ref="E3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406.19888753048463</v>
      </c>
      <c r="F380" s="49" cm="1">
        <f t="array" ref="F3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75.553835459889967</v>
      </c>
      <c r="G380" s="20">
        <f>tbl_Monitoring[[#This Row],[Area (km2)]]/4046.8564224*1000000</f>
        <v>14638.522798114876</v>
      </c>
      <c r="H380" s="20">
        <f>tbl_Monitoring[[#This Row],[Volume (MCM)]]/1233.4818375475*1000000</f>
        <v>329310.797423754</v>
      </c>
      <c r="I380" s="40">
        <f>tbl_Monitoring[[#This Row],[Elevation (SRTM30-m)]]*3.280839895</f>
        <v>247.88003759707269</v>
      </c>
    </row>
    <row r="381" spans="2:9" ht="16" x14ac:dyDescent="0.2">
      <c r="B381" s="90">
        <v>377</v>
      </c>
      <c r="C381" s="91">
        <v>43585</v>
      </c>
      <c r="D381" s="92">
        <v>58.54</v>
      </c>
      <c r="E381" s="51" cm="1">
        <f t="array" ref="E3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401.00102940303253</v>
      </c>
      <c r="F381" s="49" cm="1">
        <f t="array" ref="F3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75.471365119758715</v>
      </c>
      <c r="G381" s="20">
        <f>tbl_Monitoring[[#This Row],[Area (km2)]]/4046.8564224*1000000</f>
        <v>14465.549031087859</v>
      </c>
      <c r="H381" s="20">
        <f>tbl_Monitoring[[#This Row],[Volume (MCM)]]/1233.4818375475*1000000</f>
        <v>325096.8252603804</v>
      </c>
      <c r="I381" s="40">
        <f>tbl_Monitoring[[#This Row],[Elevation (SRTM30-m)]]*3.280839895</f>
        <v>247.60946561501586</v>
      </c>
    </row>
    <row r="382" spans="2:9" ht="16" x14ac:dyDescent="0.2">
      <c r="B382" s="90">
        <v>378</v>
      </c>
      <c r="C382" s="91">
        <v>43590</v>
      </c>
      <c r="D382" s="92">
        <v>57.14</v>
      </c>
      <c r="E382" s="51" cm="1">
        <f t="array" ref="E3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390.60531314812852</v>
      </c>
      <c r="F382" s="49" cm="1">
        <f t="array" ref="F3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75.306424439496226</v>
      </c>
      <c r="G382" s="20">
        <f>tbl_Monitoring[[#This Row],[Area (km2)]]/4046.8564224*1000000</f>
        <v>14119.601497033827</v>
      </c>
      <c r="H382" s="20">
        <f>tbl_Monitoring[[#This Row],[Volume (MCM)]]/1233.4818375475*1000000</f>
        <v>316668.88093363331</v>
      </c>
      <c r="I382" s="40">
        <f>tbl_Monitoring[[#This Row],[Elevation (SRTM30-m)]]*3.280839895</f>
        <v>247.06832165090225</v>
      </c>
    </row>
    <row r="383" spans="2:9" ht="16" x14ac:dyDescent="0.2">
      <c r="B383" s="90">
        <v>379</v>
      </c>
      <c r="C383" s="91">
        <v>43590</v>
      </c>
      <c r="D383" s="92">
        <v>57.71</v>
      </c>
      <c r="E383" s="51" cm="1">
        <f t="array" ref="E3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394.83785476619659</v>
      </c>
      <c r="F383" s="49" cm="1">
        <f t="array" ref="F3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75.373578859317377</v>
      </c>
      <c r="G383" s="20">
        <f>tbl_Monitoring[[#This Row],[Area (km2)]]/4046.8564224*1000000</f>
        <v>14260.451564470111</v>
      </c>
      <c r="H383" s="20">
        <f>tbl_Monitoring[[#This Row],[Volume (MCM)]]/1233.4818375475*1000000</f>
        <v>320100.25826666609</v>
      </c>
      <c r="I383" s="40">
        <f>tbl_Monitoring[[#This Row],[Elevation (SRTM30-m)]]*3.280839895</f>
        <v>247.28864455057706</v>
      </c>
    </row>
    <row r="384" spans="2:9" ht="16" x14ac:dyDescent="0.2">
      <c r="B384" s="90">
        <v>380</v>
      </c>
      <c r="C384" s="91">
        <v>43595</v>
      </c>
      <c r="D384" s="92">
        <v>57.7</v>
      </c>
      <c r="E384" s="51" cm="1">
        <f t="array" ref="E3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394.76359965009016</v>
      </c>
      <c r="F384" s="49" cm="1">
        <f t="array" ref="F3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75.372400711601216</v>
      </c>
      <c r="G384" s="20">
        <f>tbl_Monitoring[[#This Row],[Area (km2)]]/4046.8564224*1000000</f>
        <v>14257.98051065544</v>
      </c>
      <c r="H384" s="20">
        <f>tbl_Monitoring[[#This Row],[Volume (MCM)]]/1233.4818375475*1000000</f>
        <v>320040.0586643322</v>
      </c>
      <c r="I384" s="40">
        <f>tbl_Monitoring[[#This Row],[Elevation (SRTM30-m)]]*3.280839895</f>
        <v>247.28477923654768</v>
      </c>
    </row>
    <row r="385" spans="2:9" ht="16" x14ac:dyDescent="0.2">
      <c r="B385" s="90">
        <v>381</v>
      </c>
      <c r="C385" s="91">
        <v>43598</v>
      </c>
      <c r="D385" s="92">
        <v>57.78</v>
      </c>
      <c r="E385" s="51" cm="1">
        <f t="array" ref="E3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395.35764057894181</v>
      </c>
      <c r="F385" s="49" cm="1">
        <f t="array" ref="F3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75.3818258933305</v>
      </c>
      <c r="G385" s="20">
        <f>tbl_Monitoring[[#This Row],[Area (km2)]]/4046.8564224*1000000</f>
        <v>14277.748941172813</v>
      </c>
      <c r="H385" s="20">
        <f>tbl_Monitoring[[#This Row],[Volume (MCM)]]/1233.4818375475*1000000</f>
        <v>320521.65548300341</v>
      </c>
      <c r="I385" s="40">
        <f>tbl_Monitoring[[#This Row],[Elevation (SRTM30-m)]]*3.280839895</f>
        <v>247.31570174878274</v>
      </c>
    </row>
    <row r="386" spans="2:9" ht="16" x14ac:dyDescent="0.2">
      <c r="B386" s="90">
        <v>382</v>
      </c>
      <c r="C386" s="91">
        <v>43600</v>
      </c>
      <c r="D386" s="92">
        <v>57.66</v>
      </c>
      <c r="E386" s="51" cm="1">
        <f t="array" ref="E3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394.46657918566427</v>
      </c>
      <c r="F386" s="49" cm="1">
        <f t="array" ref="F3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75.367688120736574</v>
      </c>
      <c r="G386" s="20">
        <f>tbl_Monitoring[[#This Row],[Area (km2)]]/4046.8564224*1000000</f>
        <v>14248.096295396752</v>
      </c>
      <c r="H386" s="20">
        <f>tbl_Monitoring[[#This Row],[Volume (MCM)]]/1233.4818375475*1000000</f>
        <v>319799.26025499648</v>
      </c>
      <c r="I386" s="40">
        <f>tbl_Monitoring[[#This Row],[Elevation (SRTM30-m)]]*3.280839895</f>
        <v>247.26931798043015</v>
      </c>
    </row>
    <row r="387" spans="2:9" ht="16" x14ac:dyDescent="0.2">
      <c r="B387" s="90">
        <v>383</v>
      </c>
      <c r="C387" s="91">
        <v>43606</v>
      </c>
      <c r="D387" s="92">
        <v>61.28</v>
      </c>
      <c r="E387" s="51" cm="1">
        <f t="array" ref="E3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421.34693121620188</v>
      </c>
      <c r="F387" s="49" cm="1">
        <f t="array" ref="F3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75.794177593986731</v>
      </c>
      <c r="G387" s="20">
        <f>tbl_Monitoring[[#This Row],[Area (km2)]]/4046.8564224*1000000</f>
        <v>15142.617776307892</v>
      </c>
      <c r="H387" s="20">
        <f>tbl_Monitoring[[#This Row],[Volume (MCM)]]/1233.4818375475*1000000</f>
        <v>341591.51629987115</v>
      </c>
      <c r="I387" s="40">
        <f>tbl_Monitoring[[#This Row],[Elevation (SRTM30-m)]]*3.280839895</f>
        <v>248.6685616590668</v>
      </c>
    </row>
    <row r="388" spans="2:9" ht="16" x14ac:dyDescent="0.2">
      <c r="B388" s="90">
        <v>384</v>
      </c>
      <c r="C388" s="91">
        <v>43610</v>
      </c>
      <c r="D388" s="92">
        <v>59.69</v>
      </c>
      <c r="E388" s="51" cm="1">
        <f t="array" ref="E3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409.54036775527516</v>
      </c>
      <c r="F388" s="49" cm="1">
        <f t="array" ref="F3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75.606852107117192</v>
      </c>
      <c r="G388" s="20">
        <f>tbl_Monitoring[[#This Row],[Area (km2)]]/4046.8564224*1000000</f>
        <v>14749.720219775098</v>
      </c>
      <c r="H388" s="20">
        <f>tbl_Monitoring[[#This Row],[Volume (MCM)]]/1233.4818375475*1000000</f>
        <v>332019.77952877979</v>
      </c>
      <c r="I388" s="40">
        <f>tbl_Monitoring[[#This Row],[Elevation (SRTM30-m)]]*3.280839895</f>
        <v>248.0539767283949</v>
      </c>
    </row>
    <row r="389" spans="2:9" ht="16" x14ac:dyDescent="0.2">
      <c r="B389" s="90">
        <v>385</v>
      </c>
      <c r="C389" s="91">
        <v>43614</v>
      </c>
      <c r="D389" s="92">
        <v>58.91</v>
      </c>
      <c r="E389" s="51" cm="1">
        <f t="array" ref="E3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403.74846869897146</v>
      </c>
      <c r="F389" s="49" cm="1">
        <f t="array" ref="F3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75.514956585256655</v>
      </c>
      <c r="G389" s="20">
        <f>tbl_Monitoring[[#This Row],[Area (km2)]]/4046.8564224*1000000</f>
        <v>14556.978022230709</v>
      </c>
      <c r="H389" s="20">
        <f>tbl_Monitoring[[#This Row],[Volume (MCM)]]/1233.4818375475*1000000</f>
        <v>327324.21054673498</v>
      </c>
      <c r="I389" s="40">
        <f>tbl_Monitoring[[#This Row],[Elevation (SRTM30-m)]]*3.280839895</f>
        <v>247.75248223410301</v>
      </c>
    </row>
    <row r="390" spans="2:9" ht="16" x14ac:dyDescent="0.2">
      <c r="B390" s="90">
        <v>386</v>
      </c>
      <c r="C390" s="91">
        <v>43615</v>
      </c>
      <c r="D390" s="92">
        <v>58.69</v>
      </c>
      <c r="E390" s="51" cm="1">
        <f t="array" ref="E3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402.11485614462941</v>
      </c>
      <c r="F390" s="49" cm="1">
        <f t="array" ref="F3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75.489037335501123</v>
      </c>
      <c r="G390" s="20">
        <f>tbl_Monitoring[[#This Row],[Area (km2)]]/4046.8564224*1000000</f>
        <v>14502.614838307933</v>
      </c>
      <c r="H390" s="20">
        <f>tbl_Monitoring[[#This Row],[Volume (MCM)]]/1233.4818375475*1000000</f>
        <v>325999.81929538905</v>
      </c>
      <c r="I390" s="40">
        <f>tbl_Monitoring[[#This Row],[Elevation (SRTM30-m)]]*3.280839895</f>
        <v>247.66744532545661</v>
      </c>
    </row>
    <row r="391" spans="2:9" ht="16" x14ac:dyDescent="0.2">
      <c r="B391" s="90">
        <v>387</v>
      </c>
      <c r="C391" s="91">
        <v>43620</v>
      </c>
      <c r="D391" s="92">
        <v>58.1</v>
      </c>
      <c r="E391" s="51" cm="1">
        <f t="array" ref="E3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397.73380429434843</v>
      </c>
      <c r="F391" s="49" cm="1">
        <f t="array" ref="F3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75.419526620247652</v>
      </c>
      <c r="G391" s="20">
        <f>tbl_Monitoring[[#This Row],[Area (km2)]]/4046.8564224*1000000</f>
        <v>14356.822663242307</v>
      </c>
      <c r="H391" s="20">
        <f>tbl_Monitoring[[#This Row],[Volume (MCM)]]/1233.4818375475*1000000</f>
        <v>322448.0427576885</v>
      </c>
      <c r="I391" s="40">
        <f>tbl_Monitoring[[#This Row],[Elevation (SRTM30-m)]]*3.280839895</f>
        <v>247.43939179772303</v>
      </c>
    </row>
    <row r="392" spans="2:9" ht="16" x14ac:dyDescent="0.2">
      <c r="B392" s="90">
        <v>388</v>
      </c>
      <c r="C392" s="91">
        <v>43622</v>
      </c>
      <c r="D392" s="92">
        <v>57.37</v>
      </c>
      <c r="E392" s="51" cm="1">
        <f t="array" ref="E3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392.31318081857705</v>
      </c>
      <c r="F392" s="49" cm="1">
        <f t="array" ref="F3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75.333521836967918</v>
      </c>
      <c r="G392" s="20">
        <f>tbl_Monitoring[[#This Row],[Area (km2)]]/4046.8564224*1000000</f>
        <v>14176.435734771274</v>
      </c>
      <c r="H392" s="20">
        <f>tbl_Monitoring[[#This Row],[Volume (MCM)]]/1233.4818375475*1000000</f>
        <v>318053.47178731323</v>
      </c>
      <c r="I392" s="40">
        <f>tbl_Monitoring[[#This Row],[Elevation (SRTM30-m)]]*3.280839895</f>
        <v>247.15722387357803</v>
      </c>
    </row>
    <row r="393" spans="2:9" ht="16" x14ac:dyDescent="0.2">
      <c r="B393" s="90">
        <v>389</v>
      </c>
      <c r="C393" s="91">
        <v>43625</v>
      </c>
      <c r="D393" s="92">
        <v>57.5</v>
      </c>
      <c r="E393" s="51" cm="1">
        <f t="array" ref="E3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393.27849732796102</v>
      </c>
      <c r="F393" s="49" cm="1">
        <f t="array" ref="F3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75.348837757278005</v>
      </c>
      <c r="G393" s="20">
        <f>tbl_Monitoring[[#This Row],[Area (km2)]]/4046.8564224*1000000</f>
        <v>14208.559434362007</v>
      </c>
      <c r="H393" s="20">
        <f>tbl_Monitoring[[#This Row],[Volume (MCM)]]/1233.4818375475*1000000</f>
        <v>318836.06661765405</v>
      </c>
      <c r="I393" s="40">
        <f>tbl_Monitoring[[#This Row],[Elevation (SRTM30-m)]]*3.280839895</f>
        <v>247.20747295596001</v>
      </c>
    </row>
    <row r="394" spans="2:9" ht="16" x14ac:dyDescent="0.2">
      <c r="B394" s="90">
        <v>390</v>
      </c>
      <c r="C394" s="91">
        <v>43630</v>
      </c>
      <c r="D394" s="92">
        <v>56.87</v>
      </c>
      <c r="E394" s="51" cm="1">
        <f t="array" ref="E3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388.60042501325415</v>
      </c>
      <c r="F394" s="49" cm="1">
        <f t="array" ref="F3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75.274614451159891</v>
      </c>
      <c r="G394" s="20">
        <f>tbl_Monitoring[[#This Row],[Area (km2)]]/4046.8564224*1000000</f>
        <v>14052.883044037691</v>
      </c>
      <c r="H394" s="20">
        <f>tbl_Monitoring[[#This Row],[Volume (MCM)]]/1233.4818375475*1000000</f>
        <v>315043.49167061778</v>
      </c>
      <c r="I394" s="40">
        <f>tbl_Monitoring[[#This Row],[Elevation (SRTM30-m)]]*3.280839895</f>
        <v>246.9639581721089</v>
      </c>
    </row>
    <row r="395" spans="2:9" ht="16" x14ac:dyDescent="0.2">
      <c r="B395" s="90">
        <v>391</v>
      </c>
      <c r="C395" s="91">
        <v>43630</v>
      </c>
      <c r="D395" s="92">
        <v>56.82</v>
      </c>
      <c r="E395" s="51" cm="1">
        <f t="array" ref="E3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388.2291494327219</v>
      </c>
      <c r="F395" s="49" cm="1">
        <f t="array" ref="F3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75.268723712579089</v>
      </c>
      <c r="G395" s="20">
        <f>tbl_Monitoring[[#This Row],[Area (km2)]]/4046.8564224*1000000</f>
        <v>14040.527774964334</v>
      </c>
      <c r="H395" s="20">
        <f>tbl_Monitoring[[#This Row],[Volume (MCM)]]/1233.4818375475*1000000</f>
        <v>314742.49365894828</v>
      </c>
      <c r="I395" s="40">
        <f>tbl_Monitoring[[#This Row],[Elevation (SRTM30-m)]]*3.280839895</f>
        <v>246.94463160196199</v>
      </c>
    </row>
    <row r="396" spans="2:9" ht="16" x14ac:dyDescent="0.2">
      <c r="B396" s="90">
        <v>392</v>
      </c>
      <c r="C396" s="91">
        <v>43635</v>
      </c>
      <c r="D396" s="92">
        <v>56.42</v>
      </c>
      <c r="E396" s="51" cm="1">
        <f t="array" ref="E3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385.25894478846362</v>
      </c>
      <c r="F396" s="49" cm="1">
        <f t="array" ref="F3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75.221597803932653</v>
      </c>
      <c r="G396" s="20">
        <f>tbl_Monitoring[[#This Row],[Area (km2)]]/4046.8564224*1000000</f>
        <v>13941.685622377468</v>
      </c>
      <c r="H396" s="20">
        <f>tbl_Monitoring[[#This Row],[Volume (MCM)]]/1233.4818375475*1000000</f>
        <v>312334.50956559199</v>
      </c>
      <c r="I396" s="40">
        <f>tbl_Monitoring[[#This Row],[Elevation (SRTM30-m)]]*3.280839895</f>
        <v>246.79001904078666</v>
      </c>
    </row>
    <row r="397" spans="2:9" ht="16" x14ac:dyDescent="0.2">
      <c r="B397" s="90">
        <v>393</v>
      </c>
      <c r="C397" s="91">
        <v>43640</v>
      </c>
      <c r="D397" s="92">
        <v>55.96</v>
      </c>
      <c r="E397" s="51" cm="1">
        <f t="array" ref="E3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381.84320944756655</v>
      </c>
      <c r="F397" s="49" cm="1">
        <f t="array" ref="F3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75.167403008989268</v>
      </c>
      <c r="G397" s="20">
        <f>tbl_Monitoring[[#This Row],[Area (km2)]]/4046.8564224*1000000</f>
        <v>13828.017146902572</v>
      </c>
      <c r="H397" s="20">
        <f>tbl_Monitoring[[#This Row],[Volume (MCM)]]/1233.4818375475*1000000</f>
        <v>309565.32785823219</v>
      </c>
      <c r="I397" s="40">
        <f>tbl_Monitoring[[#This Row],[Elevation (SRTM30-m)]]*3.280839895</f>
        <v>246.61221459543503</v>
      </c>
    </row>
    <row r="398" spans="2:9" ht="16" x14ac:dyDescent="0.2">
      <c r="B398" s="90">
        <v>394</v>
      </c>
      <c r="C398" s="91">
        <v>43645</v>
      </c>
      <c r="D398" s="92">
        <v>55.45</v>
      </c>
      <c r="E398" s="51" cm="1">
        <f t="array" ref="E3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378.05619852613728</v>
      </c>
      <c r="F398" s="49" cm="1">
        <f t="array" ref="F3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75.107317475465081</v>
      </c>
      <c r="G398" s="20">
        <f>tbl_Monitoring[[#This Row],[Area (km2)]]/4046.8564224*1000000</f>
        <v>13701.993402354319</v>
      </c>
      <c r="H398" s="20">
        <f>tbl_Monitoring[[#This Row],[Volume (MCM)]]/1233.4818375475*1000000</f>
        <v>306495.14813920297</v>
      </c>
      <c r="I398" s="40">
        <f>tbl_Monitoring[[#This Row],[Elevation (SRTM30-m)]]*3.280839895</f>
        <v>246.41508357993652</v>
      </c>
    </row>
    <row r="399" spans="2:9" ht="16" x14ac:dyDescent="0.2">
      <c r="B399" s="90">
        <v>395</v>
      </c>
      <c r="C399" s="91">
        <v>43646</v>
      </c>
      <c r="D399" s="92">
        <v>55.68</v>
      </c>
      <c r="E399" s="51" cm="1">
        <f t="array" ref="E3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379.76406619658576</v>
      </c>
      <c r="F399" s="49" cm="1">
        <f t="array" ref="F3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75.134414872936773</v>
      </c>
      <c r="G399" s="20">
        <f>tbl_Monitoring[[#This Row],[Area (km2)]]/4046.8564224*1000000</f>
        <v>13758.827640091766</v>
      </c>
      <c r="H399" s="20">
        <f>tbl_Monitoring[[#This Row],[Volume (MCM)]]/1233.4818375475*1000000</f>
        <v>307879.73899288278</v>
      </c>
      <c r="I399" s="40">
        <f>tbl_Monitoring[[#This Row],[Elevation (SRTM30-m)]]*3.280839895</f>
        <v>246.50398580261233</v>
      </c>
    </row>
    <row r="400" spans="2:9" ht="16" x14ac:dyDescent="0.2">
      <c r="B400" s="90">
        <v>396</v>
      </c>
      <c r="C400" s="91">
        <v>43650</v>
      </c>
      <c r="D400" s="92">
        <v>55.61</v>
      </c>
      <c r="E400" s="51" cm="1">
        <f t="array" ref="E4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379.24428038384053</v>
      </c>
      <c r="F400" s="49" cm="1">
        <f t="array" ref="F4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75.126167838923649</v>
      </c>
      <c r="G400" s="20">
        <f>tbl_Monitoring[[#This Row],[Area (km2)]]/4046.8564224*1000000</f>
        <v>13741.530263389064</v>
      </c>
      <c r="H400" s="20">
        <f>tbl_Monitoring[[#This Row],[Volume (MCM)]]/1233.4818375475*1000000</f>
        <v>307458.34177654545</v>
      </c>
      <c r="I400" s="40">
        <f>tbl_Monitoring[[#This Row],[Elevation (SRTM30-m)]]*3.280839895</f>
        <v>246.47692860440665</v>
      </c>
    </row>
    <row r="401" spans="2:9" ht="16" x14ac:dyDescent="0.2">
      <c r="B401" s="90">
        <v>397</v>
      </c>
      <c r="C401" s="91">
        <v>43654</v>
      </c>
      <c r="D401" s="92">
        <v>54.29</v>
      </c>
      <c r="E401" s="51" cm="1">
        <f t="array" ref="E4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369.54577554090019</v>
      </c>
      <c r="F401" s="49" cm="1">
        <f t="array" ref="F4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74.967976654196718</v>
      </c>
      <c r="G401" s="20">
        <f>tbl_Monitoring[[#This Row],[Area (km2)]]/4046.8564224*1000000</f>
        <v>13415.351159852406</v>
      </c>
      <c r="H401" s="20">
        <f>tbl_Monitoring[[#This Row],[Volume (MCM)]]/1233.4818375475*1000000</f>
        <v>299595.63594033819</v>
      </c>
      <c r="I401" s="40">
        <f>tbl_Monitoring[[#This Row],[Elevation (SRTM30-m)]]*3.280839895</f>
        <v>245.95792865451722</v>
      </c>
    </row>
    <row r="402" spans="2:9" ht="16" x14ac:dyDescent="0.2">
      <c r="B402" s="90">
        <v>398</v>
      </c>
      <c r="C402" s="91">
        <v>43655</v>
      </c>
      <c r="D402" s="92">
        <v>53.92</v>
      </c>
      <c r="E402" s="51" cm="1">
        <f t="array" ref="E4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366.95158023834318</v>
      </c>
      <c r="F402" s="49" cm="1">
        <f t="array" ref="F4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74.920410865568797</v>
      </c>
      <c r="G402" s="20">
        <f>tbl_Monitoring[[#This Row],[Area (km2)]]/4046.8564224*1000000</f>
        <v>13323.922168709556</v>
      </c>
      <c r="H402" s="20">
        <f>tbl_Monitoring[[#This Row],[Volume (MCM)]]/1233.4818375475*1000000</f>
        <v>297492.48758128739</v>
      </c>
      <c r="I402" s="40">
        <f>tbl_Monitoring[[#This Row],[Elevation (SRTM30-m)]]*3.280839895</f>
        <v>245.80187291754962</v>
      </c>
    </row>
    <row r="403" spans="2:9" ht="16" x14ac:dyDescent="0.2">
      <c r="B403" s="90">
        <v>399</v>
      </c>
      <c r="C403" s="91">
        <v>43665</v>
      </c>
      <c r="D403" s="92">
        <v>52.7</v>
      </c>
      <c r="E403" s="51" cm="1">
        <f t="array" ref="E4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358.39774707856071</v>
      </c>
      <c r="F403" s="49" cm="1">
        <f t="array" ref="F4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74.763572319282147</v>
      </c>
      <c r="G403" s="20">
        <f>tbl_Monitoring[[#This Row],[Area (km2)]]/4046.8564224*1000000</f>
        <v>13022.453603319615</v>
      </c>
      <c r="H403" s="20">
        <f>tbl_Monitoring[[#This Row],[Volume (MCM)]]/1233.4818375475*1000000</f>
        <v>290557.78218117397</v>
      </c>
      <c r="I403" s="40">
        <f>tbl_Monitoring[[#This Row],[Elevation (SRTM30-m)]]*3.280839895</f>
        <v>245.28731075781855</v>
      </c>
    </row>
    <row r="404" spans="2:9" ht="16" x14ac:dyDescent="0.2">
      <c r="B404" s="90">
        <v>400</v>
      </c>
      <c r="C404" s="91">
        <v>43678</v>
      </c>
      <c r="D404" s="92">
        <v>53.14</v>
      </c>
      <c r="E404" s="51" cm="1">
        <f t="array" ref="E4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361.48273608700686</v>
      </c>
      <c r="F404" s="49" cm="1">
        <f t="array" ref="F4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74.820137040893727</v>
      </c>
      <c r="G404" s="20">
        <f>tbl_Monitoring[[#This Row],[Area (km2)]]/4046.8564224*1000000</f>
        <v>13131.179971165166</v>
      </c>
      <c r="H404" s="20">
        <f>tbl_Monitoring[[#This Row],[Volume (MCM)]]/1233.4818375475*1000000</f>
        <v>293058.82347301813</v>
      </c>
      <c r="I404" s="40">
        <f>tbl_Monitoring[[#This Row],[Elevation (SRTM30-m)]]*3.280839895</f>
        <v>245.47289055313141</v>
      </c>
    </row>
    <row r="405" spans="2:9" ht="16" x14ac:dyDescent="0.2">
      <c r="B405" s="90">
        <v>401</v>
      </c>
      <c r="C405" s="91">
        <v>43680</v>
      </c>
      <c r="D405" s="92">
        <v>56.86</v>
      </c>
      <c r="E405" s="51" cm="1">
        <f t="array" ref="E4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388.52616989714772</v>
      </c>
      <c r="F405" s="49" cm="1">
        <f t="array" ref="F4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75.273436303443731</v>
      </c>
      <c r="G405" s="20">
        <f>tbl_Monitoring[[#This Row],[Area (km2)]]/4046.8564224*1000000</f>
        <v>14050.41199022302</v>
      </c>
      <c r="H405" s="20">
        <f>tbl_Monitoring[[#This Row],[Volume (MCM)]]/1233.4818375475*1000000</f>
        <v>314983.29206828389</v>
      </c>
      <c r="I405" s="40">
        <f>tbl_Monitoring[[#This Row],[Elevation (SRTM30-m)]]*3.280839895</f>
        <v>246.96009285807952</v>
      </c>
    </row>
    <row r="406" spans="2:9" ht="16" x14ac:dyDescent="0.2">
      <c r="B406" s="90">
        <v>402</v>
      </c>
      <c r="C406" s="91">
        <v>43686</v>
      </c>
      <c r="D406" s="92">
        <v>57.19</v>
      </c>
      <c r="E406" s="51" cm="1">
        <f t="array" ref="E4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390.97658872866077</v>
      </c>
      <c r="F406" s="49" cm="1">
        <f t="array" ref="F4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75.312315178077029</v>
      </c>
      <c r="G406" s="20">
        <f>tbl_Monitoring[[#This Row],[Area (km2)]]/4046.8564224*1000000</f>
        <v>14131.956766107183</v>
      </c>
      <c r="H406" s="20">
        <f>tbl_Monitoring[[#This Row],[Volume (MCM)]]/1233.4818375475*1000000</f>
        <v>316969.87894530286</v>
      </c>
      <c r="I406" s="40">
        <f>tbl_Monitoring[[#This Row],[Elevation (SRTM30-m)]]*3.280839895</f>
        <v>247.08764822104916</v>
      </c>
    </row>
    <row r="407" spans="2:9" ht="16" x14ac:dyDescent="0.2">
      <c r="B407" s="90">
        <v>403</v>
      </c>
      <c r="C407" s="91">
        <v>43690</v>
      </c>
      <c r="D407" s="92">
        <v>54.11</v>
      </c>
      <c r="E407" s="51" cm="1">
        <f t="array" ref="E4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368.28373458289946</v>
      </c>
      <c r="F407" s="49" cm="1">
        <f t="array" ref="F4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74.944836540810158</v>
      </c>
      <c r="G407" s="20">
        <f>tbl_Monitoring[[#This Row],[Area (km2)]]/4046.8564224*1000000</f>
        <v>13370.872191188317</v>
      </c>
      <c r="H407" s="20">
        <f>tbl_Monitoring[[#This Row],[Volume (MCM)]]/1233.4818375475*1000000</f>
        <v>298572.48268458375</v>
      </c>
      <c r="I407" s="40">
        <f>tbl_Monitoring[[#This Row],[Elevation (SRTM30-m)]]*3.280839895</f>
        <v>245.88200964734378</v>
      </c>
    </row>
    <row r="408" spans="2:9" ht="16" x14ac:dyDescent="0.2">
      <c r="B408" s="90">
        <v>404</v>
      </c>
      <c r="C408" s="91">
        <v>43694</v>
      </c>
      <c r="D408" s="92">
        <v>54.3</v>
      </c>
      <c r="E408" s="51" cm="1">
        <f t="array" ref="E4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369.61588892745573</v>
      </c>
      <c r="F408" s="49" cm="1">
        <f t="array" ref="F4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74.969262216051519</v>
      </c>
      <c r="G408" s="20">
        <f>tbl_Monitoring[[#This Row],[Area (km2)]]/4046.8564224*1000000</f>
        <v>13417.822213667076</v>
      </c>
      <c r="H408" s="20">
        <f>tbl_Monitoring[[#This Row],[Volume (MCM)]]/1233.4818375475*1000000</f>
        <v>299652.47778788005</v>
      </c>
      <c r="I408" s="40">
        <f>tbl_Monitoring[[#This Row],[Elevation (SRTM30-m)]]*3.280839895</f>
        <v>245.96214637713794</v>
      </c>
    </row>
    <row r="409" spans="2:9" ht="16" x14ac:dyDescent="0.2">
      <c r="B409" s="90">
        <v>405</v>
      </c>
      <c r="C409" s="91">
        <v>43695</v>
      </c>
      <c r="D409" s="92">
        <v>53.55</v>
      </c>
      <c r="E409" s="51" cm="1">
        <f t="array" ref="E4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364.35738493578617</v>
      </c>
      <c r="F409" s="49" cm="1">
        <f t="array" ref="F4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74.872845076940877</v>
      </c>
      <c r="G409" s="20">
        <f>tbl_Monitoring[[#This Row],[Area (km2)]]/4046.8564224*1000000</f>
        <v>13232.493177566703</v>
      </c>
      <c r="H409" s="20">
        <f>tbl_Monitoring[[#This Row],[Volume (MCM)]]/1233.4818375475*1000000</f>
        <v>295389.33922223659</v>
      </c>
      <c r="I409" s="40">
        <f>tbl_Monitoring[[#This Row],[Elevation (SRTM30-m)]]*3.280839895</f>
        <v>245.64581718058199</v>
      </c>
    </row>
    <row r="410" spans="2:9" ht="16" x14ac:dyDescent="0.2">
      <c r="B410" s="90">
        <v>406</v>
      </c>
      <c r="C410" s="91">
        <v>43700</v>
      </c>
      <c r="D410" s="92">
        <v>52.6</v>
      </c>
      <c r="E410" s="51" cm="1">
        <f t="array" ref="E4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357.69661321300475</v>
      </c>
      <c r="F410" s="49" cm="1">
        <f t="array" ref="F4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74.75071670073406</v>
      </c>
      <c r="G410" s="20">
        <f>tbl_Monitoring[[#This Row],[Area (km2)]]/4046.8564224*1000000</f>
        <v>12997.743065172897</v>
      </c>
      <c r="H410" s="20">
        <f>tbl_Monitoring[[#This Row],[Volume (MCM)]]/1233.4818375475*1000000</f>
        <v>289989.36370575486</v>
      </c>
      <c r="I410" s="40">
        <f>tbl_Monitoring[[#This Row],[Elevation (SRTM30-m)]]*3.280839895</f>
        <v>245.24513353161109</v>
      </c>
    </row>
    <row r="411" spans="2:9" ht="16" x14ac:dyDescent="0.2">
      <c r="B411" s="90">
        <v>407</v>
      </c>
      <c r="C411" s="91">
        <v>43702</v>
      </c>
      <c r="D411" s="92">
        <v>53.15</v>
      </c>
      <c r="E411" s="51" cm="1">
        <f t="array" ref="E4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361.55284947356245</v>
      </c>
      <c r="F411" s="49" cm="1">
        <f t="array" ref="F4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74.821422602748527</v>
      </c>
      <c r="G411" s="20">
        <f>tbl_Monitoring[[#This Row],[Area (km2)]]/4046.8564224*1000000</f>
        <v>13133.651024979838</v>
      </c>
      <c r="H411" s="20">
        <f>tbl_Monitoring[[#This Row],[Volume (MCM)]]/1233.4818375475*1000000</f>
        <v>293115.6653205601</v>
      </c>
      <c r="I411" s="40">
        <f>tbl_Monitoring[[#This Row],[Elevation (SRTM30-m)]]*3.280839895</f>
        <v>245.47710827575213</v>
      </c>
    </row>
    <row r="412" spans="2:9" ht="16" x14ac:dyDescent="0.2">
      <c r="B412" s="90">
        <v>408</v>
      </c>
      <c r="C412" s="91">
        <v>43705</v>
      </c>
      <c r="D412" s="92">
        <v>52.29</v>
      </c>
      <c r="E412" s="51" cm="1">
        <f t="array" ref="E4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355.52309822978134</v>
      </c>
      <c r="F412" s="49" cm="1">
        <f t="array" ref="F4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74.710864283234983</v>
      </c>
      <c r="G412" s="20">
        <f>tbl_Monitoring[[#This Row],[Area (km2)]]/4046.8564224*1000000</f>
        <v>12921.140396918076</v>
      </c>
      <c r="H412" s="20">
        <f>tbl_Monitoring[[#This Row],[Volume (MCM)]]/1233.4818375475*1000000</f>
        <v>288227.2664319555</v>
      </c>
      <c r="I412" s="40">
        <f>tbl_Monitoring[[#This Row],[Elevation (SRTM30-m)]]*3.280839895</f>
        <v>245.11438413036794</v>
      </c>
    </row>
    <row r="413" spans="2:9" ht="16" x14ac:dyDescent="0.2">
      <c r="B413" s="90">
        <v>409</v>
      </c>
      <c r="C413" s="91">
        <v>43710</v>
      </c>
      <c r="D413" s="92">
        <v>51.61</v>
      </c>
      <c r="E413" s="51" cm="1">
        <f t="array" ref="E4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350.75538794400097</v>
      </c>
      <c r="F413" s="49" cm="1">
        <f t="array" ref="F4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74.623446077107999</v>
      </c>
      <c r="G413" s="20">
        <f>tbl_Monitoring[[#This Row],[Area (km2)]]/4046.8564224*1000000</f>
        <v>12753.108737520402</v>
      </c>
      <c r="H413" s="20">
        <f>tbl_Monitoring[[#This Row],[Volume (MCM)]]/1233.4818375475*1000000</f>
        <v>284362.02079910546</v>
      </c>
      <c r="I413" s="40">
        <f>tbl_Monitoring[[#This Row],[Elevation (SRTM30-m)]]*3.280839895</f>
        <v>244.82757899215719</v>
      </c>
    </row>
    <row r="414" spans="2:9" ht="16" x14ac:dyDescent="0.2">
      <c r="B414" s="90">
        <v>410</v>
      </c>
      <c r="C414" s="91">
        <v>43715</v>
      </c>
      <c r="D414" s="92">
        <v>50.33</v>
      </c>
      <c r="E414" s="51" cm="1">
        <f t="array" ref="E4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341.7808744648849</v>
      </c>
      <c r="F414" s="49" cm="1">
        <f t="array" ref="F4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74.458894159692491</v>
      </c>
      <c r="G414" s="20">
        <f>tbl_Monitoring[[#This Row],[Area (km2)]]/4046.8564224*1000000</f>
        <v>12436.813849242431</v>
      </c>
      <c r="H414" s="20">
        <f>tbl_Monitoring[[#This Row],[Volume (MCM)]]/1233.4818375475*1000000</f>
        <v>277086.26431374048</v>
      </c>
      <c r="I414" s="40">
        <f>tbl_Monitoring[[#This Row],[Elevation (SRTM30-m)]]*3.280839895</f>
        <v>244.28771049670164</v>
      </c>
    </row>
    <row r="415" spans="2:9" ht="16" x14ac:dyDescent="0.2">
      <c r="B415" s="90">
        <v>411</v>
      </c>
      <c r="C415" s="91">
        <v>43718</v>
      </c>
      <c r="D415" s="92">
        <v>50.73</v>
      </c>
      <c r="E415" s="51" cm="1">
        <f t="array" ref="E4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344.58540992710863</v>
      </c>
      <c r="F415" s="49" cm="1">
        <f t="array" ref="F4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74.510316633884841</v>
      </c>
      <c r="G415" s="20">
        <f>tbl_Monitoring[[#This Row],[Area (km2)]]/4046.8564224*1000000</f>
        <v>12535.656001829297</v>
      </c>
      <c r="H415" s="20">
        <f>tbl_Monitoring[[#This Row],[Volume (MCM)]]/1233.4818375475*1000000</f>
        <v>279359.93821541697</v>
      </c>
      <c r="I415" s="40">
        <f>tbl_Monitoring[[#This Row],[Elevation (SRTM30-m)]]*3.280839895</f>
        <v>244.45641940153152</v>
      </c>
    </row>
    <row r="416" spans="2:9" ht="16" x14ac:dyDescent="0.2">
      <c r="B416" s="90">
        <v>412</v>
      </c>
      <c r="C416" s="91">
        <v>43720</v>
      </c>
      <c r="D416" s="92">
        <v>49.94</v>
      </c>
      <c r="E416" s="51" cm="1">
        <f t="array" ref="E4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339.04645238921671</v>
      </c>
      <c r="F416" s="49" cm="1">
        <f t="array" ref="F4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74.408757247354956</v>
      </c>
      <c r="G416" s="20">
        <f>tbl_Monitoring[[#This Row],[Area (km2)]]/4046.8564224*1000000</f>
        <v>12340.442750470236</v>
      </c>
      <c r="H416" s="20">
        <f>tbl_Monitoring[[#This Row],[Volume (MCM)]]/1233.4818375475*1000000</f>
        <v>274869.43225960585</v>
      </c>
      <c r="I416" s="40">
        <f>tbl_Monitoring[[#This Row],[Elevation (SRTM30-m)]]*3.280839895</f>
        <v>244.12321931449253</v>
      </c>
    </row>
    <row r="417" spans="2:9" ht="16" x14ac:dyDescent="0.2">
      <c r="B417" s="90">
        <v>413</v>
      </c>
      <c r="C417" s="91">
        <v>43725</v>
      </c>
      <c r="D417" s="92">
        <v>47.88</v>
      </c>
      <c r="E417" s="51" cm="1">
        <f t="array" ref="E4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324.60309475876437</v>
      </c>
      <c r="F417" s="49" cm="1">
        <f t="array" ref="F4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74.143931505264376</v>
      </c>
      <c r="G417" s="20">
        <f>tbl_Monitoring[[#This Row],[Area (km2)]]/4046.8564224*1000000</f>
        <v>11831.405664647877</v>
      </c>
      <c r="H417" s="20">
        <f>tbl_Monitoring[[#This Row],[Volume (MCM)]]/1233.4818375475*1000000</f>
        <v>263160.01166597178</v>
      </c>
      <c r="I417" s="40">
        <f>tbl_Monitoring[[#This Row],[Elevation (SRTM30-m)]]*3.280839895</f>
        <v>243.25436845461877</v>
      </c>
    </row>
    <row r="418" spans="2:9" ht="16" x14ac:dyDescent="0.2">
      <c r="B418" s="90">
        <v>414</v>
      </c>
      <c r="C418" s="91">
        <v>43726</v>
      </c>
      <c r="D418" s="92">
        <v>48.46</v>
      </c>
      <c r="E418" s="51" cm="1">
        <f t="array" ref="E4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328.66967117898878</v>
      </c>
      <c r="F418" s="49" cm="1">
        <f t="array" ref="F4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74.218494092843272</v>
      </c>
      <c r="G418" s="20">
        <f>tbl_Monitoring[[#This Row],[Area (km2)]]/4046.8564224*1000000</f>
        <v>11974.726785898833</v>
      </c>
      <c r="H418" s="20">
        <f>tbl_Monitoring[[#This Row],[Volume (MCM)]]/1233.4818375475*1000000</f>
        <v>266456.83882340271</v>
      </c>
      <c r="I418" s="40">
        <f>tbl_Monitoring[[#This Row],[Elevation (SRTM30-m)]]*3.280839895</f>
        <v>243.49899636662207</v>
      </c>
    </row>
    <row r="419" spans="2:9" ht="16" x14ac:dyDescent="0.2">
      <c r="B419" s="90">
        <v>415</v>
      </c>
      <c r="C419" s="91">
        <v>43730</v>
      </c>
      <c r="D419" s="92">
        <v>47.83</v>
      </c>
      <c r="E419" s="51" cm="1">
        <f t="array" ref="E4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324.25252782598636</v>
      </c>
      <c r="F419" s="49" cm="1">
        <f t="array" ref="F4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74.137503695990333</v>
      </c>
      <c r="G419" s="20">
        <f>tbl_Monitoring[[#This Row],[Area (km2)]]/4046.8564224*1000000</f>
        <v>11819.050395574517</v>
      </c>
      <c r="H419" s="20">
        <f>tbl_Monitoring[[#This Row],[Volume (MCM)]]/1233.4818375475*1000000</f>
        <v>262875.80242826213</v>
      </c>
      <c r="I419" s="40">
        <f>tbl_Monitoring[[#This Row],[Elevation (SRTM30-m)]]*3.280839895</f>
        <v>243.23327984151504</v>
      </c>
    </row>
    <row r="420" spans="2:9" ht="16" x14ac:dyDescent="0.2">
      <c r="B420" s="90">
        <v>416</v>
      </c>
      <c r="C420" s="91">
        <v>43734</v>
      </c>
      <c r="D420" s="92">
        <v>47.56</v>
      </c>
      <c r="E420" s="51" cm="1">
        <f t="array" ref="E4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322.35946638898531</v>
      </c>
      <c r="F420" s="49" cm="1">
        <f t="array" ref="F4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74.102793525910499</v>
      </c>
      <c r="G420" s="20">
        <f>tbl_Monitoring[[#This Row],[Area (km2)]]/4046.8564224*1000000</f>
        <v>11752.331942578383</v>
      </c>
      <c r="H420" s="20">
        <f>tbl_Monitoring[[#This Row],[Volume (MCM)]]/1233.4818375475*1000000</f>
        <v>261341.0725446305</v>
      </c>
      <c r="I420" s="40">
        <f>tbl_Monitoring[[#This Row],[Elevation (SRTM30-m)]]*3.280839895</f>
        <v>243.1194013307549</v>
      </c>
    </row>
    <row r="421" spans="2:9" ht="16" x14ac:dyDescent="0.2">
      <c r="B421" s="90">
        <v>417</v>
      </c>
      <c r="C421" s="91">
        <v>43735</v>
      </c>
      <c r="D421" s="92">
        <v>49.23</v>
      </c>
      <c r="E421" s="51" cm="1">
        <f t="array" ref="E4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334.06840194376952</v>
      </c>
      <c r="F421" s="49" cm="1">
        <f t="array" ref="F4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74.317482355663543</v>
      </c>
      <c r="G421" s="20">
        <f>tbl_Monitoring[[#This Row],[Area (km2)]]/4046.8564224*1000000</f>
        <v>12164.997929628547</v>
      </c>
      <c r="H421" s="20">
        <f>tbl_Monitoring[[#This Row],[Volume (MCM)]]/1233.4818375475*1000000</f>
        <v>270833.66108413006</v>
      </c>
      <c r="I421" s="40">
        <f>tbl_Monitoring[[#This Row],[Elevation (SRTM30-m)]]*3.280839895</f>
        <v>243.82376100841955</v>
      </c>
    </row>
    <row r="422" spans="2:9" ht="16" x14ac:dyDescent="0.2">
      <c r="B422" s="90">
        <v>418</v>
      </c>
      <c r="C422" s="91">
        <v>43740</v>
      </c>
      <c r="D422" s="92">
        <v>49.44</v>
      </c>
      <c r="E422" s="51" cm="1">
        <f t="array" ref="E4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335.54078306143703</v>
      </c>
      <c r="F422" s="49" cm="1">
        <f t="array" ref="F4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74.344479154614518</v>
      </c>
      <c r="G422" s="20">
        <f>tbl_Monitoring[[#This Row],[Area (km2)]]/4046.8564224*1000000</f>
        <v>12216.890059736654</v>
      </c>
      <c r="H422" s="20">
        <f>tbl_Monitoring[[#This Row],[Volume (MCM)]]/1233.4818375475*1000000</f>
        <v>272027.33988251019</v>
      </c>
      <c r="I422" s="40">
        <f>tbl_Monitoring[[#This Row],[Elevation (SRTM30-m)]]*3.280839895</f>
        <v>243.91233318345519</v>
      </c>
    </row>
    <row r="423" spans="2:9" ht="16" x14ac:dyDescent="0.2">
      <c r="B423" s="90">
        <v>419</v>
      </c>
      <c r="C423" s="91">
        <v>43742</v>
      </c>
      <c r="D423" s="92">
        <v>51.9</v>
      </c>
      <c r="E423" s="51" cm="1">
        <f t="array" ref="E4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352.78867615411315</v>
      </c>
      <c r="F423" s="49" cm="1">
        <f t="array" ref="F4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74.660727370897447</v>
      </c>
      <c r="G423" s="20">
        <f>tbl_Monitoring[[#This Row],[Area (km2)]]/4046.8564224*1000000</f>
        <v>12824.76929814588</v>
      </c>
      <c r="H423" s="20">
        <f>tbl_Monitoring[[#This Row],[Volume (MCM)]]/1233.4818375475*1000000</f>
        <v>286010.43437782087</v>
      </c>
      <c r="I423" s="40">
        <f>tbl_Monitoring[[#This Row],[Elevation (SRTM30-m)]]*3.280839895</f>
        <v>244.94989294815883</v>
      </c>
    </row>
    <row r="424" spans="2:9" ht="16" x14ac:dyDescent="0.2">
      <c r="B424" s="90">
        <v>420</v>
      </c>
      <c r="C424" s="91">
        <v>43750</v>
      </c>
      <c r="D424" s="92">
        <v>54.47</v>
      </c>
      <c r="E424" s="51" cm="1">
        <f t="array" ref="E4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370.80781649890088</v>
      </c>
      <c r="F424" s="49" cm="1">
        <f t="array" ref="F4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74.991116767583279</v>
      </c>
      <c r="G424" s="20">
        <f>tbl_Monitoring[[#This Row],[Area (km2)]]/4046.8564224*1000000</f>
        <v>13459.830128516494</v>
      </c>
      <c r="H424" s="20">
        <f>tbl_Monitoring[[#This Row],[Volume (MCM)]]/1233.4818375475*1000000</f>
        <v>300618.78919609264</v>
      </c>
      <c r="I424" s="40">
        <f>tbl_Monitoring[[#This Row],[Elevation (SRTM30-m)]]*3.280839895</f>
        <v>246.03384766169069</v>
      </c>
    </row>
    <row r="425" spans="2:9" ht="16" x14ac:dyDescent="0.2">
      <c r="B425" s="90">
        <v>421</v>
      </c>
      <c r="C425" s="91">
        <v>43750</v>
      </c>
      <c r="D425" s="92">
        <v>54.7</v>
      </c>
      <c r="E425" s="51" cm="1">
        <f t="array" ref="E4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372.48706481815293</v>
      </c>
      <c r="F425" s="49" cm="1">
        <f t="array" ref="F4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75.018956396753026</v>
      </c>
      <c r="G425" s="20">
        <f>tbl_Monitoring[[#This Row],[Area (km2)]]/4046.8564224*1000000</f>
        <v>13516.664366253945</v>
      </c>
      <c r="H425" s="20">
        <f>tbl_Monitoring[[#This Row],[Volume (MCM)]]/1233.4818375475*1000000</f>
        <v>301980.17796415981</v>
      </c>
      <c r="I425" s="40">
        <f>tbl_Monitoring[[#This Row],[Elevation (SRTM30-m)]]*3.280839895</f>
        <v>246.12518502773278</v>
      </c>
    </row>
    <row r="426" spans="2:9" ht="16" x14ac:dyDescent="0.2">
      <c r="B426" s="90">
        <v>422</v>
      </c>
      <c r="C426" s="91">
        <v>43755</v>
      </c>
      <c r="D426" s="92">
        <v>53.95</v>
      </c>
      <c r="E426" s="51" cm="1">
        <f t="array" ref="E4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367.16192039801001</v>
      </c>
      <c r="F426" s="49" cm="1">
        <f t="array" ref="F4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74.924267551133227</v>
      </c>
      <c r="G426" s="20">
        <f>tbl_Monitoring[[#This Row],[Area (km2)]]/4046.8564224*1000000</f>
        <v>13331.335330153572</v>
      </c>
      <c r="H426" s="20">
        <f>tbl_Monitoring[[#This Row],[Volume (MCM)]]/1233.4818375475*1000000</f>
        <v>297663.0131239132</v>
      </c>
      <c r="I426" s="40">
        <f>tbl_Monitoring[[#This Row],[Elevation (SRTM30-m)]]*3.280839895</f>
        <v>245.81452608541184</v>
      </c>
    </row>
    <row r="427" spans="2:9" ht="16" x14ac:dyDescent="0.2">
      <c r="B427" s="90">
        <v>423</v>
      </c>
      <c r="C427" s="91">
        <v>43758</v>
      </c>
      <c r="D427" s="92">
        <v>53.97</v>
      </c>
      <c r="E427" s="51" cm="1">
        <f t="array" ref="E4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367.30214717112119</v>
      </c>
      <c r="F427" s="49" cm="1">
        <f t="array" ref="F4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74.926838674842841</v>
      </c>
      <c r="G427" s="20">
        <f>tbl_Monitoring[[#This Row],[Area (km2)]]/4046.8564224*1000000</f>
        <v>13336.277437782914</v>
      </c>
      <c r="H427" s="20">
        <f>tbl_Monitoring[[#This Row],[Volume (MCM)]]/1233.4818375475*1000000</f>
        <v>297776.69681899698</v>
      </c>
      <c r="I427" s="40">
        <f>tbl_Monitoring[[#This Row],[Elevation (SRTM30-m)]]*3.280839895</f>
        <v>245.82296153065334</v>
      </c>
    </row>
    <row r="428" spans="2:9" ht="16" x14ac:dyDescent="0.2">
      <c r="B428" s="90">
        <v>424</v>
      </c>
      <c r="C428" s="91">
        <v>43760</v>
      </c>
      <c r="D428" s="92">
        <v>53.2</v>
      </c>
      <c r="E428" s="51" cm="1">
        <f t="array" ref="E4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361.90341640634045</v>
      </c>
      <c r="F428" s="49" cm="1">
        <f t="array" ref="F4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74.82785041202257</v>
      </c>
      <c r="G428" s="20">
        <f>tbl_Monitoring[[#This Row],[Area (km2)]]/4046.8564224*1000000</f>
        <v>13146.006294053197</v>
      </c>
      <c r="H428" s="20">
        <f>tbl_Monitoring[[#This Row],[Volume (MCM)]]/1233.4818375475*1000000</f>
        <v>293399.87455826969</v>
      </c>
      <c r="I428" s="40">
        <f>tbl_Monitoring[[#This Row],[Elevation (SRTM30-m)]]*3.280839895</f>
        <v>245.49819688885586</v>
      </c>
    </row>
    <row r="429" spans="2:9" ht="16" x14ac:dyDescent="0.2">
      <c r="B429" s="90">
        <v>425</v>
      </c>
      <c r="C429" s="91">
        <v>43765</v>
      </c>
      <c r="D429" s="92">
        <v>53.13</v>
      </c>
      <c r="E429" s="51" cm="1">
        <f t="array" ref="E4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361.41262270045127</v>
      </c>
      <c r="F429" s="49" cm="1">
        <f t="array" ref="F4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74.818851479038912</v>
      </c>
      <c r="G429" s="20">
        <f>tbl_Monitoring[[#This Row],[Area (km2)]]/4046.8564224*1000000</f>
        <v>13128.708917350496</v>
      </c>
      <c r="H429" s="20">
        <f>tbl_Monitoring[[#This Row],[Volume (MCM)]]/1233.4818375475*1000000</f>
        <v>293001.98162547627</v>
      </c>
      <c r="I429" s="40">
        <f>tbl_Monitoring[[#This Row],[Elevation (SRTM30-m)]]*3.280839895</f>
        <v>245.46867283051063</v>
      </c>
    </row>
    <row r="430" spans="2:9" ht="16" x14ac:dyDescent="0.2">
      <c r="B430" s="90">
        <v>426</v>
      </c>
      <c r="C430" s="91">
        <v>43766</v>
      </c>
      <c r="D430" s="92">
        <v>53.41</v>
      </c>
      <c r="E430" s="51" cm="1">
        <f t="array" ref="E4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363.37579752400785</v>
      </c>
      <c r="F430" s="49" cm="1">
        <f t="array" ref="F4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74.85484721097356</v>
      </c>
      <c r="G430" s="20">
        <f>tbl_Monitoring[[#This Row],[Area (km2)]]/4046.8564224*1000000</f>
        <v>13197.8984241613</v>
      </c>
      <c r="H430" s="20">
        <f>tbl_Monitoring[[#This Row],[Volume (MCM)]]/1233.4818375475*1000000</f>
        <v>294593.55335664976</v>
      </c>
      <c r="I430" s="40">
        <f>tbl_Monitoring[[#This Row],[Elevation (SRTM30-m)]]*3.280839895</f>
        <v>245.58676906389155</v>
      </c>
    </row>
    <row r="431" spans="2:9" ht="16" x14ac:dyDescent="0.2">
      <c r="B431" s="90">
        <v>427</v>
      </c>
      <c r="C431" s="91">
        <v>43770</v>
      </c>
      <c r="D431" s="92">
        <v>52.15</v>
      </c>
      <c r="E431" s="51" cm="1">
        <f t="array" ref="E4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354.54151081800302</v>
      </c>
      <c r="F431" s="49" cm="1">
        <f t="array" ref="F4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74.692866417267666</v>
      </c>
      <c r="G431" s="20">
        <f>tbl_Monitoring[[#This Row],[Area (km2)]]/4046.8564224*1000000</f>
        <v>12886.545643512671</v>
      </c>
      <c r="H431" s="20">
        <f>tbl_Monitoring[[#This Row],[Volume (MCM)]]/1233.4818375475*1000000</f>
        <v>287431.48056636873</v>
      </c>
      <c r="I431" s="40">
        <f>tbl_Monitoring[[#This Row],[Elevation (SRTM30-m)]]*3.280839895</f>
        <v>245.05533601367748</v>
      </c>
    </row>
    <row r="432" spans="2:9" ht="16" x14ac:dyDescent="0.2">
      <c r="B432" s="90">
        <v>428</v>
      </c>
      <c r="C432" s="91">
        <v>43774</v>
      </c>
      <c r="D432" s="92">
        <v>52.59</v>
      </c>
      <c r="E432" s="51" cm="1">
        <f t="array" ref="E4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357.62649982644922</v>
      </c>
      <c r="F432" s="49" cm="1">
        <f t="array" ref="F4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74.749431138879245</v>
      </c>
      <c r="G432" s="20">
        <f>tbl_Monitoring[[#This Row],[Area (km2)]]/4046.8564224*1000000</f>
        <v>12995.272011358225</v>
      </c>
      <c r="H432" s="20">
        <f>tbl_Monitoring[[#This Row],[Volume (MCM)]]/1233.4818375475*1000000</f>
        <v>289932.52185821295</v>
      </c>
      <c r="I432" s="40">
        <f>tbl_Monitoring[[#This Row],[Elevation (SRTM30-m)]]*3.280839895</f>
        <v>245.24091580899034</v>
      </c>
    </row>
    <row r="433" spans="2:9" ht="16" x14ac:dyDescent="0.2">
      <c r="B433" s="90">
        <v>429</v>
      </c>
      <c r="C433" s="91">
        <v>43775</v>
      </c>
      <c r="D433" s="92">
        <v>51.66</v>
      </c>
      <c r="E433" s="51" cm="1">
        <f t="array" ref="E4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351.10595487677892</v>
      </c>
      <c r="F433" s="49" cm="1">
        <f t="array" ref="F4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74.629873886382043</v>
      </c>
      <c r="G433" s="20">
        <f>tbl_Monitoring[[#This Row],[Area (km2)]]/4046.8564224*1000000</f>
        <v>12765.46400659376</v>
      </c>
      <c r="H433" s="20">
        <f>tbl_Monitoring[[#This Row],[Volume (MCM)]]/1233.4818375475*1000000</f>
        <v>284646.23003681499</v>
      </c>
      <c r="I433" s="40">
        <f>tbl_Monitoring[[#This Row],[Elevation (SRTM30-m)]]*3.280839895</f>
        <v>244.84866760526091</v>
      </c>
    </row>
    <row r="434" spans="2:9" ht="16" x14ac:dyDescent="0.2">
      <c r="B434" s="90">
        <v>430</v>
      </c>
      <c r="C434" s="91">
        <v>43780</v>
      </c>
      <c r="D434" s="92">
        <v>50.34</v>
      </c>
      <c r="E434" s="51" cm="1">
        <f t="array" ref="E4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341.85098785144049</v>
      </c>
      <c r="F434" s="49" cm="1">
        <f t="array" ref="F4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74.460179721547306</v>
      </c>
      <c r="G434" s="20">
        <f>tbl_Monitoring[[#This Row],[Area (km2)]]/4046.8564224*1000000</f>
        <v>12439.284903057103</v>
      </c>
      <c r="H434" s="20">
        <f>tbl_Monitoring[[#This Row],[Volume (MCM)]]/1233.4818375475*1000000</f>
        <v>277143.1061612824</v>
      </c>
      <c r="I434" s="40">
        <f>tbl_Monitoring[[#This Row],[Elevation (SRTM30-m)]]*3.280839895</f>
        <v>244.29192821932241</v>
      </c>
    </row>
    <row r="435" spans="2:9" ht="16" x14ac:dyDescent="0.2">
      <c r="B435" s="90">
        <v>431</v>
      </c>
      <c r="C435" s="91">
        <v>43782</v>
      </c>
      <c r="D435" s="92">
        <v>50.96</v>
      </c>
      <c r="E435" s="51" cm="1">
        <f t="array" ref="E4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346.19801781788732</v>
      </c>
      <c r="F435" s="49" cm="1">
        <f t="array" ref="F4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74.539884556545445</v>
      </c>
      <c r="G435" s="20">
        <f>tbl_Monitoring[[#This Row],[Area (km2)]]/4046.8564224*1000000</f>
        <v>12592.490239566747</v>
      </c>
      <c r="H435" s="20">
        <f>tbl_Monitoring[[#This Row],[Volume (MCM)]]/1233.4818375475*1000000</f>
        <v>280667.300708881</v>
      </c>
      <c r="I435" s="40">
        <f>tbl_Monitoring[[#This Row],[Elevation (SRTM30-m)]]*3.280839895</f>
        <v>244.55342702180869</v>
      </c>
    </row>
    <row r="436" spans="2:9" ht="16" x14ac:dyDescent="0.2">
      <c r="B436" s="90">
        <v>432</v>
      </c>
      <c r="C436" s="91">
        <v>43785</v>
      </c>
      <c r="D436" s="92">
        <v>50.29</v>
      </c>
      <c r="E436" s="51" cm="1">
        <f t="array" ref="E4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341.50042091866254</v>
      </c>
      <c r="F436" s="49" cm="1">
        <f t="array" ref="F4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74.453751912273262</v>
      </c>
      <c r="G436" s="20">
        <f>tbl_Monitoring[[#This Row],[Area (km2)]]/4046.8564224*1000000</f>
        <v>12426.929633983744</v>
      </c>
      <c r="H436" s="20">
        <f>tbl_Monitoring[[#This Row],[Volume (MCM)]]/1233.4818375475*1000000</f>
        <v>276858.89692357287</v>
      </c>
      <c r="I436" s="40">
        <f>tbl_Monitoring[[#This Row],[Elevation (SRTM30-m)]]*3.280839895</f>
        <v>244.27083960621866</v>
      </c>
    </row>
    <row r="437" spans="2:9" ht="16" x14ac:dyDescent="0.2">
      <c r="B437" s="90">
        <v>433</v>
      </c>
      <c r="C437" s="91">
        <v>43798</v>
      </c>
      <c r="D437" s="92">
        <v>59.09</v>
      </c>
      <c r="E437" s="51" cm="1">
        <f t="array" ref="E4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405.08506078888774</v>
      </c>
      <c r="F437" s="49" cm="1">
        <f t="array" ref="F4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75.536163244147545</v>
      </c>
      <c r="G437" s="20">
        <f>tbl_Monitoring[[#This Row],[Area (km2)]]/4046.8564224*1000000</f>
        <v>14601.456990894801</v>
      </c>
      <c r="H437" s="20">
        <f>tbl_Monitoring[[#This Row],[Volume (MCM)]]/1233.4818375475*1000000</f>
        <v>328407.80338874535</v>
      </c>
      <c r="I437" s="40">
        <f>tbl_Monitoring[[#This Row],[Elevation (SRTM30-m)]]*3.280839895</f>
        <v>247.82205788663191</v>
      </c>
    </row>
    <row r="438" spans="2:9" ht="16" x14ac:dyDescent="0.2">
      <c r="B438" s="90">
        <v>434</v>
      </c>
      <c r="C438" s="91">
        <v>43800</v>
      </c>
      <c r="D438" s="92">
        <v>58.37</v>
      </c>
      <c r="E438" s="51" cm="1">
        <f t="array" ref="E4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399.73869242922279</v>
      </c>
      <c r="F438" s="49" cm="1">
        <f t="array" ref="F4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75.451336608583986</v>
      </c>
      <c r="G438" s="20">
        <f>tbl_Monitoring[[#This Row],[Area (km2)]]/4046.8564224*1000000</f>
        <v>14423.541116238441</v>
      </c>
      <c r="H438" s="20">
        <f>tbl_Monitoring[[#This Row],[Volume (MCM)]]/1233.4818375475*1000000</f>
        <v>324073.43202070397</v>
      </c>
      <c r="I438" s="40">
        <f>tbl_Monitoring[[#This Row],[Elevation (SRTM30-m)]]*3.280839895</f>
        <v>247.54375527651635</v>
      </c>
    </row>
    <row r="439" spans="2:9" ht="16" x14ac:dyDescent="0.2">
      <c r="B439" s="90">
        <v>435</v>
      </c>
      <c r="C439" s="91">
        <v>43805</v>
      </c>
      <c r="D439" s="92">
        <v>57.96</v>
      </c>
      <c r="E439" s="51" cm="1">
        <f t="array" ref="E4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396.69423266885804</v>
      </c>
      <c r="F439" s="49" cm="1">
        <f t="array" ref="F4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75.403032552221404</v>
      </c>
      <c r="G439" s="20">
        <f>tbl_Monitoring[[#This Row],[Area (km2)]]/4046.8564224*1000000</f>
        <v>14322.227909836904</v>
      </c>
      <c r="H439" s="20">
        <f>tbl_Monitoring[[#This Row],[Volume (MCM)]]/1233.4818375475*1000000</f>
        <v>321605.24832501379</v>
      </c>
      <c r="I439" s="40">
        <f>tbl_Monitoring[[#This Row],[Elevation (SRTM30-m)]]*3.280839895</f>
        <v>247.38527740131167</v>
      </c>
    </row>
    <row r="440" spans="2:9" ht="16" x14ac:dyDescent="0.2">
      <c r="B440" s="90">
        <v>436</v>
      </c>
      <c r="C440" s="91">
        <v>43814</v>
      </c>
      <c r="D440" s="92">
        <v>57.67</v>
      </c>
      <c r="E440" s="51" cm="1">
        <f t="array" ref="E4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394.54083430177076</v>
      </c>
      <c r="F440" s="49" cm="1">
        <f t="array" ref="F4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75.368866268452734</v>
      </c>
      <c r="G440" s="20">
        <f>tbl_Monitoring[[#This Row],[Area (km2)]]/4046.8564224*1000000</f>
        <v>14250.567349211426</v>
      </c>
      <c r="H440" s="20">
        <f>tbl_Monitoring[[#This Row],[Volume (MCM)]]/1233.4818375475*1000000</f>
        <v>319859.45985733042</v>
      </c>
      <c r="I440" s="40">
        <f>tbl_Monitoring[[#This Row],[Elevation (SRTM30-m)]]*3.280839895</f>
        <v>247.27318329445953</v>
      </c>
    </row>
    <row r="441" spans="2:9" ht="16" x14ac:dyDescent="0.2">
      <c r="B441" s="90">
        <v>437</v>
      </c>
      <c r="C441" s="91">
        <v>43815</v>
      </c>
      <c r="D441" s="92">
        <v>55.98</v>
      </c>
      <c r="E441" s="51" cm="1">
        <f t="array" ref="E4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381.99171967977946</v>
      </c>
      <c r="F441" s="49" cm="1">
        <f t="array" ref="F4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75.169759304421589</v>
      </c>
      <c r="G441" s="20">
        <f>tbl_Monitoring[[#This Row],[Area (km2)]]/4046.8564224*1000000</f>
        <v>13832.959254531916</v>
      </c>
      <c r="H441" s="20">
        <f>tbl_Monitoring[[#This Row],[Volume (MCM)]]/1233.4818375475*1000000</f>
        <v>309685.72706290003</v>
      </c>
      <c r="I441" s="40">
        <f>tbl_Monitoring[[#This Row],[Elevation (SRTM30-m)]]*3.280839895</f>
        <v>246.6199452234938</v>
      </c>
    </row>
    <row r="442" spans="2:9" ht="16" x14ac:dyDescent="0.2">
      <c r="B442" s="90">
        <v>438</v>
      </c>
      <c r="C442" s="91">
        <v>43820</v>
      </c>
      <c r="D442" s="92">
        <v>57.36</v>
      </c>
      <c r="E442" s="51" cm="1">
        <f t="array" ref="E4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392.23892570247057</v>
      </c>
      <c r="F442" s="49" cm="1">
        <f t="array" ref="F4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75.332343689251758</v>
      </c>
      <c r="G442" s="20">
        <f>tbl_Monitoring[[#This Row],[Area (km2)]]/4046.8564224*1000000</f>
        <v>14173.964680956602</v>
      </c>
      <c r="H442" s="20">
        <f>tbl_Monitoring[[#This Row],[Volume (MCM)]]/1233.4818375475*1000000</f>
        <v>317993.27218497929</v>
      </c>
      <c r="I442" s="40">
        <f>tbl_Monitoring[[#This Row],[Elevation (SRTM30-m)]]*3.280839895</f>
        <v>247.15335855954865</v>
      </c>
    </row>
    <row r="443" spans="2:9" ht="16" x14ac:dyDescent="0.2">
      <c r="B443" s="90">
        <v>439</v>
      </c>
      <c r="C443" s="91">
        <v>43822</v>
      </c>
      <c r="D443" s="92">
        <v>57.33</v>
      </c>
      <c r="E443" s="51" cm="1">
        <f t="array" ref="E4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392.01616035415122</v>
      </c>
      <c r="F443" s="49" cm="1">
        <f t="array" ref="F4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75.328809246103276</v>
      </c>
      <c r="G443" s="20">
        <f>tbl_Monitoring[[#This Row],[Area (km2)]]/4046.8564224*1000000</f>
        <v>14166.551519512588</v>
      </c>
      <c r="H443" s="20">
        <f>tbl_Monitoring[[#This Row],[Volume (MCM)]]/1233.4818375475*1000000</f>
        <v>317812.67337797757</v>
      </c>
      <c r="I443" s="40">
        <f>tbl_Monitoring[[#This Row],[Elevation (SRTM30-m)]]*3.280839895</f>
        <v>247.1417626174605</v>
      </c>
    </row>
    <row r="444" spans="2:9" ht="16" x14ac:dyDescent="0.2">
      <c r="B444" s="90">
        <v>440</v>
      </c>
      <c r="C444" s="91">
        <v>43825</v>
      </c>
      <c r="D444" s="92">
        <v>57.05</v>
      </c>
      <c r="E444" s="51" cm="1">
        <f t="array" ref="E4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389.93701710317038</v>
      </c>
      <c r="F444" s="49" cm="1">
        <f t="array" ref="F4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75.295821110050781</v>
      </c>
      <c r="G444" s="20">
        <f>tbl_Monitoring[[#This Row],[Area (km2)]]/4046.8564224*1000000</f>
        <v>14097.36201270178</v>
      </c>
      <c r="H444" s="20">
        <f>tbl_Monitoring[[#This Row],[Volume (MCM)]]/1233.4818375475*1000000</f>
        <v>316127.08451262815</v>
      </c>
      <c r="I444" s="40">
        <f>tbl_Monitoring[[#This Row],[Elevation (SRTM30-m)]]*3.280839895</f>
        <v>247.0335338246378</v>
      </c>
    </row>
    <row r="445" spans="2:9" ht="16" x14ac:dyDescent="0.2">
      <c r="B445" s="90">
        <v>441</v>
      </c>
      <c r="C445" s="91">
        <v>43830</v>
      </c>
      <c r="D445" s="92">
        <v>56.56</v>
      </c>
      <c r="E445" s="51" cm="1">
        <f t="array" ref="E4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386.29851641395402</v>
      </c>
      <c r="F445" s="49" cm="1">
        <f t="array" ref="F4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75.2380918719589</v>
      </c>
      <c r="G445" s="20">
        <f>tbl_Monitoring[[#This Row],[Area (km2)]]/4046.8564224*1000000</f>
        <v>13976.280375782873</v>
      </c>
      <c r="H445" s="20">
        <f>tbl_Monitoring[[#This Row],[Volume (MCM)]]/1233.4818375475*1000000</f>
        <v>313177.3039982667</v>
      </c>
      <c r="I445" s="40">
        <f>tbl_Monitoring[[#This Row],[Elevation (SRTM30-m)]]*3.280839895</f>
        <v>246.844133437198</v>
      </c>
    </row>
    <row r="446" spans="2:9" ht="16" x14ac:dyDescent="0.2">
      <c r="B446" s="90">
        <v>442</v>
      </c>
      <c r="C446" s="91">
        <v>43830</v>
      </c>
      <c r="D446" s="92">
        <v>56.83</v>
      </c>
      <c r="E446" s="51" cm="1">
        <f t="array" ref="E4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388.30340454882833</v>
      </c>
      <c r="F446" s="49" cm="1">
        <f t="array" ref="F4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75.269901860295249</v>
      </c>
      <c r="G446" s="20">
        <f>tbl_Monitoring[[#This Row],[Area (km2)]]/4046.8564224*1000000</f>
        <v>14042.998828779006</v>
      </c>
      <c r="H446" s="20">
        <f>tbl_Monitoring[[#This Row],[Volume (MCM)]]/1233.4818375475*1000000</f>
        <v>314802.69326128217</v>
      </c>
      <c r="I446" s="40">
        <f>tbl_Monitoring[[#This Row],[Elevation (SRTM30-m)]]*3.280839895</f>
        <v>246.94849691599137</v>
      </c>
    </row>
    <row r="447" spans="2:9" ht="16" x14ac:dyDescent="0.2">
      <c r="B447" s="90">
        <v>443</v>
      </c>
      <c r="C447" s="91">
        <v>43838</v>
      </c>
      <c r="D447" s="92">
        <v>61.08</v>
      </c>
      <c r="E447" s="51" cm="1">
        <f t="array" ref="E4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419.86182889407274</v>
      </c>
      <c r="F447" s="49" cm="1">
        <f t="array" ref="F4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75.770614639663521</v>
      </c>
      <c r="G447" s="20">
        <f>tbl_Monitoring[[#This Row],[Area (km2)]]/4046.8564224*1000000</f>
        <v>15093.196700014458</v>
      </c>
      <c r="H447" s="20">
        <f>tbl_Monitoring[[#This Row],[Volume (MCM)]]/1233.4818375475*1000000</f>
        <v>340387.524253193</v>
      </c>
      <c r="I447" s="40">
        <f>tbl_Monitoring[[#This Row],[Elevation (SRTM30-m)]]*3.280839895</f>
        <v>248.59125537847913</v>
      </c>
    </row>
    <row r="448" spans="2:9" ht="16" x14ac:dyDescent="0.2">
      <c r="B448" s="90">
        <v>444</v>
      </c>
      <c r="C448" s="91">
        <v>43846</v>
      </c>
      <c r="D448" s="92">
        <v>62.54</v>
      </c>
      <c r="E448" s="51" cm="1">
        <f t="array" ref="E4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430.7030758456155</v>
      </c>
      <c r="F448" s="49" cm="1">
        <f t="array" ref="F4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75.942624206222973</v>
      </c>
      <c r="G448" s="20">
        <f>tbl_Monitoring[[#This Row],[Area (km2)]]/4046.8564224*1000000</f>
        <v>15453.970556956519</v>
      </c>
      <c r="H448" s="20">
        <f>tbl_Monitoring[[#This Row],[Volume (MCM)]]/1233.4818375475*1000000</f>
        <v>349176.66619394353</v>
      </c>
      <c r="I448" s="40">
        <f>tbl_Monitoring[[#This Row],[Elevation (SRTM30-m)]]*3.280839895</f>
        <v>249.15559122676905</v>
      </c>
    </row>
    <row r="449" spans="2:9" ht="16" x14ac:dyDescent="0.2">
      <c r="B449" s="90">
        <v>445</v>
      </c>
      <c r="C449" s="91">
        <v>43850</v>
      </c>
      <c r="D449" s="92">
        <v>59.49</v>
      </c>
      <c r="E449" s="51" cm="1">
        <f t="array" ref="E4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408.05526543314602</v>
      </c>
      <c r="F449" s="49" cm="1">
        <f t="array" ref="F4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75.583289152793981</v>
      </c>
      <c r="G449" s="20">
        <f>tbl_Monitoring[[#This Row],[Area (km2)]]/4046.8564224*1000000</f>
        <v>14700.299143481665</v>
      </c>
      <c r="H449" s="20">
        <f>tbl_Monitoring[[#This Row],[Volume (MCM)]]/1233.4818375475*1000000</f>
        <v>330815.78748210164</v>
      </c>
      <c r="I449" s="40">
        <f>tbl_Monitoring[[#This Row],[Elevation (SRTM30-m)]]*3.280839895</f>
        <v>247.97667044780727</v>
      </c>
    </row>
    <row r="450" spans="2:9" ht="16" x14ac:dyDescent="0.2">
      <c r="B450" s="90">
        <v>446</v>
      </c>
      <c r="C450" s="91">
        <v>43855</v>
      </c>
      <c r="D450" s="92">
        <v>58.13</v>
      </c>
      <c r="E450" s="51" cm="1">
        <f t="array" ref="E4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397.95656964266783</v>
      </c>
      <c r="F450" s="49" cm="1">
        <f t="array" ref="F4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75.423061063396133</v>
      </c>
      <c r="G450" s="20">
        <f>tbl_Monitoring[[#This Row],[Area (km2)]]/4046.8564224*1000000</f>
        <v>14364.235824686322</v>
      </c>
      <c r="H450" s="20">
        <f>tbl_Monitoring[[#This Row],[Volume (MCM)]]/1233.4818375475*1000000</f>
        <v>322628.64156469022</v>
      </c>
      <c r="I450" s="40">
        <f>tbl_Monitoring[[#This Row],[Elevation (SRTM30-m)]]*3.280839895</f>
        <v>247.45098773981118</v>
      </c>
    </row>
    <row r="451" spans="2:9" ht="16" x14ac:dyDescent="0.2">
      <c r="B451" s="90">
        <v>447</v>
      </c>
      <c r="C451" s="91">
        <v>43860</v>
      </c>
      <c r="D451" s="92">
        <v>57.57</v>
      </c>
      <c r="E451" s="51" cm="1">
        <f t="array" ref="E4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393.79828314070619</v>
      </c>
      <c r="F451" s="49" cm="1">
        <f t="array" ref="F4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75.357084791291129</v>
      </c>
      <c r="G451" s="20">
        <f>tbl_Monitoring[[#This Row],[Area (km2)]]/4046.8564224*1000000</f>
        <v>14225.856811064708</v>
      </c>
      <c r="H451" s="20">
        <f>tbl_Monitoring[[#This Row],[Volume (MCM)]]/1233.4818375475*1000000</f>
        <v>319257.46383399138</v>
      </c>
      <c r="I451" s="40">
        <f>tbl_Monitoring[[#This Row],[Elevation (SRTM30-m)]]*3.280839895</f>
        <v>247.2345301541657</v>
      </c>
    </row>
    <row r="452" spans="2:9" ht="16" x14ac:dyDescent="0.2">
      <c r="B452" s="90">
        <v>448</v>
      </c>
      <c r="C452" s="91">
        <v>43862</v>
      </c>
      <c r="D452" s="92">
        <v>57.56</v>
      </c>
      <c r="E452" s="51" cm="1">
        <f t="array" ref="E4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393.72402802459976</v>
      </c>
      <c r="F452" s="49" cm="1">
        <f t="array" ref="F4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75.355906643574968</v>
      </c>
      <c r="G452" s="20">
        <f>tbl_Monitoring[[#This Row],[Area (km2)]]/4046.8564224*1000000</f>
        <v>14223.385757250036</v>
      </c>
      <c r="H452" s="20">
        <f>tbl_Monitoring[[#This Row],[Volume (MCM)]]/1233.4818375475*1000000</f>
        <v>319197.26423165749</v>
      </c>
      <c r="I452" s="40">
        <f>tbl_Monitoring[[#This Row],[Elevation (SRTM30-m)]]*3.280839895</f>
        <v>247.23066484013631</v>
      </c>
    </row>
    <row r="453" spans="2:9" ht="16" x14ac:dyDescent="0.2">
      <c r="B453" s="90">
        <v>449</v>
      </c>
      <c r="C453" s="91">
        <v>43865</v>
      </c>
      <c r="D453" s="92">
        <v>57.63</v>
      </c>
      <c r="E453" s="51" cm="1">
        <f t="array" ref="E4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394.24381383734499</v>
      </c>
      <c r="F453" s="49" cm="1">
        <f t="array" ref="F4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75.364153677588092</v>
      </c>
      <c r="G453" s="20">
        <f>tbl_Monitoring[[#This Row],[Area (km2)]]/4046.8564224*1000000</f>
        <v>14240.683133952738</v>
      </c>
      <c r="H453" s="20">
        <f>tbl_Monitoring[[#This Row],[Volume (MCM)]]/1233.4818375475*1000000</f>
        <v>319618.66144799488</v>
      </c>
      <c r="I453" s="40">
        <f>tbl_Monitoring[[#This Row],[Elevation (SRTM30-m)]]*3.280839895</f>
        <v>247.257722038342</v>
      </c>
    </row>
    <row r="454" spans="2:9" ht="16" x14ac:dyDescent="0.2">
      <c r="B454" s="90">
        <v>450</v>
      </c>
      <c r="C454" s="91">
        <v>43870</v>
      </c>
      <c r="D454" s="92">
        <v>57.38</v>
      </c>
      <c r="E454" s="51" cm="1">
        <f t="array" ref="E4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392.38743593468354</v>
      </c>
      <c r="F454" s="49" cm="1">
        <f t="array" ref="F4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75.334699984684079</v>
      </c>
      <c r="G454" s="20">
        <f>tbl_Monitoring[[#This Row],[Area (km2)]]/4046.8564224*1000000</f>
        <v>14178.906788585948</v>
      </c>
      <c r="H454" s="20">
        <f>tbl_Monitoring[[#This Row],[Volume (MCM)]]/1233.4818375475*1000000</f>
        <v>318113.67138964712</v>
      </c>
      <c r="I454" s="40">
        <f>tbl_Monitoring[[#This Row],[Elevation (SRTM30-m)]]*3.280839895</f>
        <v>247.16108918760742</v>
      </c>
    </row>
    <row r="455" spans="2:9" ht="16" x14ac:dyDescent="0.2">
      <c r="B455" s="90">
        <v>451</v>
      </c>
      <c r="C455" s="91">
        <v>43870</v>
      </c>
      <c r="D455" s="92">
        <v>57.29</v>
      </c>
      <c r="E455" s="51" cm="1">
        <f t="array" ref="E4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391.7191398897254</v>
      </c>
      <c r="F455" s="49" cm="1">
        <f t="array" ref="F4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75.324096655238634</v>
      </c>
      <c r="G455" s="20">
        <f>tbl_Monitoring[[#This Row],[Area (km2)]]/4046.8564224*1000000</f>
        <v>14156.667304253901</v>
      </c>
      <c r="H455" s="20">
        <f>tbl_Monitoring[[#This Row],[Volume (MCM)]]/1233.4818375475*1000000</f>
        <v>317571.87496864196</v>
      </c>
      <c r="I455" s="40">
        <f>tbl_Monitoring[[#This Row],[Elevation (SRTM30-m)]]*3.280839895</f>
        <v>247.126301361343</v>
      </c>
    </row>
    <row r="456" spans="2:9" ht="16" x14ac:dyDescent="0.2">
      <c r="B456" s="90">
        <v>452</v>
      </c>
      <c r="C456" s="91">
        <v>43875</v>
      </c>
      <c r="D456" s="92">
        <v>57.05</v>
      </c>
      <c r="E456" s="51" cm="1">
        <f t="array" ref="E4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389.93701710317038</v>
      </c>
      <c r="F456" s="49" cm="1">
        <f t="array" ref="F4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75.295821110050781</v>
      </c>
      <c r="G456" s="20">
        <f>tbl_Monitoring[[#This Row],[Area (km2)]]/4046.8564224*1000000</f>
        <v>14097.36201270178</v>
      </c>
      <c r="H456" s="20">
        <f>tbl_Monitoring[[#This Row],[Volume (MCM)]]/1233.4818375475*1000000</f>
        <v>316127.08451262815</v>
      </c>
      <c r="I456" s="40">
        <f>tbl_Monitoring[[#This Row],[Elevation (SRTM30-m)]]*3.280839895</f>
        <v>247.0335338246378</v>
      </c>
    </row>
    <row r="457" spans="2:9" ht="16" x14ac:dyDescent="0.2">
      <c r="B457" s="90">
        <v>453</v>
      </c>
      <c r="C457" s="91">
        <v>43878</v>
      </c>
      <c r="D457" s="92">
        <v>56.55</v>
      </c>
      <c r="E457" s="51" cm="1">
        <f t="array" ref="E4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386.22426129784753</v>
      </c>
      <c r="F457" s="49" cm="1">
        <f t="array" ref="F4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75.23691372424274</v>
      </c>
      <c r="G457" s="20">
        <f>tbl_Monitoring[[#This Row],[Area (km2)]]/4046.8564224*1000000</f>
        <v>13973.8093219682</v>
      </c>
      <c r="H457" s="20">
        <f>tbl_Monitoring[[#This Row],[Volume (MCM)]]/1233.4818375475*1000000</f>
        <v>313117.10439593275</v>
      </c>
      <c r="I457" s="40">
        <f>tbl_Monitoring[[#This Row],[Elevation (SRTM30-m)]]*3.280839895</f>
        <v>246.84026812316861</v>
      </c>
    </row>
    <row r="458" spans="2:9" ht="16" x14ac:dyDescent="0.2">
      <c r="B458" s="90">
        <v>454</v>
      </c>
      <c r="C458" s="91">
        <v>43880</v>
      </c>
      <c r="D458" s="92">
        <v>57.79</v>
      </c>
      <c r="E458" s="51" cm="1">
        <f t="array" ref="E4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395.43189569504824</v>
      </c>
      <c r="F458" s="49" cm="1">
        <f t="array" ref="F4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75.383004041046661</v>
      </c>
      <c r="G458" s="20">
        <f>tbl_Monitoring[[#This Row],[Area (km2)]]/4046.8564224*1000000</f>
        <v>14280.219994987485</v>
      </c>
      <c r="H458" s="20">
        <f>tbl_Monitoring[[#This Row],[Volume (MCM)]]/1233.4818375475*1000000</f>
        <v>320581.8550853373</v>
      </c>
      <c r="I458" s="40">
        <f>tbl_Monitoring[[#This Row],[Elevation (SRTM30-m)]]*3.280839895</f>
        <v>247.31956706281213</v>
      </c>
    </row>
    <row r="459" spans="2:9" ht="16" x14ac:dyDescent="0.2">
      <c r="B459" s="90">
        <v>455</v>
      </c>
      <c r="C459" s="91">
        <v>43885</v>
      </c>
      <c r="D459" s="92">
        <v>56.35</v>
      </c>
      <c r="E459" s="51" cm="1">
        <f t="array" ref="E4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384.7391589757184</v>
      </c>
      <c r="F459" s="49" cm="1">
        <f t="array" ref="F4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75.213350769919529</v>
      </c>
      <c r="G459" s="20">
        <f>tbl_Monitoring[[#This Row],[Area (km2)]]/4046.8564224*1000000</f>
        <v>13924.388245674767</v>
      </c>
      <c r="H459" s="20">
        <f>tbl_Monitoring[[#This Row],[Volume (MCM)]]/1233.4818375475*1000000</f>
        <v>311913.1123492546</v>
      </c>
      <c r="I459" s="40">
        <f>tbl_Monitoring[[#This Row],[Elevation (SRTM30-m)]]*3.280839895</f>
        <v>246.76296184258098</v>
      </c>
    </row>
    <row r="460" spans="2:9" ht="16" x14ac:dyDescent="0.2">
      <c r="B460" s="90">
        <v>456</v>
      </c>
      <c r="C460" s="91">
        <v>43890</v>
      </c>
      <c r="D460" s="92">
        <v>56.28</v>
      </c>
      <c r="E460" s="51" cm="1">
        <f t="array" ref="E4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384.21937316297323</v>
      </c>
      <c r="F460" s="49" cm="1">
        <f t="array" ref="F4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75.205103735906405</v>
      </c>
      <c r="G460" s="20">
        <f>tbl_Monitoring[[#This Row],[Area (km2)]]/4046.8564224*1000000</f>
        <v>13907.090868972065</v>
      </c>
      <c r="H460" s="20">
        <f>tbl_Monitoring[[#This Row],[Volume (MCM)]]/1233.4818375475*1000000</f>
        <v>311491.71513291728</v>
      </c>
      <c r="I460" s="40">
        <f>tbl_Monitoring[[#This Row],[Elevation (SRTM30-m)]]*3.280839895</f>
        <v>246.7359046443753</v>
      </c>
    </row>
    <row r="461" spans="2:9" ht="16" x14ac:dyDescent="0.2">
      <c r="B461" s="90">
        <v>457</v>
      </c>
      <c r="C461" s="91">
        <v>43894</v>
      </c>
      <c r="D461" s="92">
        <v>56.37</v>
      </c>
      <c r="E461" s="51" cm="1">
        <f t="array" ref="E4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384.88766920793131</v>
      </c>
      <c r="F461" s="49" cm="1">
        <f t="array" ref="F4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75.21570706535185</v>
      </c>
      <c r="G461" s="20">
        <f>tbl_Monitoring[[#This Row],[Area (km2)]]/4046.8564224*1000000</f>
        <v>13929.330353304109</v>
      </c>
      <c r="H461" s="20">
        <f>tbl_Monitoring[[#This Row],[Volume (MCM)]]/1233.4818375475*1000000</f>
        <v>312033.51155392244</v>
      </c>
      <c r="I461" s="40">
        <f>tbl_Monitoring[[#This Row],[Elevation (SRTM30-m)]]*3.280839895</f>
        <v>246.77069247063974</v>
      </c>
    </row>
    <row r="462" spans="2:9" ht="16" x14ac:dyDescent="0.2">
      <c r="B462" s="90">
        <v>458</v>
      </c>
      <c r="C462" s="91">
        <v>43895</v>
      </c>
      <c r="D462" s="92">
        <v>56.73</v>
      </c>
      <c r="E462" s="51" cm="1">
        <f t="array" ref="E4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387.56085338776376</v>
      </c>
      <c r="F462" s="49" cm="1">
        <f t="array" ref="F4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75.258120383133644</v>
      </c>
      <c r="G462" s="20">
        <f>tbl_Monitoring[[#This Row],[Area (km2)]]/4046.8564224*1000000</f>
        <v>14018.28829063229</v>
      </c>
      <c r="H462" s="20">
        <f>tbl_Monitoring[[#This Row],[Volume (MCM)]]/1233.4818375475*1000000</f>
        <v>314200.69723794312</v>
      </c>
      <c r="I462" s="40">
        <f>tbl_Monitoring[[#This Row],[Elevation (SRTM30-m)]]*3.280839895</f>
        <v>246.90984377569757</v>
      </c>
    </row>
    <row r="463" spans="2:9" ht="16" x14ac:dyDescent="0.2">
      <c r="B463" s="90">
        <v>459</v>
      </c>
      <c r="C463" s="91">
        <v>43900</v>
      </c>
      <c r="D463" s="92">
        <v>55.45</v>
      </c>
      <c r="E463" s="51" cm="1">
        <f t="array" ref="E4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378.05619852613728</v>
      </c>
      <c r="F463" s="49" cm="1">
        <f t="array" ref="F4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75.107317475465081</v>
      </c>
      <c r="G463" s="20">
        <f>tbl_Monitoring[[#This Row],[Area (km2)]]/4046.8564224*1000000</f>
        <v>13701.993402354319</v>
      </c>
      <c r="H463" s="20">
        <f>tbl_Monitoring[[#This Row],[Volume (MCM)]]/1233.4818375475*1000000</f>
        <v>306495.14813920297</v>
      </c>
      <c r="I463" s="40">
        <f>tbl_Monitoring[[#This Row],[Elevation (SRTM30-m)]]*3.280839895</f>
        <v>246.41508357993652</v>
      </c>
    </row>
    <row r="464" spans="2:9" ht="16" x14ac:dyDescent="0.2">
      <c r="B464" s="90">
        <v>460</v>
      </c>
      <c r="C464" s="91">
        <v>43902</v>
      </c>
      <c r="D464" s="92">
        <v>55.39</v>
      </c>
      <c r="E464" s="51" cm="1">
        <f t="array" ref="E4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377.61066782949848</v>
      </c>
      <c r="F464" s="49" cm="1">
        <f t="array" ref="F4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75.100248589168103</v>
      </c>
      <c r="G464" s="20">
        <f>tbl_Monitoring[[#This Row],[Area (km2)]]/4046.8564224*1000000</f>
        <v>13687.167079466288</v>
      </c>
      <c r="H464" s="20">
        <f>tbl_Monitoring[[#This Row],[Volume (MCM)]]/1233.4818375475*1000000</f>
        <v>306133.95052519947</v>
      </c>
      <c r="I464" s="40">
        <f>tbl_Monitoring[[#This Row],[Elevation (SRTM30-m)]]*3.280839895</f>
        <v>246.39189169576019</v>
      </c>
    </row>
    <row r="465" spans="2:9" ht="16" x14ac:dyDescent="0.2">
      <c r="B465" s="90">
        <v>461</v>
      </c>
      <c r="C465" s="91">
        <v>43910</v>
      </c>
      <c r="D465" s="92">
        <v>54.77</v>
      </c>
      <c r="E465" s="51" cm="1">
        <f t="array" ref="E4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373.00685063089816</v>
      </c>
      <c r="F465" s="49" cm="1">
        <f t="array" ref="F4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75.02720343076615</v>
      </c>
      <c r="G465" s="20">
        <f>tbl_Monitoring[[#This Row],[Area (km2)]]/4046.8564224*1000000</f>
        <v>13533.961742956646</v>
      </c>
      <c r="H465" s="20">
        <f>tbl_Monitoring[[#This Row],[Volume (MCM)]]/1233.4818375475*1000000</f>
        <v>302401.5751804972</v>
      </c>
      <c r="I465" s="40">
        <f>tbl_Monitoring[[#This Row],[Elevation (SRTM30-m)]]*3.280839895</f>
        <v>246.15224222593847</v>
      </c>
    </row>
    <row r="466" spans="2:9" ht="16" x14ac:dyDescent="0.2">
      <c r="B466" s="90">
        <v>462</v>
      </c>
      <c r="C466" s="91">
        <v>43910</v>
      </c>
      <c r="D466" s="92">
        <v>54.87</v>
      </c>
      <c r="E466" s="51" cm="1">
        <f t="array" ref="E4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373.74940179196267</v>
      </c>
      <c r="F466" s="49" cm="1">
        <f t="array" ref="F4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75.038984907927755</v>
      </c>
      <c r="G466" s="20">
        <f>tbl_Monitoring[[#This Row],[Area (km2)]]/4046.8564224*1000000</f>
        <v>13558.672281103361</v>
      </c>
      <c r="H466" s="20">
        <f>tbl_Monitoring[[#This Row],[Volume (MCM)]]/1233.4818375475*1000000</f>
        <v>303003.57120383624</v>
      </c>
      <c r="I466" s="40">
        <f>tbl_Monitoring[[#This Row],[Elevation (SRTM30-m)]]*3.280839895</f>
        <v>246.1908953662323</v>
      </c>
    </row>
    <row r="467" spans="2:9" ht="16" x14ac:dyDescent="0.2">
      <c r="B467" s="90">
        <v>463</v>
      </c>
      <c r="C467" s="91">
        <v>43915</v>
      </c>
      <c r="D467" s="92">
        <v>60.78</v>
      </c>
      <c r="E467" s="51" cm="1">
        <f t="array" ref="E4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417.63417541087904</v>
      </c>
      <c r="F467" s="49" cm="1">
        <f t="array" ref="F4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75.735270208178704</v>
      </c>
      <c r="G467" s="20">
        <f>tbl_Monitoring[[#This Row],[Area (km2)]]/4046.8564224*1000000</f>
        <v>15019.06508557431</v>
      </c>
      <c r="H467" s="20">
        <f>tbl_Monitoring[[#This Row],[Volume (MCM)]]/1233.4818375475*1000000</f>
        <v>338581.53618317581</v>
      </c>
      <c r="I467" s="40">
        <f>tbl_Monitoring[[#This Row],[Elevation (SRTM30-m)]]*3.280839895</f>
        <v>248.47529595759767</v>
      </c>
    </row>
    <row r="468" spans="2:9" ht="16" x14ac:dyDescent="0.2">
      <c r="B468" s="90">
        <v>464</v>
      </c>
      <c r="C468" s="91">
        <v>43918</v>
      </c>
      <c r="D468" s="92">
        <v>58.99</v>
      </c>
      <c r="E468" s="51" cm="1">
        <f t="array" ref="E4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404.34250962782318</v>
      </c>
      <c r="F468" s="49" cm="1">
        <f t="array" ref="F4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75.52438176698594</v>
      </c>
      <c r="G468" s="20">
        <f>tbl_Monitoring[[#This Row],[Area (km2)]]/4046.8564224*1000000</f>
        <v>14576.746452748084</v>
      </c>
      <c r="H468" s="20">
        <f>tbl_Monitoring[[#This Row],[Volume (MCM)]]/1233.4818375475*1000000</f>
        <v>327805.8073654063</v>
      </c>
      <c r="I468" s="40">
        <f>tbl_Monitoring[[#This Row],[Elevation (SRTM30-m)]]*3.280839895</f>
        <v>247.78340474633808</v>
      </c>
    </row>
    <row r="469" spans="2:9" ht="16" x14ac:dyDescent="0.2">
      <c r="B469" s="90">
        <v>465</v>
      </c>
      <c r="C469" s="91">
        <v>43920</v>
      </c>
      <c r="D469" s="92">
        <v>54.63</v>
      </c>
      <c r="E469" s="51" cm="1">
        <f t="array" ref="E4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371.96727900540776</v>
      </c>
      <c r="F469" s="49" cm="1">
        <f t="array" ref="F4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75.010709362739902</v>
      </c>
      <c r="G469" s="20">
        <f>tbl_Monitoring[[#This Row],[Area (km2)]]/4046.8564224*1000000</f>
        <v>13499.366989551243</v>
      </c>
      <c r="H469" s="20">
        <f>tbl_Monitoring[[#This Row],[Volume (MCM)]]/1233.4818375475*1000000</f>
        <v>301558.78074782249</v>
      </c>
      <c r="I469" s="40">
        <f>tbl_Monitoring[[#This Row],[Elevation (SRTM30-m)]]*3.280839895</f>
        <v>246.0981278295271</v>
      </c>
    </row>
    <row r="470" spans="2:9" ht="16" x14ac:dyDescent="0.2">
      <c r="B470" s="90">
        <v>466</v>
      </c>
      <c r="C470" s="91">
        <v>43925</v>
      </c>
      <c r="D470" s="92">
        <v>58.52</v>
      </c>
      <c r="E470" s="51" cm="1">
        <f t="array" ref="E4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400.85251917081968</v>
      </c>
      <c r="F470" s="49" cm="1">
        <f t="array" ref="F4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75.469008824326394</v>
      </c>
      <c r="G470" s="20">
        <f>tbl_Monitoring[[#This Row],[Area (km2)]]/4046.8564224*1000000</f>
        <v>14460.606923458516</v>
      </c>
      <c r="H470" s="20">
        <f>tbl_Monitoring[[#This Row],[Volume (MCM)]]/1233.4818375475*1000000</f>
        <v>324976.42605571263</v>
      </c>
      <c r="I470" s="40">
        <f>tbl_Monitoring[[#This Row],[Elevation (SRTM30-m)]]*3.280839895</f>
        <v>247.6017349869571</v>
      </c>
    </row>
    <row r="471" spans="2:9" ht="16" x14ac:dyDescent="0.2">
      <c r="B471" s="90">
        <v>467</v>
      </c>
      <c r="C471" s="91">
        <v>43926</v>
      </c>
      <c r="D471" s="92">
        <v>58.27</v>
      </c>
      <c r="E471" s="51" cm="1">
        <f t="array" ref="E4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398.99614126815823</v>
      </c>
      <c r="F471" s="49" cm="1">
        <f t="array" ref="F4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75.439555131422381</v>
      </c>
      <c r="G471" s="20">
        <f>tbl_Monitoring[[#This Row],[Area (km2)]]/4046.8564224*1000000</f>
        <v>14398.830578091725</v>
      </c>
      <c r="H471" s="20">
        <f>tbl_Monitoring[[#This Row],[Volume (MCM)]]/1233.4818375475*1000000</f>
        <v>323471.43599736493</v>
      </c>
      <c r="I471" s="40">
        <f>tbl_Monitoring[[#This Row],[Elevation (SRTM30-m)]]*3.280839895</f>
        <v>247.50510213622252</v>
      </c>
    </row>
    <row r="472" spans="2:9" ht="16" x14ac:dyDescent="0.2">
      <c r="B472" s="90">
        <v>468</v>
      </c>
      <c r="C472" s="91">
        <v>43930</v>
      </c>
      <c r="D472" s="92">
        <v>57.74</v>
      </c>
      <c r="E472" s="51" cm="1">
        <f t="array" ref="E4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395.06062011451598</v>
      </c>
      <c r="F472" s="49" cm="1">
        <f t="array" ref="F4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75.377113302465858</v>
      </c>
      <c r="G472" s="20">
        <f>tbl_Monitoring[[#This Row],[Area (km2)]]/4046.8564224*1000000</f>
        <v>14267.864725914127</v>
      </c>
      <c r="H472" s="20">
        <f>tbl_Monitoring[[#This Row],[Volume (MCM)]]/1233.4818375475*1000000</f>
        <v>320280.85707366781</v>
      </c>
      <c r="I472" s="40">
        <f>tbl_Monitoring[[#This Row],[Elevation (SRTM30-m)]]*3.280839895</f>
        <v>247.30024049266521</v>
      </c>
    </row>
    <row r="473" spans="2:9" ht="16" x14ac:dyDescent="0.2">
      <c r="B473" s="90">
        <v>469</v>
      </c>
      <c r="C473" s="91">
        <v>43934</v>
      </c>
      <c r="D473" s="92">
        <v>57.6</v>
      </c>
      <c r="E473" s="51" cm="1">
        <f t="array" ref="E4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394.02104848902559</v>
      </c>
      <c r="F473" s="49" cm="1">
        <f t="array" ref="F4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75.360619234439611</v>
      </c>
      <c r="G473" s="20">
        <f>tbl_Monitoring[[#This Row],[Area (km2)]]/4046.8564224*1000000</f>
        <v>14233.269972508724</v>
      </c>
      <c r="H473" s="20">
        <f>tbl_Monitoring[[#This Row],[Volume (MCM)]]/1233.4818375475*1000000</f>
        <v>319438.0626409931</v>
      </c>
      <c r="I473" s="40">
        <f>tbl_Monitoring[[#This Row],[Elevation (SRTM30-m)]]*3.280839895</f>
        <v>247.24612609625385</v>
      </c>
    </row>
    <row r="474" spans="2:9" ht="16" x14ac:dyDescent="0.2">
      <c r="B474" s="90">
        <v>470</v>
      </c>
      <c r="C474" s="91">
        <v>43935</v>
      </c>
      <c r="D474" s="92">
        <v>58.37</v>
      </c>
      <c r="E474" s="51" cm="1">
        <f t="array" ref="E4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399.73869242922279</v>
      </c>
      <c r="F474" s="49" cm="1">
        <f t="array" ref="F4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75.451336608583986</v>
      </c>
      <c r="G474" s="20">
        <f>tbl_Monitoring[[#This Row],[Area (km2)]]/4046.8564224*1000000</f>
        <v>14423.541116238441</v>
      </c>
      <c r="H474" s="20">
        <f>tbl_Monitoring[[#This Row],[Volume (MCM)]]/1233.4818375475*1000000</f>
        <v>324073.43202070397</v>
      </c>
      <c r="I474" s="40">
        <f>tbl_Monitoring[[#This Row],[Elevation (SRTM30-m)]]*3.280839895</f>
        <v>247.54375527651635</v>
      </c>
    </row>
    <row r="475" spans="2:9" ht="16" x14ac:dyDescent="0.2">
      <c r="B475" s="90">
        <v>471</v>
      </c>
      <c r="C475" s="91">
        <v>43940</v>
      </c>
      <c r="D475" s="92">
        <v>59.94</v>
      </c>
      <c r="E475" s="51" cm="1">
        <f t="array" ref="E4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411.39674565793655</v>
      </c>
      <c r="F475" s="49" cm="1">
        <f t="array" ref="F4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75.636305800021205</v>
      </c>
      <c r="G475" s="20">
        <f>tbl_Monitoring[[#This Row],[Area (km2)]]/4046.8564224*1000000</f>
        <v>14811.49656514189</v>
      </c>
      <c r="H475" s="20">
        <f>tbl_Monitoring[[#This Row],[Volume (MCM)]]/1233.4818375475*1000000</f>
        <v>333524.76958712749</v>
      </c>
      <c r="I475" s="40">
        <f>tbl_Monitoring[[#This Row],[Elevation (SRTM30-m)]]*3.280839895</f>
        <v>248.15060957912948</v>
      </c>
    </row>
    <row r="476" spans="2:9" ht="16" x14ac:dyDescent="0.2">
      <c r="B476" s="90">
        <v>472</v>
      </c>
      <c r="C476" s="91">
        <v>43942</v>
      </c>
      <c r="D476" s="92">
        <v>56.81</v>
      </c>
      <c r="E476" s="51" cm="1">
        <f t="array" ref="E4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388.15489431661547</v>
      </c>
      <c r="F476" s="49" cm="1">
        <f t="array" ref="F4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75.267545564862928</v>
      </c>
      <c r="G476" s="20">
        <f>tbl_Monitoring[[#This Row],[Area (km2)]]/4046.8564224*1000000</f>
        <v>14038.056721149662</v>
      </c>
      <c r="H476" s="20">
        <f>tbl_Monitoring[[#This Row],[Volume (MCM)]]/1233.4818375475*1000000</f>
        <v>314682.2940566144</v>
      </c>
      <c r="I476" s="40">
        <f>tbl_Monitoring[[#This Row],[Elevation (SRTM30-m)]]*3.280839895</f>
        <v>246.9407662879326</v>
      </c>
    </row>
    <row r="477" spans="2:9" ht="16" x14ac:dyDescent="0.2">
      <c r="B477" s="90">
        <v>473</v>
      </c>
      <c r="C477" s="91">
        <v>43945</v>
      </c>
      <c r="D477" s="92">
        <v>56.44</v>
      </c>
      <c r="E477" s="51" cm="1">
        <f t="array" ref="E4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385.40745502067648</v>
      </c>
      <c r="F477" s="49" cm="1">
        <f t="array" ref="F4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75.223954099364974</v>
      </c>
      <c r="G477" s="20">
        <f>tbl_Monitoring[[#This Row],[Area (km2)]]/4046.8564224*1000000</f>
        <v>13946.627730006812</v>
      </c>
      <c r="H477" s="20">
        <f>tbl_Monitoring[[#This Row],[Volume (MCM)]]/1233.4818375475*1000000</f>
        <v>312454.90877025976</v>
      </c>
      <c r="I477" s="40">
        <f>tbl_Monitoring[[#This Row],[Elevation (SRTM30-m)]]*3.280839895</f>
        <v>246.79774966884543</v>
      </c>
    </row>
    <row r="478" spans="2:9" ht="16" x14ac:dyDescent="0.2">
      <c r="B478" s="90">
        <v>474</v>
      </c>
      <c r="C478" s="91">
        <v>43950</v>
      </c>
      <c r="D478" s="92">
        <v>56.08</v>
      </c>
      <c r="E478" s="51" cm="1">
        <f t="array" ref="E4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382.73427084084403</v>
      </c>
      <c r="F478" s="49" cm="1">
        <f t="array" ref="F4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75.181540781583195</v>
      </c>
      <c r="G478" s="20">
        <f>tbl_Monitoring[[#This Row],[Area (km2)]]/4046.8564224*1000000</f>
        <v>13857.669792678631</v>
      </c>
      <c r="H478" s="20">
        <f>tbl_Monitoring[[#This Row],[Volume (MCM)]]/1233.4818375475*1000000</f>
        <v>310287.72308623907</v>
      </c>
      <c r="I478" s="40">
        <f>tbl_Monitoring[[#This Row],[Elevation (SRTM30-m)]]*3.280839895</f>
        <v>246.65859836378763</v>
      </c>
    </row>
    <row r="479" spans="2:9" ht="16" x14ac:dyDescent="0.2">
      <c r="B479" s="90">
        <v>475</v>
      </c>
      <c r="C479" s="91">
        <v>43950</v>
      </c>
      <c r="D479" s="92">
        <v>56.24</v>
      </c>
      <c r="E479" s="51" cm="1">
        <f t="array" ref="E4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383.9223526985474</v>
      </c>
      <c r="F479" s="49" cm="1">
        <f t="array" ref="F4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75.200391145041763</v>
      </c>
      <c r="G479" s="20">
        <f>tbl_Monitoring[[#This Row],[Area (km2)]]/4046.8564224*1000000</f>
        <v>13897.20665371338</v>
      </c>
      <c r="H479" s="20">
        <f>tbl_Monitoring[[#This Row],[Volume (MCM)]]/1233.4818375475*1000000</f>
        <v>311250.91672358167</v>
      </c>
      <c r="I479" s="40">
        <f>tbl_Monitoring[[#This Row],[Elevation (SRTM30-m)]]*3.280839895</f>
        <v>246.72044338825776</v>
      </c>
    </row>
    <row r="480" spans="2:9" ht="16" x14ac:dyDescent="0.2">
      <c r="B480" s="90">
        <v>476</v>
      </c>
      <c r="C480" s="91">
        <v>43955</v>
      </c>
      <c r="D480" s="92">
        <v>56.09</v>
      </c>
      <c r="E480" s="51" cm="1">
        <f t="array" ref="E4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382.80852595695052</v>
      </c>
      <c r="F480" s="49" cm="1">
        <f t="array" ref="F4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75.182718929299355</v>
      </c>
      <c r="G480" s="20">
        <f>tbl_Monitoring[[#This Row],[Area (km2)]]/4046.8564224*1000000</f>
        <v>13860.140846493305</v>
      </c>
      <c r="H480" s="20">
        <f>tbl_Monitoring[[#This Row],[Volume (MCM)]]/1233.4818375475*1000000</f>
        <v>310347.92268857302</v>
      </c>
      <c r="I480" s="40">
        <f>tbl_Monitoring[[#This Row],[Elevation (SRTM30-m)]]*3.280839895</f>
        <v>246.66246367781702</v>
      </c>
    </row>
    <row r="481" spans="2:9" ht="16" x14ac:dyDescent="0.2">
      <c r="B481" s="90">
        <v>477</v>
      </c>
      <c r="C481" s="91">
        <v>43958</v>
      </c>
      <c r="D481" s="92">
        <v>55.11</v>
      </c>
      <c r="E481" s="51" cm="1">
        <f t="array" ref="E4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375.53152457851769</v>
      </c>
      <c r="F481" s="49" cm="1">
        <f t="array" ref="F4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75.067260453115608</v>
      </c>
      <c r="G481" s="20">
        <f>tbl_Monitoring[[#This Row],[Area (km2)]]/4046.8564224*1000000</f>
        <v>13617.977572655482</v>
      </c>
      <c r="H481" s="20">
        <f>tbl_Monitoring[[#This Row],[Volume (MCM)]]/1233.4818375475*1000000</f>
        <v>304448.36165985005</v>
      </c>
      <c r="I481" s="40">
        <f>tbl_Monitoring[[#This Row],[Elevation (SRTM30-m)]]*3.280839895</f>
        <v>246.28366290293746</v>
      </c>
    </row>
    <row r="482" spans="2:9" ht="16" x14ac:dyDescent="0.2">
      <c r="B482" s="90">
        <v>478</v>
      </c>
      <c r="C482" s="91">
        <v>43960</v>
      </c>
      <c r="D482" s="92">
        <v>56.04</v>
      </c>
      <c r="E482" s="51" cm="1">
        <f t="array" ref="E4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382.43725037641821</v>
      </c>
      <c r="F482" s="49" cm="1">
        <f t="array" ref="F4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75.176828190718552</v>
      </c>
      <c r="G482" s="20">
        <f>tbl_Monitoring[[#This Row],[Area (km2)]]/4046.8564224*1000000</f>
        <v>13847.785577419945</v>
      </c>
      <c r="H482" s="20">
        <f>tbl_Monitoring[[#This Row],[Volume (MCM)]]/1233.4818375475*1000000</f>
        <v>310046.92467690347</v>
      </c>
      <c r="I482" s="40">
        <f>tbl_Monitoring[[#This Row],[Elevation (SRTM30-m)]]*3.280839895</f>
        <v>246.6431371076701</v>
      </c>
    </row>
    <row r="483" spans="2:9" ht="16" x14ac:dyDescent="0.2">
      <c r="B483" s="90">
        <v>479</v>
      </c>
      <c r="C483" s="91">
        <v>43965</v>
      </c>
      <c r="D483" s="92">
        <v>55.46</v>
      </c>
      <c r="E483" s="51" cm="1">
        <f t="array" ref="E4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378.13045364224371</v>
      </c>
      <c r="F483" s="49" cm="1">
        <f t="array" ref="F4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75.108495623181241</v>
      </c>
      <c r="G483" s="20">
        <f>tbl_Monitoring[[#This Row],[Area (km2)]]/4046.8564224*1000000</f>
        <v>13704.464456168989</v>
      </c>
      <c r="H483" s="20">
        <f>tbl_Monitoring[[#This Row],[Volume (MCM)]]/1233.4818375475*1000000</f>
        <v>306555.34774153685</v>
      </c>
      <c r="I483" s="40">
        <f>tbl_Monitoring[[#This Row],[Elevation (SRTM30-m)]]*3.280839895</f>
        <v>246.4189488939659</v>
      </c>
    </row>
    <row r="484" spans="2:9" ht="16" x14ac:dyDescent="0.2">
      <c r="B484" s="90">
        <v>480</v>
      </c>
      <c r="C484" s="91">
        <v>43966</v>
      </c>
      <c r="D484" s="92">
        <v>54.4</v>
      </c>
      <c r="E484" s="51" cm="1">
        <f t="array" ref="E4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370.31702279301169</v>
      </c>
      <c r="F484" s="49" cm="1">
        <f t="array" ref="F4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74.982117834599606</v>
      </c>
      <c r="G484" s="20">
        <f>tbl_Monitoring[[#This Row],[Area (km2)]]/4046.8564224*1000000</f>
        <v>13442.532751813793</v>
      </c>
      <c r="H484" s="20">
        <f>tbl_Monitoring[[#This Row],[Volume (MCM)]]/1233.4818375475*1000000</f>
        <v>300220.89626329922</v>
      </c>
      <c r="I484" s="40">
        <f>tbl_Monitoring[[#This Row],[Elevation (SRTM30-m)]]*3.280839895</f>
        <v>246.0043236033454</v>
      </c>
    </row>
    <row r="485" spans="2:9" ht="16" x14ac:dyDescent="0.2">
      <c r="B485" s="90">
        <v>481</v>
      </c>
      <c r="C485" s="91">
        <v>43974</v>
      </c>
      <c r="D485" s="92">
        <v>53.43</v>
      </c>
      <c r="E485" s="51" cm="1">
        <f t="array" ref="E4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363.51602429711909</v>
      </c>
      <c r="F485" s="49" cm="1">
        <f t="array" ref="F4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74.857418334683175</v>
      </c>
      <c r="G485" s="20">
        <f>tbl_Monitoring[[#This Row],[Area (km2)]]/4046.8564224*1000000</f>
        <v>13202.840531790644</v>
      </c>
      <c r="H485" s="20">
        <f>tbl_Monitoring[[#This Row],[Volume (MCM)]]/1233.4818375475*1000000</f>
        <v>294707.23705173371</v>
      </c>
      <c r="I485" s="40">
        <f>tbl_Monitoring[[#This Row],[Elevation (SRTM30-m)]]*3.280839895</f>
        <v>245.59520450913303</v>
      </c>
    </row>
    <row r="486" spans="2:9" ht="16" x14ac:dyDescent="0.2">
      <c r="B486" s="90">
        <v>482</v>
      </c>
      <c r="C486" s="91">
        <v>43975</v>
      </c>
      <c r="D486" s="92">
        <v>53.4</v>
      </c>
      <c r="E486" s="51" cm="1">
        <f t="array" ref="E4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363.30568413745232</v>
      </c>
      <c r="F486" s="49" cm="1">
        <f t="array" ref="F4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74.853561649118745</v>
      </c>
      <c r="G486" s="20">
        <f>tbl_Monitoring[[#This Row],[Area (km2)]]/4046.8564224*1000000</f>
        <v>13195.42737034663</v>
      </c>
      <c r="H486" s="20">
        <f>tbl_Monitoring[[#This Row],[Volume (MCM)]]/1233.4818375475*1000000</f>
        <v>294536.7115091079</v>
      </c>
      <c r="I486" s="40">
        <f>tbl_Monitoring[[#This Row],[Elevation (SRTM30-m)]]*3.280839895</f>
        <v>245.58255134127077</v>
      </c>
    </row>
    <row r="487" spans="2:9" ht="16" x14ac:dyDescent="0.2">
      <c r="B487" s="90">
        <v>483</v>
      </c>
      <c r="C487" s="91">
        <v>43980</v>
      </c>
      <c r="D487" s="92">
        <v>53.14</v>
      </c>
      <c r="E487" s="51" cm="1">
        <f t="array" ref="E4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361.48273608700686</v>
      </c>
      <c r="F487" s="49" cm="1">
        <f t="array" ref="F4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74.820137040893727</v>
      </c>
      <c r="G487" s="20">
        <f>tbl_Monitoring[[#This Row],[Area (km2)]]/4046.8564224*1000000</f>
        <v>13131.179971165166</v>
      </c>
      <c r="H487" s="20">
        <f>tbl_Monitoring[[#This Row],[Volume (MCM)]]/1233.4818375475*1000000</f>
        <v>293058.82347301813</v>
      </c>
      <c r="I487" s="40">
        <f>tbl_Monitoring[[#This Row],[Elevation (SRTM30-m)]]*3.280839895</f>
        <v>245.47289055313141</v>
      </c>
    </row>
    <row r="488" spans="2:9" ht="16" x14ac:dyDescent="0.2">
      <c r="B488" s="90">
        <v>484</v>
      </c>
      <c r="C488" s="91">
        <v>43982</v>
      </c>
      <c r="D488" s="92">
        <v>51.47</v>
      </c>
      <c r="E488" s="51" cm="1">
        <f t="array" ref="E4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349.77380053222259</v>
      </c>
      <c r="F488" s="49" cm="1">
        <f t="array" ref="F4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74.605448211140683</v>
      </c>
      <c r="G488" s="20">
        <f>tbl_Monitoring[[#This Row],[Area (km2)]]/4046.8564224*1000000</f>
        <v>12718.513984114999</v>
      </c>
      <c r="H488" s="20">
        <f>tbl_Monitoring[[#This Row],[Volume (MCM)]]/1233.4818375475*1000000</f>
        <v>283566.23493351863</v>
      </c>
      <c r="I488" s="40">
        <f>tbl_Monitoring[[#This Row],[Elevation (SRTM30-m)]]*3.280839895</f>
        <v>244.76853087546675</v>
      </c>
    </row>
    <row r="489" spans="2:9" ht="16" x14ac:dyDescent="0.2">
      <c r="B489" s="90">
        <v>485</v>
      </c>
      <c r="C489" s="91">
        <v>43985</v>
      </c>
      <c r="D489" s="92">
        <v>51.3</v>
      </c>
      <c r="E489" s="51" cm="1">
        <f t="array" ref="E4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348.5818729607775</v>
      </c>
      <c r="F489" s="49" cm="1">
        <f t="array" ref="F4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74.583593659608937</v>
      </c>
      <c r="G489" s="20">
        <f>tbl_Monitoring[[#This Row],[Area (km2)]]/4046.8564224*1000000</f>
        <v>12676.506069265582</v>
      </c>
      <c r="H489" s="20">
        <f>tbl_Monitoring[[#This Row],[Volume (MCM)]]/1233.4818375475*1000000</f>
        <v>282599.92352530611</v>
      </c>
      <c r="I489" s="40">
        <f>tbl_Monitoring[[#This Row],[Elevation (SRTM30-m)]]*3.280839895</f>
        <v>244.69682959091406</v>
      </c>
    </row>
    <row r="490" spans="2:9" ht="16" x14ac:dyDescent="0.2">
      <c r="B490" s="90">
        <v>486</v>
      </c>
      <c r="C490" s="91">
        <v>43995</v>
      </c>
      <c r="D490" s="92">
        <v>49.06</v>
      </c>
      <c r="E490" s="51" cm="1">
        <f t="array" ref="E4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332.87647437232448</v>
      </c>
      <c r="F490" s="49" cm="1">
        <f t="array" ref="F4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74.295627804131797</v>
      </c>
      <c r="G490" s="20">
        <f>tbl_Monitoring[[#This Row],[Area (km2)]]/4046.8564224*1000000</f>
        <v>12122.99001477913</v>
      </c>
      <c r="H490" s="20">
        <f>tbl_Monitoring[[#This Row],[Volume (MCM)]]/1233.4818375475*1000000</f>
        <v>269867.34967591753</v>
      </c>
      <c r="I490" s="40">
        <f>tbl_Monitoring[[#This Row],[Elevation (SRTM30-m)]]*3.280839895</f>
        <v>243.75205972386686</v>
      </c>
    </row>
    <row r="491" spans="2:9" ht="16" x14ac:dyDescent="0.2">
      <c r="B491" s="90">
        <v>487</v>
      </c>
      <c r="C491" s="91">
        <v>43998</v>
      </c>
      <c r="D491" s="92">
        <v>49.64</v>
      </c>
      <c r="E491" s="51" cm="1">
        <f t="array" ref="E4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336.94305079254889</v>
      </c>
      <c r="F491" s="49" cm="1">
        <f t="array" ref="F4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74.370190391710693</v>
      </c>
      <c r="G491" s="20">
        <f>tbl_Monitoring[[#This Row],[Area (km2)]]/4046.8564224*1000000</f>
        <v>12266.311136030086</v>
      </c>
      <c r="H491" s="20">
        <f>tbl_Monitoring[[#This Row],[Volume (MCM)]]/1233.4818375475*1000000</f>
        <v>273164.17683334847</v>
      </c>
      <c r="I491" s="40">
        <f>tbl_Monitoring[[#This Row],[Elevation (SRTM30-m)]]*3.280839895</f>
        <v>243.99668763587013</v>
      </c>
    </row>
    <row r="492" spans="2:9" ht="16" x14ac:dyDescent="0.2">
      <c r="B492" s="90">
        <v>488</v>
      </c>
      <c r="C492" s="91">
        <v>44000</v>
      </c>
      <c r="D492" s="92">
        <v>48.26</v>
      </c>
      <c r="E492" s="51" cm="1">
        <f t="array" ref="E4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327.26740344787692</v>
      </c>
      <c r="F492" s="49" cm="1">
        <f t="array" ref="F4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74.192782855747097</v>
      </c>
      <c r="G492" s="20">
        <f>tbl_Monitoring[[#This Row],[Area (km2)]]/4046.8564224*1000000</f>
        <v>11925.305709605398</v>
      </c>
      <c r="H492" s="20">
        <f>tbl_Monitoring[[#This Row],[Volume (MCM)]]/1233.4818375475*1000000</f>
        <v>265320.00187256443</v>
      </c>
      <c r="I492" s="40">
        <f>tbl_Monitoring[[#This Row],[Elevation (SRTM30-m)]]*3.280839895</f>
        <v>243.41464191420712</v>
      </c>
    </row>
    <row r="493" spans="2:9" ht="16" x14ac:dyDescent="0.2">
      <c r="B493" s="90">
        <v>489</v>
      </c>
      <c r="C493" s="91">
        <v>44005</v>
      </c>
      <c r="D493" s="92">
        <v>46.91</v>
      </c>
      <c r="E493" s="51" cm="1">
        <f t="array" ref="E4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317.80209626287166</v>
      </c>
      <c r="F493" s="49" cm="1">
        <f t="array" ref="F4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74.019232005347931</v>
      </c>
      <c r="G493" s="20">
        <f>tbl_Monitoring[[#This Row],[Area (km2)]]/4046.8564224*1000000</f>
        <v>11591.713444624724</v>
      </c>
      <c r="H493" s="20">
        <f>tbl_Monitoring[[#This Row],[Volume (MCM)]]/1233.4818375475*1000000</f>
        <v>257646.35245440609</v>
      </c>
      <c r="I493" s="40">
        <f>tbl_Monitoring[[#This Row],[Elevation (SRTM30-m)]]*3.280839895</f>
        <v>242.84524936040637</v>
      </c>
    </row>
    <row r="494" spans="2:9" ht="16" x14ac:dyDescent="0.2">
      <c r="B494" s="90">
        <v>490</v>
      </c>
      <c r="C494" s="91">
        <v>44006</v>
      </c>
      <c r="D494" s="92">
        <v>47.24</v>
      </c>
      <c r="E494" s="51" cm="1">
        <f t="array" ref="E4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320.11583801920631</v>
      </c>
      <c r="F494" s="49" cm="1">
        <f t="array" ref="F4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74.061655546556622</v>
      </c>
      <c r="G494" s="20">
        <f>tbl_Monitoring[[#This Row],[Area (km2)]]/4046.8564224*1000000</f>
        <v>11673.258220508891</v>
      </c>
      <c r="H494" s="20">
        <f>tbl_Monitoring[[#This Row],[Volume (MCM)]]/1233.4818375475*1000000</f>
        <v>259522.13342328928</v>
      </c>
      <c r="I494" s="40">
        <f>tbl_Monitoring[[#This Row],[Elevation (SRTM30-m)]]*3.280839895</f>
        <v>242.984434206891</v>
      </c>
    </row>
    <row r="495" spans="2:9" ht="16" x14ac:dyDescent="0.2">
      <c r="B495" s="90">
        <v>491</v>
      </c>
      <c r="C495" s="91">
        <v>44010</v>
      </c>
      <c r="D495" s="92">
        <v>46.52</v>
      </c>
      <c r="E495" s="51" cm="1">
        <f t="array" ref="E4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315.06897367853293</v>
      </c>
      <c r="F495" s="49" cm="1">
        <f t="array" ref="F4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73.963981781133882</v>
      </c>
      <c r="G495" s="20">
        <f>tbl_Monitoring[[#This Row],[Area (km2)]]/4046.8564224*1000000</f>
        <v>11495.342345852532</v>
      </c>
      <c r="H495" s="20">
        <f>tbl_Monitoring[[#This Row],[Volume (MCM)]]/1233.4818375475*1000000</f>
        <v>255430.57391503747</v>
      </c>
      <c r="I495" s="40">
        <f>tbl_Monitoring[[#This Row],[Elevation (SRTM30-m)]]*3.280839895</f>
        <v>242.66398222059721</v>
      </c>
    </row>
    <row r="496" spans="2:9" ht="16" x14ac:dyDescent="0.2">
      <c r="B496" s="90">
        <v>492</v>
      </c>
      <c r="C496" s="91">
        <v>44014</v>
      </c>
      <c r="D496" s="92">
        <v>45.88</v>
      </c>
      <c r="E496" s="51" cm="1">
        <f t="array" ref="E4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310.58517648327944</v>
      </c>
      <c r="F496" s="49" cm="1">
        <f t="array" ref="F4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73.868093012105959</v>
      </c>
      <c r="G496" s="20">
        <f>tbl_Monitoring[[#This Row],[Area (km2)]]/4046.8564224*1000000</f>
        <v>11337.194901713547</v>
      </c>
      <c r="H496" s="20">
        <f>tbl_Monitoring[[#This Row],[Volume (MCM)]]/1233.4818375475*1000000</f>
        <v>251795.5003705672</v>
      </c>
      <c r="I496" s="40">
        <f>tbl_Monitoring[[#This Row],[Elevation (SRTM30-m)]]*3.280839895</f>
        <v>242.34938652168796</v>
      </c>
    </row>
    <row r="497" spans="2:9" ht="16" x14ac:dyDescent="0.2">
      <c r="B497" s="90">
        <v>493</v>
      </c>
      <c r="C497" s="91">
        <v>44015</v>
      </c>
      <c r="D497" s="92">
        <v>45.17</v>
      </c>
      <c r="E497" s="51" cm="1">
        <f t="array" ref="E4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305.61096396979508</v>
      </c>
      <c r="F497" s="49" cm="1">
        <f t="array" ref="F4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73.761716408965597</v>
      </c>
      <c r="G497" s="20">
        <f>tbl_Monitoring[[#This Row],[Area (km2)]]/4046.8564224*1000000</f>
        <v>11161.75008087186</v>
      </c>
      <c r="H497" s="20">
        <f>tbl_Monitoring[[#This Row],[Volume (MCM)]]/1233.4818375475*1000000</f>
        <v>247762.84065717048</v>
      </c>
      <c r="I497" s="40">
        <f>tbl_Monitoring[[#This Row],[Elevation (SRTM30-m)]]*3.280839895</f>
        <v>242.00038191821048</v>
      </c>
    </row>
    <row r="498" spans="2:9" ht="16" x14ac:dyDescent="0.2">
      <c r="B498" s="90">
        <v>494</v>
      </c>
      <c r="C498" s="91">
        <v>44022</v>
      </c>
      <c r="D498" s="92">
        <v>43.53</v>
      </c>
      <c r="E498" s="51" cm="1">
        <f t="array" ref="E4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294.12123365695794</v>
      </c>
      <c r="F498" s="49" cm="1">
        <f t="array" ref="F4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73.516001438331543</v>
      </c>
      <c r="G498" s="20">
        <f>tbl_Monitoring[[#This Row],[Area (km2)]]/4046.8564224*1000000</f>
        <v>10756.497255265707</v>
      </c>
      <c r="H498" s="20">
        <f>tbl_Monitoring[[#This Row],[Volume (MCM)]]/1233.4818375475*1000000</f>
        <v>238447.96469946534</v>
      </c>
      <c r="I498" s="40">
        <f>tbl_Monitoring[[#This Row],[Elevation (SRTM30-m)]]*3.280839895</f>
        <v>241.19423043975553</v>
      </c>
    </row>
    <row r="499" spans="2:9" ht="16" x14ac:dyDescent="0.2">
      <c r="B499" s="90">
        <v>495</v>
      </c>
      <c r="C499" s="91">
        <v>44025</v>
      </c>
      <c r="D499" s="92">
        <v>43.02</v>
      </c>
      <c r="E499" s="51" cm="1">
        <f t="array" ref="E4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290.54820776699034</v>
      </c>
      <c r="F499" s="49" cm="1">
        <f t="array" ref="F4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73.439590075512413</v>
      </c>
      <c r="G499" s="20">
        <f>tbl_Monitoring[[#This Row],[Area (km2)]]/4046.8564224*1000000</f>
        <v>10630.473510717455</v>
      </c>
      <c r="H499" s="20">
        <f>tbl_Monitoring[[#This Row],[Volume (MCM)]]/1233.4818375475*1000000</f>
        <v>235551.26546871566</v>
      </c>
      <c r="I499" s="40">
        <f>tbl_Monitoring[[#This Row],[Elevation (SRTM30-m)]]*3.280839895</f>
        <v>240.94353699218721</v>
      </c>
    </row>
    <row r="500" spans="2:9" ht="16" x14ac:dyDescent="0.2">
      <c r="B500" s="90">
        <v>496</v>
      </c>
      <c r="C500" s="91">
        <v>44030</v>
      </c>
      <c r="D500" s="92">
        <v>44.63</v>
      </c>
      <c r="E500" s="51" cm="1">
        <f t="array" ref="E5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301.82776008629992</v>
      </c>
      <c r="F500" s="49" cm="1">
        <f t="array" ref="F5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73.680810260098283</v>
      </c>
      <c r="G500" s="20">
        <f>tbl_Monitoring[[#This Row],[Area (km2)]]/4046.8564224*1000000</f>
        <v>11028.313174879589</v>
      </c>
      <c r="H500" s="20">
        <f>tbl_Monitoring[[#This Row],[Volume (MCM)]]/1233.4818375475*1000000</f>
        <v>244695.74735402365</v>
      </c>
      <c r="I500" s="40">
        <f>tbl_Monitoring[[#This Row],[Elevation (SRTM30-m)]]*3.280839895</f>
        <v>241.7349417972558</v>
      </c>
    </row>
    <row r="501" spans="2:9" ht="16" x14ac:dyDescent="0.2">
      <c r="B501" s="90">
        <v>497</v>
      </c>
      <c r="C501" s="91">
        <v>44030</v>
      </c>
      <c r="D501" s="92">
        <v>44.12</v>
      </c>
      <c r="E501" s="51" cm="1">
        <f t="array" ref="E5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298.25473419633227</v>
      </c>
      <c r="F501" s="49" cm="1">
        <f t="array" ref="F5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73.604398897279154</v>
      </c>
      <c r="G501" s="20">
        <f>tbl_Monitoring[[#This Row],[Area (km2)]]/4046.8564224*1000000</f>
        <v>10902.289430331333</v>
      </c>
      <c r="H501" s="20">
        <f>tbl_Monitoring[[#This Row],[Volume (MCM)]]/1233.4818375475*1000000</f>
        <v>241799.04812327391</v>
      </c>
      <c r="I501" s="40">
        <f>tbl_Monitoring[[#This Row],[Elevation (SRTM30-m)]]*3.280839895</f>
        <v>241.48424834968748</v>
      </c>
    </row>
    <row r="502" spans="2:9" ht="16" x14ac:dyDescent="0.2">
      <c r="B502" s="90">
        <v>498</v>
      </c>
      <c r="C502" s="91">
        <v>44038</v>
      </c>
      <c r="D502" s="92">
        <v>52.66</v>
      </c>
      <c r="E502" s="51" cm="1">
        <f t="array" ref="E5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358.11729353233829</v>
      </c>
      <c r="F502" s="49" cm="1">
        <f t="array" ref="F5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74.758430071862904</v>
      </c>
      <c r="G502" s="20">
        <f>tbl_Monitoring[[#This Row],[Area (km2)]]/4046.8564224*1000000</f>
        <v>13012.569388060925</v>
      </c>
      <c r="H502" s="20">
        <f>tbl_Monitoring[[#This Row],[Volume (MCM)]]/1233.4818375475*1000000</f>
        <v>290330.4147910063</v>
      </c>
      <c r="I502" s="40">
        <f>tbl_Monitoring[[#This Row],[Elevation (SRTM30-m)]]*3.280839895</f>
        <v>245.27043986733554</v>
      </c>
    </row>
    <row r="503" spans="2:9" ht="16" x14ac:dyDescent="0.2">
      <c r="B503" s="90">
        <v>499</v>
      </c>
      <c r="C503" s="91">
        <v>44040</v>
      </c>
      <c r="D503" s="92">
        <v>54.55</v>
      </c>
      <c r="E503" s="51" cm="1">
        <f t="array" ref="E5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371.37323807655605</v>
      </c>
      <c r="F503" s="49" cm="1">
        <f t="array" ref="F5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75.001284181010618</v>
      </c>
      <c r="G503" s="20">
        <f>tbl_Monitoring[[#This Row],[Area (km2)]]/4046.8564224*1000000</f>
        <v>13479.598559033868</v>
      </c>
      <c r="H503" s="20">
        <f>tbl_Monitoring[[#This Row],[Volume (MCM)]]/1233.4818375475*1000000</f>
        <v>301077.18392915122</v>
      </c>
      <c r="I503" s="40">
        <f>tbl_Monitoring[[#This Row],[Elevation (SRTM30-m)]]*3.280839895</f>
        <v>246.06720531729206</v>
      </c>
    </row>
    <row r="504" spans="2:9" ht="16" x14ac:dyDescent="0.2">
      <c r="B504" s="90">
        <v>500</v>
      </c>
      <c r="C504" s="91">
        <v>44045</v>
      </c>
      <c r="D504" s="92">
        <v>54.91</v>
      </c>
      <c r="E504" s="51" cm="1">
        <f t="array" ref="E5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374.0464222563885</v>
      </c>
      <c r="F504" s="49" cm="1">
        <f t="array" ref="F5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75.043697498792397</v>
      </c>
      <c r="G504" s="20">
        <f>tbl_Monitoring[[#This Row],[Area (km2)]]/4046.8564224*1000000</f>
        <v>13568.556496362047</v>
      </c>
      <c r="H504" s="20">
        <f>tbl_Monitoring[[#This Row],[Volume (MCM)]]/1233.4818375475*1000000</f>
        <v>303244.36961317185</v>
      </c>
      <c r="I504" s="40">
        <f>tbl_Monitoring[[#This Row],[Elevation (SRTM30-m)]]*3.280839895</f>
        <v>246.20635662234983</v>
      </c>
    </row>
    <row r="505" spans="2:9" ht="16" x14ac:dyDescent="0.2">
      <c r="B505" s="90">
        <v>501</v>
      </c>
      <c r="C505" s="91">
        <v>44046</v>
      </c>
      <c r="D505" s="92">
        <v>53.73</v>
      </c>
      <c r="E505" s="51" cm="1">
        <f t="array" ref="E5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365.61942589378691</v>
      </c>
      <c r="F505" s="49" cm="1">
        <f t="array" ref="F5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74.895985190327437</v>
      </c>
      <c r="G505" s="20">
        <f>tbl_Monitoring[[#This Row],[Area (km2)]]/4046.8564224*1000000</f>
        <v>13276.972146230793</v>
      </c>
      <c r="H505" s="20">
        <f>tbl_Monitoring[[#This Row],[Volume (MCM)]]/1233.4818375475*1000000</f>
        <v>296412.49247799104</v>
      </c>
      <c r="I505" s="40">
        <f>tbl_Monitoring[[#This Row],[Elevation (SRTM30-m)]]*3.280839895</f>
        <v>245.72173618775543</v>
      </c>
    </row>
    <row r="506" spans="2:9" ht="16" x14ac:dyDescent="0.2">
      <c r="B506" s="90">
        <v>502</v>
      </c>
      <c r="C506" s="91">
        <v>44060</v>
      </c>
      <c r="D506" s="92">
        <v>56.58</v>
      </c>
      <c r="E506" s="51" cm="1">
        <f t="array" ref="E5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386.44702664616688</v>
      </c>
      <c r="F506" s="49" cm="1">
        <f t="array" ref="F5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75.240448167391222</v>
      </c>
      <c r="G506" s="20">
        <f>tbl_Monitoring[[#This Row],[Area (km2)]]/4046.8564224*1000000</f>
        <v>13981.222483412215</v>
      </c>
      <c r="H506" s="20">
        <f>tbl_Monitoring[[#This Row],[Volume (MCM)]]/1233.4818375475*1000000</f>
        <v>313297.70320293447</v>
      </c>
      <c r="I506" s="40">
        <f>tbl_Monitoring[[#This Row],[Elevation (SRTM30-m)]]*3.280839895</f>
        <v>246.85186406525676</v>
      </c>
    </row>
    <row r="507" spans="2:9" ht="16" x14ac:dyDescent="0.2">
      <c r="B507" s="90">
        <v>503</v>
      </c>
      <c r="C507" s="91">
        <v>44065</v>
      </c>
      <c r="D507" s="92">
        <v>56.28</v>
      </c>
      <c r="E507" s="51" cm="1">
        <f t="array" ref="E5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384.21937316297323</v>
      </c>
      <c r="F507" s="49" cm="1">
        <f t="array" ref="F5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75.205103735906405</v>
      </c>
      <c r="G507" s="20">
        <f>tbl_Monitoring[[#This Row],[Area (km2)]]/4046.8564224*1000000</f>
        <v>13907.090868972065</v>
      </c>
      <c r="H507" s="20">
        <f>tbl_Monitoring[[#This Row],[Volume (MCM)]]/1233.4818375475*1000000</f>
        <v>311491.71513291728</v>
      </c>
      <c r="I507" s="40">
        <f>tbl_Monitoring[[#This Row],[Elevation (SRTM30-m)]]*3.280839895</f>
        <v>246.7359046443753</v>
      </c>
    </row>
    <row r="508" spans="2:9" ht="16" x14ac:dyDescent="0.2">
      <c r="B508" s="90">
        <v>504</v>
      </c>
      <c r="C508" s="91">
        <v>44075</v>
      </c>
      <c r="D508" s="92">
        <v>57.29</v>
      </c>
      <c r="E508" s="51" cm="1">
        <f t="array" ref="E5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391.7191398897254</v>
      </c>
      <c r="F508" s="49" cm="1">
        <f t="array" ref="F5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75.324096655238634</v>
      </c>
      <c r="G508" s="20">
        <f>tbl_Monitoring[[#This Row],[Area (km2)]]/4046.8564224*1000000</f>
        <v>14156.667304253901</v>
      </c>
      <c r="H508" s="20">
        <f>tbl_Monitoring[[#This Row],[Volume (MCM)]]/1233.4818375475*1000000</f>
        <v>317571.87496864196</v>
      </c>
      <c r="I508" s="40">
        <f>tbl_Monitoring[[#This Row],[Elevation (SRTM30-m)]]*3.280839895</f>
        <v>247.126301361343</v>
      </c>
    </row>
    <row r="509" spans="2:9" ht="16" x14ac:dyDescent="0.2">
      <c r="B509" s="90">
        <v>505</v>
      </c>
      <c r="C509" s="91">
        <v>44078</v>
      </c>
      <c r="D509" s="92">
        <v>56.77</v>
      </c>
      <c r="E509" s="51" cm="1">
        <f t="array" ref="E5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387.85787385218964</v>
      </c>
      <c r="F509" s="49" cm="1">
        <f t="array" ref="F5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75.262832973998286</v>
      </c>
      <c r="G509" s="20">
        <f>tbl_Monitoring[[#This Row],[Area (km2)]]/4046.8564224*1000000</f>
        <v>14028.172505890976</v>
      </c>
      <c r="H509" s="20">
        <f>tbl_Monitoring[[#This Row],[Volume (MCM)]]/1233.4818375475*1000000</f>
        <v>314441.49564727879</v>
      </c>
      <c r="I509" s="40">
        <f>tbl_Monitoring[[#This Row],[Elevation (SRTM30-m)]]*3.280839895</f>
        <v>246.9253050318151</v>
      </c>
    </row>
    <row r="510" spans="2:9" ht="16" x14ac:dyDescent="0.2">
      <c r="B510" s="90">
        <v>506</v>
      </c>
      <c r="C510" s="91">
        <v>44080</v>
      </c>
      <c r="D510" s="92">
        <v>56.56</v>
      </c>
      <c r="E510" s="51" cm="1">
        <f t="array" ref="E5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386.29851641395402</v>
      </c>
      <c r="F510" s="49" cm="1">
        <f t="array" ref="F5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75.2380918719589</v>
      </c>
      <c r="G510" s="20">
        <f>tbl_Monitoring[[#This Row],[Area (km2)]]/4046.8564224*1000000</f>
        <v>13976.280375782873</v>
      </c>
      <c r="H510" s="20">
        <f>tbl_Monitoring[[#This Row],[Volume (MCM)]]/1233.4818375475*1000000</f>
        <v>313177.3039982667</v>
      </c>
      <c r="I510" s="40">
        <f>tbl_Monitoring[[#This Row],[Elevation (SRTM30-m)]]*3.280839895</f>
        <v>246.844133437198</v>
      </c>
    </row>
    <row r="511" spans="2:9" ht="16" x14ac:dyDescent="0.2">
      <c r="B511" s="90">
        <v>507</v>
      </c>
      <c r="C511" s="91">
        <v>44085</v>
      </c>
      <c r="D511" s="92">
        <v>55.82</v>
      </c>
      <c r="E511" s="51" cm="1">
        <f t="array" ref="E5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380.80363782207615</v>
      </c>
      <c r="F511" s="49" cm="1">
        <f t="array" ref="F5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75.150908940963021</v>
      </c>
      <c r="G511" s="20">
        <f>tbl_Monitoring[[#This Row],[Area (km2)]]/4046.8564224*1000000</f>
        <v>13793.422393497169</v>
      </c>
      <c r="H511" s="20">
        <f>tbl_Monitoring[[#This Row],[Volume (MCM)]]/1233.4818375475*1000000</f>
        <v>308722.53342555749</v>
      </c>
      <c r="I511" s="40">
        <f>tbl_Monitoring[[#This Row],[Elevation (SRTM30-m)]]*3.280839895</f>
        <v>246.5581001990237</v>
      </c>
    </row>
    <row r="512" spans="2:9" ht="16" x14ac:dyDescent="0.2">
      <c r="B512" s="90">
        <v>508</v>
      </c>
      <c r="C512" s="91">
        <v>44086</v>
      </c>
      <c r="D512" s="92">
        <v>55.7</v>
      </c>
      <c r="E512" s="51" cm="1">
        <f t="array" ref="E5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379.91257642879867</v>
      </c>
      <c r="F512" s="49" cm="1">
        <f t="array" ref="F5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75.136771168369094</v>
      </c>
      <c r="G512" s="20">
        <f>tbl_Monitoring[[#This Row],[Area (km2)]]/4046.8564224*1000000</f>
        <v>13763.76974772111</v>
      </c>
      <c r="H512" s="20">
        <f>tbl_Monitoring[[#This Row],[Volume (MCM)]]/1233.4818375475*1000000</f>
        <v>308000.13819755061</v>
      </c>
      <c r="I512" s="40">
        <f>tbl_Monitoring[[#This Row],[Elevation (SRTM30-m)]]*3.280839895</f>
        <v>246.5117164306711</v>
      </c>
    </row>
    <row r="513" spans="2:9" ht="16" x14ac:dyDescent="0.2">
      <c r="B513" s="90">
        <v>509</v>
      </c>
      <c r="C513" s="91">
        <v>44090</v>
      </c>
      <c r="D513" s="92">
        <v>55.86</v>
      </c>
      <c r="E513" s="51" cm="1">
        <f t="array" ref="E5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381.10065828650198</v>
      </c>
      <c r="F513" s="49" cm="1">
        <f t="array" ref="F5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75.155621531827663</v>
      </c>
      <c r="G513" s="20">
        <f>tbl_Monitoring[[#This Row],[Area (km2)]]/4046.8564224*1000000</f>
        <v>13803.306608755856</v>
      </c>
      <c r="H513" s="20">
        <f>tbl_Monitoring[[#This Row],[Volume (MCM)]]/1233.4818375475*1000000</f>
        <v>308963.33183489315</v>
      </c>
      <c r="I513" s="40">
        <f>tbl_Monitoring[[#This Row],[Elevation (SRTM30-m)]]*3.280839895</f>
        <v>246.57356145514123</v>
      </c>
    </row>
    <row r="514" spans="2:9" ht="16" x14ac:dyDescent="0.2">
      <c r="B514" s="90">
        <v>510</v>
      </c>
      <c r="C514" s="91">
        <v>44094</v>
      </c>
      <c r="D514" s="92">
        <v>55.53</v>
      </c>
      <c r="E514" s="51" cm="1">
        <f t="array" ref="E5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378.65023945498888</v>
      </c>
      <c r="F514" s="49" cm="1">
        <f t="array" ref="F5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75.116742657194365</v>
      </c>
      <c r="G514" s="20">
        <f>tbl_Monitoring[[#This Row],[Area (km2)]]/4046.8564224*1000000</f>
        <v>13721.761832871691</v>
      </c>
      <c r="H514" s="20">
        <f>tbl_Monitoring[[#This Row],[Volume (MCM)]]/1233.4818375475*1000000</f>
        <v>306976.74495787418</v>
      </c>
      <c r="I514" s="40">
        <f>tbl_Monitoring[[#This Row],[Elevation (SRTM30-m)]]*3.280839895</f>
        <v>246.44600609217159</v>
      </c>
    </row>
    <row r="515" spans="2:9" ht="16" x14ac:dyDescent="0.2">
      <c r="B515" s="90">
        <v>511</v>
      </c>
      <c r="C515" s="91">
        <v>44095</v>
      </c>
      <c r="D515" s="92">
        <v>55.02</v>
      </c>
      <c r="E515" s="51" cm="1">
        <f t="array" ref="E5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374.86322853355961</v>
      </c>
      <c r="F515" s="49" cm="1">
        <f t="array" ref="F5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75.056657123670163</v>
      </c>
      <c r="G515" s="20">
        <f>tbl_Monitoring[[#This Row],[Area (km2)]]/4046.8564224*1000000</f>
        <v>13595.738088323436</v>
      </c>
      <c r="H515" s="20">
        <f>tbl_Monitoring[[#This Row],[Volume (MCM)]]/1233.4818375475*1000000</f>
        <v>303906.56523884489</v>
      </c>
      <c r="I515" s="40">
        <f>tbl_Monitoring[[#This Row],[Elevation (SRTM30-m)]]*3.280839895</f>
        <v>246.24887507667304</v>
      </c>
    </row>
    <row r="516" spans="2:9" ht="16" x14ac:dyDescent="0.2">
      <c r="B516" s="90">
        <v>512</v>
      </c>
      <c r="C516" s="91">
        <v>44100</v>
      </c>
      <c r="D516" s="92">
        <v>54.87</v>
      </c>
      <c r="E516" s="51" cm="1">
        <f t="array" ref="E5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373.74940179196267</v>
      </c>
      <c r="F516" s="49" cm="1">
        <f t="array" ref="F5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75.038984907927755</v>
      </c>
      <c r="G516" s="20">
        <f>tbl_Monitoring[[#This Row],[Area (km2)]]/4046.8564224*1000000</f>
        <v>13558.672281103361</v>
      </c>
      <c r="H516" s="20">
        <f>tbl_Monitoring[[#This Row],[Volume (MCM)]]/1233.4818375475*1000000</f>
        <v>303003.57120383624</v>
      </c>
      <c r="I516" s="40">
        <f>tbl_Monitoring[[#This Row],[Elevation (SRTM30-m)]]*3.280839895</f>
        <v>246.1908953662323</v>
      </c>
    </row>
    <row r="517" spans="2:9" ht="16" x14ac:dyDescent="0.2">
      <c r="B517" s="90">
        <v>513</v>
      </c>
      <c r="C517" s="91">
        <v>44102</v>
      </c>
      <c r="D517" s="92">
        <v>54.67</v>
      </c>
      <c r="E517" s="51" cm="1">
        <f t="array" ref="E5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372.26429946983359</v>
      </c>
      <c r="F517" s="49" cm="1">
        <f t="array" ref="F5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75.015421953604545</v>
      </c>
      <c r="G517" s="20">
        <f>tbl_Monitoring[[#This Row],[Area (km2)]]/4046.8564224*1000000</f>
        <v>13509.251204809929</v>
      </c>
      <c r="H517" s="20">
        <f>tbl_Monitoring[[#This Row],[Volume (MCM)]]/1233.4818375475*1000000</f>
        <v>301799.57915715815</v>
      </c>
      <c r="I517" s="40">
        <f>tbl_Monitoring[[#This Row],[Elevation (SRTM30-m)]]*3.280839895</f>
        <v>246.11358908564463</v>
      </c>
    </row>
    <row r="518" spans="2:9" ht="16" x14ac:dyDescent="0.2">
      <c r="B518" s="90">
        <v>514</v>
      </c>
      <c r="C518" s="91">
        <v>44105</v>
      </c>
      <c r="D518" s="92">
        <v>54.39</v>
      </c>
      <c r="E518" s="51" cm="1">
        <f t="array" ref="E5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370.2469094064561</v>
      </c>
      <c r="F518" s="49" cm="1">
        <f t="array" ref="F5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74.980832272744806</v>
      </c>
      <c r="G518" s="20">
        <f>tbl_Monitoring[[#This Row],[Area (km2)]]/4046.8564224*1000000</f>
        <v>13440.061697999123</v>
      </c>
      <c r="H518" s="20">
        <f>tbl_Monitoring[[#This Row],[Volume (MCM)]]/1233.4818375475*1000000</f>
        <v>300164.0544157573</v>
      </c>
      <c r="I518" s="40">
        <f>tbl_Monitoring[[#This Row],[Elevation (SRTM30-m)]]*3.280839895</f>
        <v>246.0001058807247</v>
      </c>
    </row>
    <row r="519" spans="2:9" ht="16" x14ac:dyDescent="0.2">
      <c r="B519" s="90">
        <v>515</v>
      </c>
      <c r="C519" s="91">
        <v>44110</v>
      </c>
      <c r="D519" s="92">
        <v>53.33</v>
      </c>
      <c r="E519" s="51" cm="1">
        <f t="array" ref="E5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362.81489043156313</v>
      </c>
      <c r="F519" s="49" cm="1">
        <f t="array" ref="F5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74.844562716135087</v>
      </c>
      <c r="G519" s="20">
        <f>tbl_Monitoring[[#This Row],[Area (km2)]]/4046.8564224*1000000</f>
        <v>13178.129993643926</v>
      </c>
      <c r="H519" s="20">
        <f>tbl_Monitoring[[#This Row],[Volume (MCM)]]/1233.4818375475*1000000</f>
        <v>294138.81857631454</v>
      </c>
      <c r="I519" s="40">
        <f>tbl_Monitoring[[#This Row],[Elevation (SRTM30-m)]]*3.280839895</f>
        <v>245.55302728292557</v>
      </c>
    </row>
    <row r="520" spans="2:9" ht="16" x14ac:dyDescent="0.2">
      <c r="B520" s="90">
        <v>516</v>
      </c>
      <c r="C520" s="91">
        <v>44115</v>
      </c>
      <c r="D520" s="92">
        <v>53.17</v>
      </c>
      <c r="E520" s="51" cm="1">
        <f t="array" ref="E5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361.69307624667363</v>
      </c>
      <c r="F520" s="49" cm="1">
        <f t="array" ref="F5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74.823993726458156</v>
      </c>
      <c r="G520" s="20">
        <f>tbl_Monitoring[[#This Row],[Area (km2)]]/4046.8564224*1000000</f>
        <v>13138.593132609181</v>
      </c>
      <c r="H520" s="20">
        <f>tbl_Monitoring[[#This Row],[Volume (MCM)]]/1233.4818375475*1000000</f>
        <v>293229.34901564388</v>
      </c>
      <c r="I520" s="40">
        <f>tbl_Monitoring[[#This Row],[Elevation (SRTM30-m)]]*3.280839895</f>
        <v>245.48554372099366</v>
      </c>
    </row>
    <row r="521" spans="2:9" ht="16" x14ac:dyDescent="0.2">
      <c r="B521" s="90">
        <v>517</v>
      </c>
      <c r="C521" s="91">
        <v>44118</v>
      </c>
      <c r="D521" s="92">
        <v>52.99</v>
      </c>
      <c r="E521" s="51" cm="1">
        <f t="array" ref="E5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360.43103528867294</v>
      </c>
      <c r="F521" s="49" cm="1">
        <f t="array" ref="F5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74.800853613071595</v>
      </c>
      <c r="G521" s="20">
        <f>tbl_Monitoring[[#This Row],[Area (km2)]]/4046.8564224*1000000</f>
        <v>13094.114163945093</v>
      </c>
      <c r="H521" s="20">
        <f>tbl_Monitoring[[#This Row],[Volume (MCM)]]/1233.4818375475*1000000</f>
        <v>292206.1957598895</v>
      </c>
      <c r="I521" s="40">
        <f>tbl_Monitoring[[#This Row],[Elevation (SRTM30-m)]]*3.280839895</f>
        <v>245.40962471382019</v>
      </c>
    </row>
    <row r="522" spans="2:9" ht="16" x14ac:dyDescent="0.2">
      <c r="B522" s="90">
        <v>518</v>
      </c>
      <c r="C522" s="91">
        <v>44120</v>
      </c>
      <c r="D522" s="92">
        <v>52.13</v>
      </c>
      <c r="E522" s="51" cm="1">
        <f t="array" ref="E5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354.4012840448919</v>
      </c>
      <c r="F522" s="49" cm="1">
        <f t="array" ref="F5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74.690295293558052</v>
      </c>
      <c r="G522" s="20">
        <f>tbl_Monitoring[[#This Row],[Area (km2)]]/4046.8564224*1000000</f>
        <v>12881.603535883329</v>
      </c>
      <c r="H522" s="20">
        <f>tbl_Monitoring[[#This Row],[Volume (MCM)]]/1233.4818375475*1000000</f>
        <v>287317.79687128495</v>
      </c>
      <c r="I522" s="40">
        <f>tbl_Monitoring[[#This Row],[Elevation (SRTM30-m)]]*3.280839895</f>
        <v>245.046900568436</v>
      </c>
    </row>
    <row r="523" spans="2:9" ht="16" x14ac:dyDescent="0.2">
      <c r="B523" s="90">
        <v>519</v>
      </c>
      <c r="C523" s="91">
        <v>44125</v>
      </c>
      <c r="D523" s="92">
        <v>50.89</v>
      </c>
      <c r="E523" s="51" cm="1">
        <f t="array" ref="E5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345.70722411199819</v>
      </c>
      <c r="F523" s="49" cm="1">
        <f t="array" ref="F5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74.530885623561772</v>
      </c>
      <c r="G523" s="20">
        <f>tbl_Monitoring[[#This Row],[Area (km2)]]/4046.8564224*1000000</f>
        <v>12575.192862864045</v>
      </c>
      <c r="H523" s="20">
        <f>tbl_Monitoring[[#This Row],[Volume (MCM)]]/1233.4818375475*1000000</f>
        <v>280269.40777608764</v>
      </c>
      <c r="I523" s="40">
        <f>tbl_Monitoring[[#This Row],[Elevation (SRTM30-m)]]*3.280839895</f>
        <v>244.52390296346343</v>
      </c>
    </row>
    <row r="524" spans="2:9" ht="16" x14ac:dyDescent="0.2">
      <c r="B524" s="90">
        <v>520</v>
      </c>
      <c r="C524" s="91">
        <v>44126</v>
      </c>
      <c r="D524" s="92">
        <v>51.25</v>
      </c>
      <c r="E524" s="51" cm="1">
        <f t="array" ref="E5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348.23130602799955</v>
      </c>
      <c r="F524" s="49" cm="1">
        <f t="array" ref="F5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74.577165850334893</v>
      </c>
      <c r="G524" s="20">
        <f>tbl_Monitoring[[#This Row],[Area (km2)]]/4046.8564224*1000000</f>
        <v>12664.150800192225</v>
      </c>
      <c r="H524" s="20">
        <f>tbl_Monitoring[[#This Row],[Volume (MCM)]]/1233.4818375475*1000000</f>
        <v>282315.71428759658</v>
      </c>
      <c r="I524" s="40">
        <f>tbl_Monitoring[[#This Row],[Elevation (SRTM30-m)]]*3.280839895</f>
        <v>244.67574097781034</v>
      </c>
    </row>
    <row r="525" spans="2:9" ht="16" x14ac:dyDescent="0.2">
      <c r="B525" s="90">
        <v>521</v>
      </c>
      <c r="C525" s="91">
        <v>44130</v>
      </c>
      <c r="D525" s="92">
        <v>50.18</v>
      </c>
      <c r="E525" s="51" cm="1">
        <f t="array" ref="E5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340.72917366655099</v>
      </c>
      <c r="F525" s="49" cm="1">
        <f t="array" ref="F5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74.43961073187036</v>
      </c>
      <c r="G525" s="20">
        <f>tbl_Monitoring[[#This Row],[Area (km2)]]/4046.8564224*1000000</f>
        <v>12399.748042022356</v>
      </c>
      <c r="H525" s="20">
        <f>tbl_Monitoring[[#This Row],[Volume (MCM)]]/1233.4818375475*1000000</f>
        <v>276233.63660061179</v>
      </c>
      <c r="I525" s="40">
        <f>tbl_Monitoring[[#This Row],[Elevation (SRTM30-m)]]*3.280839895</f>
        <v>244.22444465739045</v>
      </c>
    </row>
    <row r="526" spans="2:9" ht="16" x14ac:dyDescent="0.2">
      <c r="B526" s="90">
        <v>522</v>
      </c>
      <c r="C526" s="91">
        <v>44134</v>
      </c>
      <c r="D526" s="92">
        <v>50.04</v>
      </c>
      <c r="E526" s="51" cm="1">
        <f t="array" ref="E5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339.74758625477267</v>
      </c>
      <c r="F526" s="49" cm="1">
        <f t="array" ref="F5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74.421612865903043</v>
      </c>
      <c r="G526" s="20">
        <f>tbl_Monitoring[[#This Row],[Area (km2)]]/4046.8564224*1000000</f>
        <v>12365.153288616953</v>
      </c>
      <c r="H526" s="20">
        <f>tbl_Monitoring[[#This Row],[Volume (MCM)]]/1233.4818375475*1000000</f>
        <v>275437.85073502501</v>
      </c>
      <c r="I526" s="40">
        <f>tbl_Monitoring[[#This Row],[Elevation (SRTM30-m)]]*3.280839895</f>
        <v>244.16539654070002</v>
      </c>
    </row>
    <row r="527" spans="2:9" ht="16" x14ac:dyDescent="0.2">
      <c r="B527" s="90">
        <v>523</v>
      </c>
      <c r="C527" s="91">
        <v>44135</v>
      </c>
      <c r="D527" s="92">
        <v>49.16</v>
      </c>
      <c r="E527" s="51" cm="1">
        <f t="array" ref="E5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333.57760823788038</v>
      </c>
      <c r="F527" s="49" cm="1">
        <f t="array" ref="F5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74.308483422679885</v>
      </c>
      <c r="G527" s="20">
        <f>tbl_Monitoring[[#This Row],[Area (km2)]]/4046.8564224*1000000</f>
        <v>12147.700552925846</v>
      </c>
      <c r="H527" s="20">
        <f>tbl_Monitoring[[#This Row],[Volume (MCM)]]/1233.4818375475*1000000</f>
        <v>270435.76815133664</v>
      </c>
      <c r="I527" s="40">
        <f>tbl_Monitoring[[#This Row],[Elevation (SRTM30-m)]]*3.280839895</f>
        <v>243.79423695007432</v>
      </c>
    </row>
    <row r="528" spans="2:9" ht="16" x14ac:dyDescent="0.2">
      <c r="B528" s="90">
        <v>524</v>
      </c>
      <c r="C528" s="91">
        <v>44140</v>
      </c>
      <c r="D528" s="92">
        <v>48.94</v>
      </c>
      <c r="E528" s="51" cm="1">
        <f t="array" ref="E5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332.03511373365728</v>
      </c>
      <c r="F528" s="49" cm="1">
        <f t="array" ref="F5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74.280201061874095</v>
      </c>
      <c r="G528" s="20">
        <f>tbl_Monitoring[[#This Row],[Area (km2)]]/4046.8564224*1000000</f>
        <v>12093.337369003069</v>
      </c>
      <c r="H528" s="20">
        <f>tbl_Monitoring[[#This Row],[Volume (MCM)]]/1233.4818375475*1000000</f>
        <v>269185.24750541453</v>
      </c>
      <c r="I528" s="40">
        <f>tbl_Monitoring[[#This Row],[Elevation (SRTM30-m)]]*3.280839895</f>
        <v>243.7014470524179</v>
      </c>
    </row>
    <row r="529" spans="2:9" ht="16" x14ac:dyDescent="0.2">
      <c r="B529" s="90">
        <v>525</v>
      </c>
      <c r="C529" s="91">
        <v>44145</v>
      </c>
      <c r="D529" s="92">
        <v>48.17</v>
      </c>
      <c r="E529" s="51" cm="1">
        <f t="array" ref="E5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326.6363829688766</v>
      </c>
      <c r="F529" s="49" cm="1">
        <f t="array" ref="F5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74.181212799053824</v>
      </c>
      <c r="G529" s="20">
        <f>tbl_Monitoring[[#This Row],[Area (km2)]]/4046.8564224*1000000</f>
        <v>11903.066225273355</v>
      </c>
      <c r="H529" s="20">
        <f>tbl_Monitoring[[#This Row],[Volume (MCM)]]/1233.4818375475*1000000</f>
        <v>264808.42524468724</v>
      </c>
      <c r="I529" s="40">
        <f>tbl_Monitoring[[#This Row],[Elevation (SRTM30-m)]]*3.280839895</f>
        <v>243.37668241062042</v>
      </c>
    </row>
    <row r="530" spans="2:9" ht="16" x14ac:dyDescent="0.2">
      <c r="B530" s="90">
        <v>526</v>
      </c>
      <c r="C530" s="91">
        <v>44150</v>
      </c>
      <c r="D530" s="92">
        <v>48.16</v>
      </c>
      <c r="E530" s="51" cm="1">
        <f t="array" ref="E5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326.56626958232096</v>
      </c>
      <c r="F530" s="49" cm="1">
        <f t="array" ref="F5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74.179927237199024</v>
      </c>
      <c r="G530" s="20">
        <f>tbl_Monitoring[[#This Row],[Area (km2)]]/4046.8564224*1000000</f>
        <v>11900.595171458683</v>
      </c>
      <c r="H530" s="20">
        <f>tbl_Monitoring[[#This Row],[Volume (MCM)]]/1233.4818375475*1000000</f>
        <v>264751.58339714527</v>
      </c>
      <c r="I530" s="40">
        <f>tbl_Monitoring[[#This Row],[Elevation (SRTM30-m)]]*3.280839895</f>
        <v>243.3724646879997</v>
      </c>
    </row>
    <row r="531" spans="2:9" ht="16" x14ac:dyDescent="0.2">
      <c r="B531" s="90">
        <v>527</v>
      </c>
      <c r="C531" s="91">
        <v>44150</v>
      </c>
      <c r="D531" s="92">
        <v>47.88</v>
      </c>
      <c r="E531" s="51" cm="1">
        <f t="array" ref="E5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324.60309475876437</v>
      </c>
      <c r="F531" s="49" cm="1">
        <f t="array" ref="F5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74.143931505264376</v>
      </c>
      <c r="G531" s="20">
        <f>tbl_Monitoring[[#This Row],[Area (km2)]]/4046.8564224*1000000</f>
        <v>11831.405664647877</v>
      </c>
      <c r="H531" s="20">
        <f>tbl_Monitoring[[#This Row],[Volume (MCM)]]/1233.4818375475*1000000</f>
        <v>263160.01166597178</v>
      </c>
      <c r="I531" s="40">
        <f>tbl_Monitoring[[#This Row],[Elevation (SRTM30-m)]]*3.280839895</f>
        <v>243.25436845461877</v>
      </c>
    </row>
    <row r="532" spans="2:9" ht="16" x14ac:dyDescent="0.2">
      <c r="B532" s="90">
        <v>528</v>
      </c>
      <c r="C532" s="91">
        <v>44155</v>
      </c>
      <c r="D532" s="92">
        <v>46.66</v>
      </c>
      <c r="E532" s="51" cm="1">
        <f t="array" ref="E5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316.04980431499462</v>
      </c>
      <c r="F532" s="49" cm="1">
        <f t="array" ref="F5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73.984957449358745</v>
      </c>
      <c r="G532" s="20">
        <f>tbl_Monitoring[[#This Row],[Area (km2)]]/4046.8564224*1000000</f>
        <v>11529.937099257933</v>
      </c>
      <c r="H532" s="20">
        <f>tbl_Monitoring[[#This Row],[Volume (MCM)]]/1233.4818375475*1000000</f>
        <v>256225.74625289036</v>
      </c>
      <c r="I532" s="40">
        <f>tbl_Monitoring[[#This Row],[Elevation (SRTM30-m)]]*3.280839895</f>
        <v>242.73280002973362</v>
      </c>
    </row>
    <row r="533" spans="2:9" ht="16" x14ac:dyDescent="0.2">
      <c r="B533" s="90">
        <v>529</v>
      </c>
      <c r="C533" s="91">
        <v>44158</v>
      </c>
      <c r="D533" s="92">
        <v>46.79</v>
      </c>
      <c r="E533" s="51" cm="1">
        <f t="array" ref="E5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316.96073562420457</v>
      </c>
      <c r="F533" s="49" cm="1">
        <f t="array" ref="F5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74.003805263090229</v>
      </c>
      <c r="G533" s="20">
        <f>tbl_Monitoring[[#This Row],[Area (km2)]]/4046.8564224*1000000</f>
        <v>11562.060798848664</v>
      </c>
      <c r="H533" s="20">
        <f>tbl_Monitoring[[#This Row],[Volume (MCM)]]/1233.4818375475*1000000</f>
        <v>256964.25028390318</v>
      </c>
      <c r="I533" s="40">
        <f>tbl_Monitoring[[#This Row],[Elevation (SRTM30-m)]]*3.280839895</f>
        <v>242.79463668895741</v>
      </c>
    </row>
    <row r="534" spans="2:9" ht="16" x14ac:dyDescent="0.2">
      <c r="B534" s="90">
        <v>530</v>
      </c>
      <c r="C534" s="91">
        <v>44160</v>
      </c>
      <c r="D534" s="92">
        <v>47.04</v>
      </c>
      <c r="E534" s="51" cm="1">
        <f t="array" ref="E5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318.71357028809445</v>
      </c>
      <c r="F534" s="49" cm="1">
        <f t="array" ref="F5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74.035944309460447</v>
      </c>
      <c r="G534" s="20">
        <f>tbl_Monitoring[[#This Row],[Area (km2)]]/4046.8564224*1000000</f>
        <v>11623.837144215457</v>
      </c>
      <c r="H534" s="20">
        <f>tbl_Monitoring[[#This Row],[Volume (MCM)]]/1233.4818375475*1000000</f>
        <v>258385.29647245101</v>
      </c>
      <c r="I534" s="40">
        <f>tbl_Monitoring[[#This Row],[Elevation (SRTM30-m)]]*3.280839895</f>
        <v>242.90007975447608</v>
      </c>
    </row>
    <row r="535" spans="2:9" ht="16" x14ac:dyDescent="0.2">
      <c r="B535" s="90">
        <v>531</v>
      </c>
      <c r="C535" s="91">
        <v>44165</v>
      </c>
      <c r="D535" s="92">
        <v>46.4</v>
      </c>
      <c r="E535" s="51" cm="1">
        <f t="array" ref="E5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314.22826170442289</v>
      </c>
      <c r="F535" s="49" cm="1">
        <f t="array" ref="F5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73.946002636941145</v>
      </c>
      <c r="G535" s="20">
        <f>tbl_Monitoring[[#This Row],[Area (km2)]]/4046.8564224*1000000</f>
        <v>11465.689700076471</v>
      </c>
      <c r="H535" s="20">
        <f>tbl_Monitoring[[#This Row],[Volume (MCM)]]/1233.4818375475*1000000</f>
        <v>254748.99762544929</v>
      </c>
      <c r="I535" s="40">
        <f>tbl_Monitoring[[#This Row],[Elevation (SRTM30-m)]]*3.280839895</f>
        <v>242.60499552705173</v>
      </c>
    </row>
    <row r="536" spans="2:9" ht="16" x14ac:dyDescent="0.2">
      <c r="B536" s="90">
        <v>532</v>
      </c>
      <c r="C536" s="91">
        <v>44166</v>
      </c>
      <c r="D536" s="92">
        <v>47.07</v>
      </c>
      <c r="E536" s="51" cm="1">
        <f t="array" ref="E5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318.92391044776122</v>
      </c>
      <c r="F536" s="49" cm="1">
        <f t="array" ref="F5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74.039800995024876</v>
      </c>
      <c r="G536" s="20">
        <f>tbl_Monitoring[[#This Row],[Area (km2)]]/4046.8564224*1000000</f>
        <v>11631.250305659472</v>
      </c>
      <c r="H536" s="20">
        <f>tbl_Monitoring[[#This Row],[Volume (MCM)]]/1233.4818375475*1000000</f>
        <v>258555.82201507676</v>
      </c>
      <c r="I536" s="40">
        <f>tbl_Monitoring[[#This Row],[Elevation (SRTM30-m)]]*3.280839895</f>
        <v>242.91273292233834</v>
      </c>
    </row>
    <row r="537" spans="2:9" ht="16" x14ac:dyDescent="0.2">
      <c r="B537" s="90">
        <v>533</v>
      </c>
      <c r="C537" s="91">
        <v>44170</v>
      </c>
      <c r="D537" s="92">
        <v>46.39</v>
      </c>
      <c r="E537" s="51" cm="1">
        <f t="array" ref="E5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314.15820237324704</v>
      </c>
      <c r="F537" s="49" cm="1">
        <f t="array" ref="F5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73.944504374925089</v>
      </c>
      <c r="G537" s="20">
        <f>tbl_Monitoring[[#This Row],[Area (km2)]]/4046.8564224*1000000</f>
        <v>11463.218646261799</v>
      </c>
      <c r="H537" s="20">
        <f>tbl_Monitoring[[#This Row],[Volume (MCM)]]/1233.4818375475*1000000</f>
        <v>254692.19960131694</v>
      </c>
      <c r="I537" s="40">
        <f>tbl_Monitoring[[#This Row],[Elevation (SRTM30-m)]]*3.280839895</f>
        <v>242.60007996925629</v>
      </c>
    </row>
    <row r="538" spans="2:9" ht="16" x14ac:dyDescent="0.2">
      <c r="B538" s="90">
        <v>534</v>
      </c>
      <c r="C538" s="91">
        <v>44174</v>
      </c>
      <c r="D538" s="92">
        <v>46.23</v>
      </c>
      <c r="E538" s="51" cm="1">
        <f t="array" ref="E5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313.03725307443364</v>
      </c>
      <c r="F538" s="49" cm="1">
        <f t="array" ref="F5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73.920532182668111</v>
      </c>
      <c r="G538" s="20">
        <f>tbl_Monitoring[[#This Row],[Area (km2)]]/4046.8564224*1000000</f>
        <v>11423.681785227052</v>
      </c>
      <c r="H538" s="20">
        <f>tbl_Monitoring[[#This Row],[Volume (MCM)]]/1233.4818375475*1000000</f>
        <v>253783.43121519935</v>
      </c>
      <c r="I538" s="40">
        <f>tbl_Monitoring[[#This Row],[Elevation (SRTM30-m)]]*3.280839895</f>
        <v>242.52143104452898</v>
      </c>
    </row>
    <row r="539" spans="2:9" ht="16" x14ac:dyDescent="0.2">
      <c r="B539" s="90">
        <v>535</v>
      </c>
      <c r="C539" s="91">
        <v>44175</v>
      </c>
      <c r="D539" s="92">
        <v>42.2</v>
      </c>
      <c r="E539" s="51" cm="1">
        <f t="array" ref="E5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284.80334261057175</v>
      </c>
      <c r="F539" s="49" cm="1">
        <f t="array" ref="F5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73.316732590195372</v>
      </c>
      <c r="G539" s="20">
        <f>tbl_Monitoring[[#This Row],[Area (km2)]]/4046.8564224*1000000</f>
        <v>10427.847097914379</v>
      </c>
      <c r="H539" s="20">
        <f>tbl_Monitoring[[#This Row],[Volume (MCM)]]/1233.4818375475*1000000</f>
        <v>230893.82748986306</v>
      </c>
      <c r="I539" s="40">
        <f>tbl_Monitoring[[#This Row],[Elevation (SRTM30-m)]]*3.280839895</f>
        <v>240.54046125295969</v>
      </c>
    </row>
    <row r="540" spans="2:9" ht="16" x14ac:dyDescent="0.2">
      <c r="B540" s="90">
        <v>536</v>
      </c>
      <c r="C540" s="91">
        <v>44180</v>
      </c>
      <c r="D540" s="92">
        <v>44.26</v>
      </c>
      <c r="E540" s="51" cm="1">
        <f t="array" ref="E5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299.23556483279395</v>
      </c>
      <c r="F540" s="49" cm="1">
        <f t="array" ref="F5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73.625374565504018</v>
      </c>
      <c r="G540" s="20">
        <f>tbl_Monitoring[[#This Row],[Area (km2)]]/4046.8564224*1000000</f>
        <v>10936.884183736736</v>
      </c>
      <c r="H540" s="20">
        <f>tbl_Monitoring[[#This Row],[Volume (MCM)]]/1233.4818375475*1000000</f>
        <v>242594.22046112677</v>
      </c>
      <c r="I540" s="40">
        <f>tbl_Monitoring[[#This Row],[Elevation (SRTM30-m)]]*3.280839895</f>
        <v>241.5530661588239</v>
      </c>
    </row>
    <row r="541" spans="2:9" ht="16" x14ac:dyDescent="0.2">
      <c r="B541" s="90">
        <v>537</v>
      </c>
      <c r="C541" s="91">
        <v>44182</v>
      </c>
      <c r="D541" s="92">
        <v>45</v>
      </c>
      <c r="E541" s="51" cm="1">
        <f t="array" ref="E5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304.41995533980582</v>
      </c>
      <c r="F541" s="49" cm="1">
        <f t="array" ref="F5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73.736245954692563</v>
      </c>
      <c r="G541" s="20">
        <f>tbl_Monitoring[[#This Row],[Area (km2)]]/4046.8564224*1000000</f>
        <v>11119.742166022441</v>
      </c>
      <c r="H541" s="20">
        <f>tbl_Monitoring[[#This Row],[Volume (MCM)]]/1233.4818375475*1000000</f>
        <v>246797.27424692051</v>
      </c>
      <c r="I541" s="40">
        <f>tbl_Monitoring[[#This Row],[Elevation (SRTM30-m)]]*3.280839895</f>
        <v>241.91681743568773</v>
      </c>
    </row>
    <row r="542" spans="2:9" ht="16" x14ac:dyDescent="0.2">
      <c r="B542" s="90">
        <v>538</v>
      </c>
      <c r="C542" s="91">
        <v>44185</v>
      </c>
      <c r="D542" s="92">
        <v>43.47</v>
      </c>
      <c r="E542" s="51" cm="1">
        <f t="array" ref="E5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293.70087766990292</v>
      </c>
      <c r="F542" s="49" cm="1">
        <f t="array" ref="F5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73.50701186623516</v>
      </c>
      <c r="G542" s="20">
        <f>tbl_Monitoring[[#This Row],[Area (km2)]]/4046.8564224*1000000</f>
        <v>10741.670932377678</v>
      </c>
      <c r="H542" s="20">
        <f>tbl_Monitoring[[#This Row],[Volume (MCM)]]/1233.4818375475*1000000</f>
        <v>238107.17655467128</v>
      </c>
      <c r="I542" s="40">
        <f>tbl_Monitoring[[#This Row],[Elevation (SRTM30-m)]]*3.280839895</f>
        <v>241.16473709298273</v>
      </c>
    </row>
    <row r="543" spans="2:9" ht="16" x14ac:dyDescent="0.2">
      <c r="B543" s="90">
        <v>539</v>
      </c>
      <c r="C543" s="91">
        <v>44190</v>
      </c>
      <c r="D543" s="92">
        <v>43.73</v>
      </c>
      <c r="E543" s="51" cm="1">
        <f t="array" ref="E5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295.52242028047465</v>
      </c>
      <c r="F543" s="49" cm="1">
        <f t="array" ref="F5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73.545966678652761</v>
      </c>
      <c r="G543" s="20">
        <f>tbl_Monitoring[[#This Row],[Area (km2)]]/4046.8564224*1000000</f>
        <v>10805.918331559138</v>
      </c>
      <c r="H543" s="20">
        <f>tbl_Monitoring[[#This Row],[Volume (MCM)]]/1233.4818375475*1000000</f>
        <v>239583.92518211232</v>
      </c>
      <c r="I543" s="40">
        <f>tbl_Monitoring[[#This Row],[Elevation (SRTM30-m)]]*3.280839895</f>
        <v>241.29254159566463</v>
      </c>
    </row>
    <row r="544" spans="2:9" ht="16" x14ac:dyDescent="0.2">
      <c r="B544" s="90">
        <v>540</v>
      </c>
      <c r="C544" s="91">
        <v>44198</v>
      </c>
      <c r="D544" s="92">
        <v>43.62</v>
      </c>
      <c r="E544" s="51" cm="1">
        <f t="array" ref="E5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294.75176763754041</v>
      </c>
      <c r="F544" s="49" cm="1">
        <f t="array" ref="F5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73.529485796476081</v>
      </c>
      <c r="G544" s="20">
        <f>tbl_Monitoring[[#This Row],[Area (km2)]]/4046.8564224*1000000</f>
        <v>10778.736739597751</v>
      </c>
      <c r="H544" s="20">
        <f>tbl_Monitoring[[#This Row],[Volume (MCM)]]/1233.4818375475*1000000</f>
        <v>238959.14691665646</v>
      </c>
      <c r="I544" s="40">
        <f>tbl_Monitoring[[#This Row],[Elevation (SRTM30-m)]]*3.280839895</f>
        <v>241.23847045991459</v>
      </c>
    </row>
    <row r="545" spans="2:9" ht="16" x14ac:dyDescent="0.2">
      <c r="B545" s="90">
        <v>541</v>
      </c>
      <c r="C545" s="91">
        <v>44200</v>
      </c>
      <c r="D545" s="92">
        <v>42.34</v>
      </c>
      <c r="E545" s="51" cm="1">
        <f t="array" ref="E5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285.78417324703349</v>
      </c>
      <c r="F545" s="49" cm="1">
        <f t="array" ref="F5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73.337708258420236</v>
      </c>
      <c r="G545" s="20">
        <f>tbl_Monitoring[[#This Row],[Area (km2)]]/4046.8564224*1000000</f>
        <v>10462.441851319782</v>
      </c>
      <c r="H545" s="20">
        <f>tbl_Monitoring[[#This Row],[Volume (MCM)]]/1233.4818375475*1000000</f>
        <v>231688.99982771598</v>
      </c>
      <c r="I545" s="40">
        <f>tbl_Monitoring[[#This Row],[Elevation (SRTM30-m)]]*3.280839895</f>
        <v>240.60927906209608</v>
      </c>
    </row>
    <row r="546" spans="2:9" ht="16" x14ac:dyDescent="0.2">
      <c r="B546" s="90">
        <v>542</v>
      </c>
      <c r="C546" s="91">
        <v>44205</v>
      </c>
      <c r="D546" s="92">
        <v>40.93</v>
      </c>
      <c r="E546" s="51" cm="1">
        <f t="array" ref="E5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275.90580755124057</v>
      </c>
      <c r="F546" s="49" cm="1">
        <f t="array" ref="F5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73.126453314155583</v>
      </c>
      <c r="G546" s="20">
        <f>tbl_Monitoring[[#This Row],[Area (km2)]]/4046.8564224*1000000</f>
        <v>10114.023263451078</v>
      </c>
      <c r="H546" s="20">
        <f>tbl_Monitoring[[#This Row],[Volume (MCM)]]/1233.4818375475*1000000</f>
        <v>223680.47842505484</v>
      </c>
      <c r="I546" s="40">
        <f>tbl_Monitoring[[#This Row],[Elevation (SRTM30-m)]]*3.280839895</f>
        <v>239.91618541293661</v>
      </c>
    </row>
    <row r="547" spans="2:9" ht="16" x14ac:dyDescent="0.2">
      <c r="B547" s="90">
        <v>543</v>
      </c>
      <c r="C547" s="91">
        <v>44206</v>
      </c>
      <c r="D547" s="92">
        <v>41.93</v>
      </c>
      <c r="E547" s="51" cm="1">
        <f t="array" ref="E5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282.91174066882417</v>
      </c>
      <c r="F547" s="49" cm="1">
        <f t="array" ref="F5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73.276279515761715</v>
      </c>
      <c r="G547" s="20">
        <f>tbl_Monitoring[[#This Row],[Area (km2)]]/4046.8564224*1000000</f>
        <v>10361.128644918243</v>
      </c>
      <c r="H547" s="20">
        <f>tbl_Monitoring[[#This Row],[Volume (MCM)]]/1233.4818375475*1000000</f>
        <v>229360.28083828965</v>
      </c>
      <c r="I547" s="40">
        <f>tbl_Monitoring[[#This Row],[Elevation (SRTM30-m)]]*3.280839895</f>
        <v>240.40774119248232</v>
      </c>
    </row>
    <row r="548" spans="2:9" ht="16" x14ac:dyDescent="0.2">
      <c r="B548" s="90">
        <v>544</v>
      </c>
      <c r="C548" s="91">
        <v>44210</v>
      </c>
      <c r="D548" s="92">
        <v>40.76</v>
      </c>
      <c r="E548" s="51" cm="1">
        <f t="array" ref="E5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274.71479892125132</v>
      </c>
      <c r="F548" s="49" cm="1">
        <f t="array" ref="F5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73.100982859882535</v>
      </c>
      <c r="G548" s="20">
        <f>tbl_Monitoring[[#This Row],[Area (km2)]]/4046.8564224*1000000</f>
        <v>10072.015348601659</v>
      </c>
      <c r="H548" s="20">
        <f>tbl_Monitoring[[#This Row],[Volume (MCM)]]/1233.4818375475*1000000</f>
        <v>222714.9120148049</v>
      </c>
      <c r="I548" s="40">
        <f>tbl_Monitoring[[#This Row],[Elevation (SRTM30-m)]]*3.280839895</f>
        <v>239.83262093041384</v>
      </c>
    </row>
    <row r="549" spans="2:9" ht="16" x14ac:dyDescent="0.2">
      <c r="B549" s="90">
        <v>545</v>
      </c>
      <c r="C549" s="91">
        <v>44214</v>
      </c>
      <c r="D549" s="92">
        <v>41.26</v>
      </c>
      <c r="E549" s="51" cm="1">
        <f t="array" ref="E5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278.21776548004311</v>
      </c>
      <c r="F549" s="49" cm="1">
        <f t="array" ref="F5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73.175895960685608</v>
      </c>
      <c r="G549" s="20">
        <f>tbl_Monitoring[[#This Row],[Area (km2)]]/4046.8564224*1000000</f>
        <v>10195.568039335241</v>
      </c>
      <c r="H549" s="20">
        <f>tbl_Monitoring[[#This Row],[Volume (MCM)]]/1233.4818375475*1000000</f>
        <v>225554.81322142229</v>
      </c>
      <c r="I549" s="40">
        <f>tbl_Monitoring[[#This Row],[Elevation (SRTM30-m)]]*3.280839895</f>
        <v>240.07839882018672</v>
      </c>
    </row>
    <row r="550" spans="2:9" ht="16" x14ac:dyDescent="0.2">
      <c r="B550" s="90">
        <v>546</v>
      </c>
      <c r="C550" s="91">
        <v>44215</v>
      </c>
      <c r="D550" s="92">
        <v>40.92</v>
      </c>
      <c r="E550" s="51" cm="1">
        <f t="array" ref="E5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275.83574822006472</v>
      </c>
      <c r="F550" s="49" cm="1">
        <f t="array" ref="F5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73.124955052139512</v>
      </c>
      <c r="G550" s="20">
        <f>tbl_Monitoring[[#This Row],[Area (km2)]]/4046.8564224*1000000</f>
        <v>10111.552209636406</v>
      </c>
      <c r="H550" s="20">
        <f>tbl_Monitoring[[#This Row],[Volume (MCM)]]/1233.4818375475*1000000</f>
        <v>223623.68040092249</v>
      </c>
      <c r="I550" s="40">
        <f>tbl_Monitoring[[#This Row],[Elevation (SRTM30-m)]]*3.280839895</f>
        <v>239.91126985514114</v>
      </c>
    </row>
    <row r="551" spans="2:9" ht="16" x14ac:dyDescent="0.2">
      <c r="B551" s="90">
        <v>547</v>
      </c>
      <c r="C551" s="91">
        <v>44220</v>
      </c>
      <c r="D551" s="92">
        <v>39.89</v>
      </c>
      <c r="E551" s="51" cm="1">
        <f t="array" ref="E5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268.5767675587997</v>
      </c>
      <c r="F551" s="49" cm="1">
        <f t="array" ref="F5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72.964675137424535</v>
      </c>
      <c r="G551" s="20">
        <f>tbl_Monitoring[[#This Row],[Area (km2)]]/4046.8564224*1000000</f>
        <v>9857.033666725225</v>
      </c>
      <c r="H551" s="20">
        <f>tbl_Monitoring[[#This Row],[Volume (MCM)]]/1233.4818375475*1000000</f>
        <v>217738.72900536904</v>
      </c>
      <c r="I551" s="40">
        <f>tbl_Monitoring[[#This Row],[Elevation (SRTM30-m)]]*3.280839895</f>
        <v>239.38541711657703</v>
      </c>
    </row>
    <row r="552" spans="2:9" ht="16" x14ac:dyDescent="0.2">
      <c r="B552" s="90">
        <v>548</v>
      </c>
      <c r="C552" s="91">
        <v>44222</v>
      </c>
      <c r="D552" s="92">
        <v>39.770000000000003</v>
      </c>
      <c r="E552" s="51" cm="1">
        <f t="array" ref="E5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267.70980892133014</v>
      </c>
      <c r="F552" s="49" cm="1">
        <f t="array" ref="F5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72.943047670541588</v>
      </c>
      <c r="G552" s="20">
        <f>tbl_Monitoring[[#This Row],[Area (km2)]]/4046.8564224*1000000</f>
        <v>9827.3810209491658</v>
      </c>
      <c r="H552" s="20">
        <f>tbl_Monitoring[[#This Row],[Volume (MCM)]]/1233.4818375475*1000000</f>
        <v>217035.87419950229</v>
      </c>
      <c r="I552" s="40">
        <f>tbl_Monitoring[[#This Row],[Elevation (SRTM30-m)]]*3.280839895</f>
        <v>239.31446086039966</v>
      </c>
    </row>
    <row r="553" spans="2:9" ht="16" x14ac:dyDescent="0.2">
      <c r="B553" s="90">
        <v>549</v>
      </c>
      <c r="C553" s="91">
        <v>44225</v>
      </c>
      <c r="D553" s="92">
        <v>39.42</v>
      </c>
      <c r="E553" s="51" cm="1">
        <f t="array" ref="E5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265.18117956204378</v>
      </c>
      <c r="F553" s="49" cm="1">
        <f t="array" ref="F5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72.879967558799677</v>
      </c>
      <c r="G553" s="20">
        <f>tbl_Monitoring[[#This Row],[Area (km2)]]/4046.8564224*1000000</f>
        <v>9740.8941374356582</v>
      </c>
      <c r="H553" s="20">
        <f>tbl_Monitoring[[#This Row],[Volume (MCM)]]/1233.4818375475*1000000</f>
        <v>214985.8810157243</v>
      </c>
      <c r="I553" s="40">
        <f>tbl_Monitoring[[#This Row],[Elevation (SRTM30-m)]]*3.280839895</f>
        <v>239.10750511321575</v>
      </c>
    </row>
    <row r="554" spans="2:9" ht="16" x14ac:dyDescent="0.2">
      <c r="B554" s="90">
        <v>550</v>
      </c>
      <c r="C554" s="91">
        <v>44230</v>
      </c>
      <c r="D554" s="92">
        <v>39.49</v>
      </c>
      <c r="E554" s="51" cm="1">
        <f t="array" ref="E5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265.68690543390107</v>
      </c>
      <c r="F554" s="49" cm="1">
        <f t="array" ref="F5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72.89258358114806</v>
      </c>
      <c r="G554" s="20">
        <f>tbl_Monitoring[[#This Row],[Area (km2)]]/4046.8564224*1000000</f>
        <v>9758.1915141383597</v>
      </c>
      <c r="H554" s="20">
        <f>tbl_Monitoring[[#This Row],[Volume (MCM)]]/1233.4818375475*1000000</f>
        <v>215395.87965247993</v>
      </c>
      <c r="I554" s="40">
        <f>tbl_Monitoring[[#This Row],[Elevation (SRTM30-m)]]*3.280839895</f>
        <v>239.14889626265253</v>
      </c>
    </row>
    <row r="555" spans="2:9" ht="16" x14ac:dyDescent="0.2">
      <c r="B555" s="90">
        <v>551</v>
      </c>
      <c r="C555" s="91">
        <v>44230</v>
      </c>
      <c r="D555" s="92">
        <v>39.42</v>
      </c>
      <c r="E555" s="51" cm="1">
        <f t="array" ref="E5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265.18117956204378</v>
      </c>
      <c r="F555" s="49" cm="1">
        <f t="array" ref="F5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72.879967558799677</v>
      </c>
      <c r="G555" s="20">
        <f>tbl_Monitoring[[#This Row],[Area (km2)]]/4046.8564224*1000000</f>
        <v>9740.8941374356582</v>
      </c>
      <c r="H555" s="20">
        <f>tbl_Monitoring[[#This Row],[Volume (MCM)]]/1233.4818375475*1000000</f>
        <v>214985.8810157243</v>
      </c>
      <c r="I555" s="40">
        <f>tbl_Monitoring[[#This Row],[Elevation (SRTM30-m)]]*3.280839895</f>
        <v>239.10750511321575</v>
      </c>
    </row>
    <row r="556" spans="2:9" ht="16" x14ac:dyDescent="0.2">
      <c r="B556" s="90">
        <v>552</v>
      </c>
      <c r="C556" s="91">
        <v>44235</v>
      </c>
      <c r="D556" s="92">
        <v>38.270000000000003</v>
      </c>
      <c r="E556" s="51" cm="1">
        <f t="array" ref="E5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256.87282595296028</v>
      </c>
      <c r="F556" s="49" cm="1">
        <f t="array" ref="F5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72.672704334504829</v>
      </c>
      <c r="G556" s="20">
        <f>tbl_Monitoring[[#This Row],[Area (km2)]]/4046.8564224*1000000</f>
        <v>9456.7229487484183</v>
      </c>
      <c r="H556" s="20">
        <f>tbl_Monitoring[[#This Row],[Volume (MCM)]]/1233.4818375475*1000000</f>
        <v>208250.18912616817</v>
      </c>
      <c r="I556" s="40">
        <f>tbl_Monitoring[[#This Row],[Elevation (SRTM30-m)]]*3.280839895</f>
        <v>238.42750765818289</v>
      </c>
    </row>
    <row r="557" spans="2:9" ht="16" x14ac:dyDescent="0.2">
      <c r="B557" s="90">
        <v>553</v>
      </c>
      <c r="C557" s="91">
        <v>44240</v>
      </c>
      <c r="D557" s="92">
        <v>38.630000000000003</v>
      </c>
      <c r="E557" s="51" cm="1">
        <f t="array" ref="E5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259.47370186536904</v>
      </c>
      <c r="F557" s="49" cm="1">
        <f t="array" ref="F5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72.737586735153641</v>
      </c>
      <c r="G557" s="20">
        <f>tbl_Monitoring[[#This Row],[Area (km2)]]/4046.8564224*1000000</f>
        <v>9545.6808860765959</v>
      </c>
      <c r="H557" s="20">
        <f>tbl_Monitoring[[#This Row],[Volume (MCM)]]/1233.4818375475*1000000</f>
        <v>210358.75354376834</v>
      </c>
      <c r="I557" s="40">
        <f>tbl_Monitoring[[#This Row],[Elevation (SRTM30-m)]]*3.280839895</f>
        <v>238.64037642671488</v>
      </c>
    </row>
    <row r="558" spans="2:9" ht="16" x14ac:dyDescent="0.2">
      <c r="B558" s="90">
        <v>554</v>
      </c>
      <c r="C558" s="91">
        <v>44245</v>
      </c>
      <c r="D558" s="92">
        <v>37.11</v>
      </c>
      <c r="E558" s="51" cm="1">
        <f t="array" ref="E5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248.49222579075425</v>
      </c>
      <c r="F558" s="49" cm="1">
        <f t="array" ref="F5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72.46363882130305</v>
      </c>
      <c r="G558" s="20">
        <f>tbl_Monitoring[[#This Row],[Area (km2)]]/4046.8564224*1000000</f>
        <v>9170.0807062465046</v>
      </c>
      <c r="H558" s="20">
        <f>tbl_Monitoring[[#This Row],[Volume (MCM)]]/1233.4818375475*1000000</f>
        <v>201455.92600278973</v>
      </c>
      <c r="I558" s="40">
        <f>tbl_Monitoring[[#This Row],[Elevation (SRTM30-m)]]*3.280839895</f>
        <v>237.74159718180184</v>
      </c>
    </row>
    <row r="559" spans="2:9" ht="16" x14ac:dyDescent="0.2">
      <c r="B559" s="90">
        <v>555</v>
      </c>
      <c r="C559" s="91">
        <v>44246</v>
      </c>
      <c r="D559" s="92">
        <v>38.22</v>
      </c>
      <c r="E559" s="51" cm="1">
        <f t="array" ref="E5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256.5115931873479</v>
      </c>
      <c r="F559" s="49" cm="1">
        <f t="array" ref="F5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72.663692889970264</v>
      </c>
      <c r="G559" s="20">
        <f>tbl_Monitoring[[#This Row],[Area (km2)]]/4046.8564224*1000000</f>
        <v>9444.3676796750588</v>
      </c>
      <c r="H559" s="20">
        <f>tbl_Monitoring[[#This Row],[Volume (MCM)]]/1233.4818375475*1000000</f>
        <v>207957.33295705696</v>
      </c>
      <c r="I559" s="40">
        <f>tbl_Monitoring[[#This Row],[Elevation (SRTM30-m)]]*3.280839895</f>
        <v>238.3979425514423</v>
      </c>
    </row>
    <row r="560" spans="2:9" ht="16" x14ac:dyDescent="0.2">
      <c r="B560" s="90">
        <v>556</v>
      </c>
      <c r="C560" s="91">
        <v>44250</v>
      </c>
      <c r="D560" s="92">
        <v>37.159999999999997</v>
      </c>
      <c r="E560" s="51" cm="1">
        <f t="array" ref="E5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248.85345855636655</v>
      </c>
      <c r="F560" s="49" cm="1">
        <f t="array" ref="F5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72.472650265837615</v>
      </c>
      <c r="G560" s="20">
        <f>tbl_Monitoring[[#This Row],[Area (km2)]]/4046.8564224*1000000</f>
        <v>9182.4359753198623</v>
      </c>
      <c r="H560" s="20">
        <f>tbl_Monitoring[[#This Row],[Volume (MCM)]]/1233.4818375475*1000000</f>
        <v>201748.78217190085</v>
      </c>
      <c r="I560" s="40">
        <f>tbl_Monitoring[[#This Row],[Elevation (SRTM30-m)]]*3.280839895</f>
        <v>237.77116228854243</v>
      </c>
    </row>
    <row r="561" spans="2:9" ht="16" x14ac:dyDescent="0.2">
      <c r="B561" s="90">
        <v>557</v>
      </c>
      <c r="C561" s="91">
        <v>44254</v>
      </c>
      <c r="D561" s="92">
        <v>37.17</v>
      </c>
      <c r="E561" s="51" cm="1">
        <f t="array" ref="E5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248.92570510948906</v>
      </c>
      <c r="F561" s="49" cm="1">
        <f t="array" ref="F5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72.474452554744531</v>
      </c>
      <c r="G561" s="20">
        <f>tbl_Monitoring[[#This Row],[Area (km2)]]/4046.8564224*1000000</f>
        <v>9184.9070291345361</v>
      </c>
      <c r="H561" s="20">
        <f>tbl_Monitoring[[#This Row],[Volume (MCM)]]/1233.4818375475*1000000</f>
        <v>201807.35340572312</v>
      </c>
      <c r="I561" s="40">
        <f>tbl_Monitoring[[#This Row],[Elevation (SRTM30-m)]]*3.280839895</f>
        <v>237.77707530989053</v>
      </c>
    </row>
    <row r="562" spans="2:9" ht="16" x14ac:dyDescent="0.2">
      <c r="B562" s="90">
        <v>558</v>
      </c>
      <c r="C562" s="91">
        <v>44255</v>
      </c>
      <c r="D562" s="92">
        <v>36.53</v>
      </c>
      <c r="E562" s="51" cm="1">
        <f t="array" ref="E5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244.30192570965127</v>
      </c>
      <c r="F562" s="49" cm="1">
        <f t="array" ref="F5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72.359106064702175</v>
      </c>
      <c r="G562" s="20">
        <f>tbl_Monitoring[[#This Row],[Area (km2)]]/4046.8564224*1000000</f>
        <v>9026.7595849955487</v>
      </c>
      <c r="H562" s="20">
        <f>tbl_Monitoring[[#This Row],[Volume (MCM)]]/1233.4818375475*1000000</f>
        <v>198058.79444110056</v>
      </c>
      <c r="I562" s="40">
        <f>tbl_Monitoring[[#This Row],[Elevation (SRTM30-m)]]*3.280839895</f>
        <v>237.39864194361135</v>
      </c>
    </row>
    <row r="563" spans="2:9" ht="16" x14ac:dyDescent="0.2">
      <c r="B563" s="90">
        <v>559</v>
      </c>
      <c r="C563" s="91">
        <v>44260</v>
      </c>
      <c r="D563" s="92">
        <v>35.880000000000003</v>
      </c>
      <c r="E563" s="51" cm="1">
        <f t="array" ref="E5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239.605899756691</v>
      </c>
      <c r="F563" s="49" cm="1">
        <f t="array" ref="F5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72.241957285752903</v>
      </c>
      <c r="G563" s="20">
        <f>tbl_Monitoring[[#This Row],[Area (km2)]]/4046.8564224*1000000</f>
        <v>8866.1410870418913</v>
      </c>
      <c r="H563" s="20">
        <f>tbl_Monitoring[[#This Row],[Volume (MCM)]]/1233.4818375475*1000000</f>
        <v>194251.66424265574</v>
      </c>
      <c r="I563" s="40">
        <f>tbl_Monitoring[[#This Row],[Elevation (SRTM30-m)]]*3.280839895</f>
        <v>237.01429555598406</v>
      </c>
    </row>
    <row r="564" spans="2:9" ht="16" x14ac:dyDescent="0.2">
      <c r="B564" s="90">
        <v>560</v>
      </c>
      <c r="C564" s="91">
        <v>44262</v>
      </c>
      <c r="D564" s="92">
        <v>36.72</v>
      </c>
      <c r="E564" s="51" cm="1">
        <f t="array" ref="E5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245.6746102189781</v>
      </c>
      <c r="F564" s="49" cm="1">
        <f t="array" ref="F5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72.39334955393349</v>
      </c>
      <c r="G564" s="20">
        <f>tbl_Monitoring[[#This Row],[Area (km2)]]/4046.8564224*1000000</f>
        <v>9073.7096074743113</v>
      </c>
      <c r="H564" s="20">
        <f>tbl_Monitoring[[#This Row],[Volume (MCM)]]/1233.4818375475*1000000</f>
        <v>199171.64788372285</v>
      </c>
      <c r="I564" s="40">
        <f>tbl_Monitoring[[#This Row],[Elevation (SRTM30-m)]]*3.280839895</f>
        <v>237.51098934922547</v>
      </c>
    </row>
    <row r="565" spans="2:9" ht="16" x14ac:dyDescent="0.2">
      <c r="B565" s="90">
        <v>561</v>
      </c>
      <c r="C565" s="91">
        <v>44265</v>
      </c>
      <c r="D565" s="92">
        <v>35.42</v>
      </c>
      <c r="E565" s="51" cm="1">
        <f t="array" ref="E5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236.28255831305759</v>
      </c>
      <c r="F565" s="49" cm="1">
        <f t="array" ref="F5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72.159051996034961</v>
      </c>
      <c r="G565" s="20">
        <f>tbl_Monitoring[[#This Row],[Area (km2)]]/4046.8564224*1000000</f>
        <v>8752.4726115669964</v>
      </c>
      <c r="H565" s="20">
        <f>tbl_Monitoring[[#This Row],[Volume (MCM)]]/1233.4818375475*1000000</f>
        <v>191557.38748683329</v>
      </c>
      <c r="I565" s="40">
        <f>tbl_Monitoring[[#This Row],[Elevation (SRTM30-m)]]*3.280839895</f>
        <v>236.74229657397089</v>
      </c>
    </row>
    <row r="566" spans="2:9" ht="16" x14ac:dyDescent="0.2">
      <c r="B566" s="90">
        <v>562</v>
      </c>
      <c r="C566" s="91">
        <v>44270</v>
      </c>
      <c r="D566" s="92">
        <v>36.18</v>
      </c>
      <c r="E566" s="51" cm="1">
        <f t="array" ref="E5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241.77329635036494</v>
      </c>
      <c r="F566" s="49" cm="1">
        <f t="array" ref="F5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72.296025952960264</v>
      </c>
      <c r="G566" s="20">
        <f>tbl_Monitoring[[#This Row],[Area (km2)]]/4046.8564224*1000000</f>
        <v>8940.2727014820412</v>
      </c>
      <c r="H566" s="20">
        <f>tbl_Monitoring[[#This Row],[Volume (MCM)]]/1233.4818375475*1000000</f>
        <v>196008.80125732257</v>
      </c>
      <c r="I566" s="40">
        <f>tbl_Monitoring[[#This Row],[Elevation (SRTM30-m)]]*3.280839895</f>
        <v>237.19168619642744</v>
      </c>
    </row>
    <row r="567" spans="2:9" ht="16" x14ac:dyDescent="0.2">
      <c r="B567" s="90">
        <v>563</v>
      </c>
      <c r="C567" s="91">
        <v>44270</v>
      </c>
      <c r="D567" s="92">
        <v>37.06</v>
      </c>
      <c r="E567" s="51" cm="1">
        <f t="array" ref="E5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248.13099302514195</v>
      </c>
      <c r="F567" s="49" cm="1">
        <f t="array" ref="F5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72.454627376768499</v>
      </c>
      <c r="G567" s="20">
        <f>tbl_Monitoring[[#This Row],[Area (km2)]]/4046.8564224*1000000</f>
        <v>9157.7254371731487</v>
      </c>
      <c r="H567" s="20">
        <f>tbl_Monitoring[[#This Row],[Volume (MCM)]]/1233.4818375475*1000000</f>
        <v>201163.06983367863</v>
      </c>
      <c r="I567" s="40">
        <f>tbl_Monitoring[[#This Row],[Elevation (SRTM30-m)]]*3.280839895</f>
        <v>237.7120320750613</v>
      </c>
    </row>
    <row r="568" spans="2:9" ht="16" x14ac:dyDescent="0.2">
      <c r="B568" s="90">
        <v>564</v>
      </c>
      <c r="C568" s="91">
        <v>44275</v>
      </c>
      <c r="D568" s="92">
        <v>33.82</v>
      </c>
      <c r="E568" s="51" cm="1">
        <f t="array" ref="E5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224.66920013315578</v>
      </c>
      <c r="F568" s="49" cm="1">
        <f t="array" ref="F5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71.848350347684573</v>
      </c>
      <c r="G568" s="20">
        <f>tbl_Monitoring[[#This Row],[Area (km2)]]/4046.8564224*1000000</f>
        <v>8357.1040012195317</v>
      </c>
      <c r="H568" s="20">
        <f>tbl_Monitoring[[#This Row],[Volume (MCM)]]/1233.4818375475*1000000</f>
        <v>182142.28478617873</v>
      </c>
      <c r="I568" s="40">
        <f>tbl_Monitoring[[#This Row],[Elevation (SRTM30-m)]]*3.280839895</f>
        <v>235.72293421062068</v>
      </c>
    </row>
    <row r="569" spans="2:9" ht="16" x14ac:dyDescent="0.2">
      <c r="B569" s="90">
        <v>565</v>
      </c>
      <c r="C569" s="91">
        <v>44278</v>
      </c>
      <c r="D569" s="92">
        <v>35.57</v>
      </c>
      <c r="E569" s="51" cm="1">
        <f t="array" ref="E5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237.36625660989455</v>
      </c>
      <c r="F569" s="49" cm="1">
        <f t="array" ref="F5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72.186086329638641</v>
      </c>
      <c r="G569" s="20">
        <f>tbl_Monitoring[[#This Row],[Area (km2)]]/4046.8564224*1000000</f>
        <v>8789.5384187870714</v>
      </c>
      <c r="H569" s="20">
        <f>tbl_Monitoring[[#This Row],[Volume (MCM)]]/1233.4818375475*1000000</f>
        <v>192435.9559941667</v>
      </c>
      <c r="I569" s="40">
        <f>tbl_Monitoring[[#This Row],[Elevation (SRTM30-m)]]*3.280839895</f>
        <v>236.83099189419258</v>
      </c>
    </row>
    <row r="570" spans="2:9" ht="16" x14ac:dyDescent="0.2">
      <c r="B570" s="90">
        <v>566</v>
      </c>
      <c r="C570" s="91">
        <v>44280</v>
      </c>
      <c r="D570" s="92">
        <v>34.880000000000003</v>
      </c>
      <c r="E570" s="51" cm="1">
        <f t="array" ref="E5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232.38124444444446</v>
      </c>
      <c r="F570" s="49" cm="1">
        <f t="array" ref="F5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72.061728395061735</v>
      </c>
      <c r="G570" s="20">
        <f>tbl_Monitoring[[#This Row],[Area (km2)]]/4046.8564224*1000000</f>
        <v>8619.0357055747281</v>
      </c>
      <c r="H570" s="20">
        <f>tbl_Monitoring[[#This Row],[Volume (MCM)]]/1233.4818375475*1000000</f>
        <v>188394.54086043302</v>
      </c>
      <c r="I570" s="40">
        <f>tbl_Monitoring[[#This Row],[Elevation (SRTM30-m)]]*3.280839895</f>
        <v>236.42299342117286</v>
      </c>
    </row>
    <row r="571" spans="2:9" ht="16" x14ac:dyDescent="0.2">
      <c r="B571" s="90">
        <v>567</v>
      </c>
      <c r="C571" s="91">
        <v>44285</v>
      </c>
      <c r="D571" s="92">
        <v>34.520000000000003</v>
      </c>
      <c r="E571" s="51" cm="1">
        <f t="array" ref="E5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229.7790536617843</v>
      </c>
      <c r="F571" s="49" cm="1">
        <f t="array" ref="F5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71.996301227992305</v>
      </c>
      <c r="G571" s="20">
        <f>tbl_Monitoring[[#This Row],[Area (km2)]]/4046.8564224*1000000</f>
        <v>8530.0777682465487</v>
      </c>
      <c r="H571" s="20">
        <f>tbl_Monitoring[[#This Row],[Volume (MCM)]]/1233.4818375475*1000000</f>
        <v>186284.91046017187</v>
      </c>
      <c r="I571" s="40">
        <f>tbl_Monitoring[[#This Row],[Elevation (SRTM30-m)]]*3.280839895</f>
        <v>236.20833736123467</v>
      </c>
    </row>
    <row r="572" spans="2:9" ht="16" x14ac:dyDescent="0.2">
      <c r="B572" s="90">
        <v>568</v>
      </c>
      <c r="C572" s="91">
        <v>44286</v>
      </c>
      <c r="D572" s="92">
        <v>34.049999999999997</v>
      </c>
      <c r="E572" s="51" cm="1">
        <f t="array" ref="E5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226.34815200684798</v>
      </c>
      <c r="F572" s="49" cm="1">
        <f t="array" ref="F5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71.896962779785682</v>
      </c>
      <c r="G572" s="20">
        <f>tbl_Monitoring[[#This Row],[Area (km2)]]/4046.8564224*1000000</f>
        <v>8413.9382389569782</v>
      </c>
      <c r="H572" s="20">
        <f>tbl_Monitoring[[#This Row],[Volume (MCM)]]/1233.4818375475*1000000</f>
        <v>183503.43322191932</v>
      </c>
      <c r="I572" s="40">
        <f>tbl_Monitoring[[#This Row],[Elevation (SRTM30-m)]]*3.280839895</f>
        <v>235.88242381725098</v>
      </c>
    </row>
    <row r="573" spans="2:9" ht="16" x14ac:dyDescent="0.2">
      <c r="B573" s="90">
        <v>569</v>
      </c>
      <c r="C573" s="91">
        <v>44290</v>
      </c>
      <c r="D573" s="92">
        <v>32.31</v>
      </c>
      <c r="E573" s="51" cm="1">
        <f t="array" ref="E5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213.64651609282862</v>
      </c>
      <c r="F573" s="49" cm="1">
        <f t="array" ref="F5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71.529199163020735</v>
      </c>
      <c r="G573" s="20">
        <f>tbl_Monitoring[[#This Row],[Area (km2)]]/4046.8564224*1000000</f>
        <v>7983.9748752041123</v>
      </c>
      <c r="H573" s="20">
        <f>tbl_Monitoring[[#This Row],[Volume (MCM)]]/1233.4818375475*1000000</f>
        <v>173206.04940370785</v>
      </c>
      <c r="I573" s="40">
        <f>tbl_Monitoring[[#This Row],[Elevation (SRTM30-m)]]*3.280839895</f>
        <v>234.67585027143906</v>
      </c>
    </row>
    <row r="574" spans="2:9" ht="16" x14ac:dyDescent="0.2">
      <c r="B574" s="90">
        <v>570</v>
      </c>
      <c r="C574" s="91">
        <v>44294</v>
      </c>
      <c r="D574" s="92">
        <v>32.83</v>
      </c>
      <c r="E574" s="51" cm="1">
        <f t="array" ref="E5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217.44240728552404</v>
      </c>
      <c r="F574" s="49" cm="1">
        <f t="array" ref="F5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71.639105531249342</v>
      </c>
      <c r="G574" s="20">
        <f>tbl_Monitoring[[#This Row],[Area (km2)]]/4046.8564224*1000000</f>
        <v>8112.4696735670377</v>
      </c>
      <c r="H574" s="20">
        <f>tbl_Monitoring[[#This Row],[Volume (MCM)]]/1233.4818375475*1000000</f>
        <v>176283.42847581703</v>
      </c>
      <c r="I574" s="40">
        <f>tbl_Monitoring[[#This Row],[Elevation (SRTM30-m)]]*3.280839895</f>
        <v>235.03643546903803</v>
      </c>
    </row>
    <row r="575" spans="2:9" ht="16" x14ac:dyDescent="0.2">
      <c r="B575" s="90">
        <v>571</v>
      </c>
      <c r="C575" s="91">
        <v>44295</v>
      </c>
      <c r="D575" s="92">
        <v>31.81</v>
      </c>
      <c r="E575" s="51" cm="1">
        <f t="array" ref="E5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209.99662071523682</v>
      </c>
      <c r="F575" s="49" cm="1">
        <f t="array" ref="F5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71.423519962800924</v>
      </c>
      <c r="G575" s="20">
        <f>tbl_Monitoring[[#This Row],[Area (km2)]]/4046.8564224*1000000</f>
        <v>7860.4221844705298</v>
      </c>
      <c r="H575" s="20">
        <f>tbl_Monitoring[[#This Row],[Volume (MCM)]]/1233.4818375475*1000000</f>
        <v>170247.03106514132</v>
      </c>
      <c r="I575" s="40">
        <f>tbl_Monitoring[[#This Row],[Elevation (SRTM30-m)]]*3.280839895</f>
        <v>234.32913373528621</v>
      </c>
    </row>
    <row r="576" spans="2:9" ht="16" x14ac:dyDescent="0.2">
      <c r="B576" s="90">
        <v>572</v>
      </c>
      <c r="C576" s="91">
        <v>44300</v>
      </c>
      <c r="D576" s="92">
        <v>31.85</v>
      </c>
      <c r="E576" s="51" cm="1">
        <f t="array" ref="E5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210.28861234544419</v>
      </c>
      <c r="F576" s="49" cm="1">
        <f t="array" ref="F5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71.431974298818503</v>
      </c>
      <c r="G576" s="20">
        <f>tbl_Monitoring[[#This Row],[Area (km2)]]/4046.8564224*1000000</f>
        <v>7870.3063997292156</v>
      </c>
      <c r="H576" s="20">
        <f>tbl_Monitoring[[#This Row],[Volume (MCM)]]/1233.4818375475*1000000</f>
        <v>170483.75253222667</v>
      </c>
      <c r="I576" s="40">
        <f>tbl_Monitoring[[#This Row],[Elevation (SRTM30-m)]]*3.280839895</f>
        <v>234.3568710581784</v>
      </c>
    </row>
    <row r="577" spans="2:9" ht="16" x14ac:dyDescent="0.2">
      <c r="B577" s="90">
        <v>573</v>
      </c>
      <c r="C577" s="91">
        <v>44302</v>
      </c>
      <c r="D577" s="92">
        <v>33.28</v>
      </c>
      <c r="E577" s="51" cm="1">
        <f t="array" ref="E5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220.72731312535666</v>
      </c>
      <c r="F577" s="49" cm="1">
        <f t="array" ref="F5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71.734216811447169</v>
      </c>
      <c r="G577" s="20">
        <f>tbl_Monitoring[[#This Row],[Area (km2)]]/4046.8564224*1000000</f>
        <v>8223.6670952272616</v>
      </c>
      <c r="H577" s="20">
        <f>tbl_Monitoring[[#This Row],[Volume (MCM)]]/1233.4818375475*1000000</f>
        <v>178946.5449805269</v>
      </c>
      <c r="I577" s="40">
        <f>tbl_Monitoring[[#This Row],[Elevation (SRTM30-m)]]*3.280839895</f>
        <v>235.34848035157557</v>
      </c>
    </row>
    <row r="578" spans="2:9" ht="16" x14ac:dyDescent="0.2">
      <c r="B578" s="90">
        <v>574</v>
      </c>
      <c r="C578" s="91">
        <v>44310</v>
      </c>
      <c r="D578" s="92">
        <v>32.85</v>
      </c>
      <c r="E578" s="51" cm="1">
        <f t="array" ref="E5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217.58840310062774</v>
      </c>
      <c r="F578" s="49" cm="1">
        <f t="array" ref="F5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71.643332699258139</v>
      </c>
      <c r="G578" s="20">
        <f>tbl_Monitoring[[#This Row],[Area (km2)]]/4046.8564224*1000000</f>
        <v>8117.4117811963815</v>
      </c>
      <c r="H578" s="20">
        <f>tbl_Monitoring[[#This Row],[Volume (MCM)]]/1233.4818375475*1000000</f>
        <v>176401.7892093597</v>
      </c>
      <c r="I578" s="40">
        <f>tbl_Monitoring[[#This Row],[Elevation (SRTM30-m)]]*3.280839895</f>
        <v>235.05030413048414</v>
      </c>
    </row>
    <row r="579" spans="2:9" ht="16" x14ac:dyDescent="0.2">
      <c r="B579" s="90">
        <v>575</v>
      </c>
      <c r="C579" s="91">
        <v>44310</v>
      </c>
      <c r="D579" s="92">
        <v>31.86</v>
      </c>
      <c r="E579" s="51" cm="1">
        <f t="array" ref="E5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210.361610252996</v>
      </c>
      <c r="F579" s="49" cm="1">
        <f t="array" ref="F5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71.434087882822908</v>
      </c>
      <c r="G579" s="20">
        <f>tbl_Monitoring[[#This Row],[Area (km2)]]/4046.8564224*1000000</f>
        <v>7872.7774535438875</v>
      </c>
      <c r="H579" s="20">
        <f>tbl_Monitoring[[#This Row],[Volume (MCM)]]/1233.4818375475*1000000</f>
        <v>170542.93289899797</v>
      </c>
      <c r="I579" s="40">
        <f>tbl_Monitoring[[#This Row],[Elevation (SRTM30-m)]]*3.280839895</f>
        <v>234.36380538890148</v>
      </c>
    </row>
    <row r="580" spans="2:9" ht="16" x14ac:dyDescent="0.2">
      <c r="B580" s="90">
        <v>576</v>
      </c>
      <c r="C580" s="91">
        <v>44315</v>
      </c>
      <c r="D580" s="92">
        <v>30.14</v>
      </c>
      <c r="E580" s="51" cm="1">
        <f t="array" ref="E5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197.80597015408028</v>
      </c>
      <c r="F580" s="49" cm="1">
        <f t="array" ref="F5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71.070551434066743</v>
      </c>
      <c r="G580" s="20">
        <f>tbl_Monitoring[[#This Row],[Area (km2)]]/4046.8564224*1000000</f>
        <v>7447.7561974203627</v>
      </c>
      <c r="H580" s="20">
        <f>tbl_Monitoring[[#This Row],[Volume (MCM)]]/1233.4818375475*1000000</f>
        <v>160363.90981432915</v>
      </c>
      <c r="I580" s="40">
        <f>tbl_Monitoring[[#This Row],[Elevation (SRTM30-m)]]*3.280839895</f>
        <v>233.17110050453564</v>
      </c>
    </row>
    <row r="581" spans="2:9" ht="16" x14ac:dyDescent="0.2">
      <c r="B581" s="90">
        <v>577</v>
      </c>
      <c r="C581" s="91">
        <v>44320</v>
      </c>
      <c r="D581" s="92">
        <v>30.76</v>
      </c>
      <c r="E581" s="51" cm="1">
        <f t="array" ref="E5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202.33184042229411</v>
      </c>
      <c r="F581" s="49" cm="1">
        <f t="array" ref="F5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71.201593642339319</v>
      </c>
      <c r="G581" s="20">
        <f>tbl_Monitoring[[#This Row],[Area (km2)]]/4046.8564224*1000000</f>
        <v>7600.9615339300062</v>
      </c>
      <c r="H581" s="20">
        <f>tbl_Monitoring[[#This Row],[Volume (MCM)]]/1233.4818375475*1000000</f>
        <v>164033.09255415166</v>
      </c>
      <c r="I581" s="40">
        <f>tbl_Monitoring[[#This Row],[Elevation (SRTM30-m)]]*3.280839895</f>
        <v>233.60102900936522</v>
      </c>
    </row>
    <row r="582" spans="2:9" ht="16" x14ac:dyDescent="0.2">
      <c r="B582" s="90">
        <v>578</v>
      </c>
      <c r="C582" s="91">
        <v>44325</v>
      </c>
      <c r="D582" s="92">
        <v>33</v>
      </c>
      <c r="E582" s="51" cm="1">
        <f t="array" ref="E5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218.68337171390527</v>
      </c>
      <c r="F582" s="49" cm="1">
        <f t="array" ref="F5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71.675036459324076</v>
      </c>
      <c r="G582" s="20">
        <f>tbl_Monitoring[[#This Row],[Area (km2)]]/4046.8564224*1000000</f>
        <v>8154.4775884164565</v>
      </c>
      <c r="H582" s="20">
        <f>tbl_Monitoring[[#This Row],[Volume (MCM)]]/1233.4818375475*1000000</f>
        <v>177289.49471092963</v>
      </c>
      <c r="I582" s="40">
        <f>tbl_Monitoring[[#This Row],[Elevation (SRTM30-m)]]*3.280839895</f>
        <v>235.15431909133</v>
      </c>
    </row>
    <row r="583" spans="2:9" ht="16" x14ac:dyDescent="0.2">
      <c r="B583" s="90">
        <v>579</v>
      </c>
      <c r="C583" s="91">
        <v>44326</v>
      </c>
      <c r="D583" s="92">
        <v>33.200000000000003</v>
      </c>
      <c r="E583" s="51" cm="1">
        <f t="array" ref="E5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220.14332986494199</v>
      </c>
      <c r="F583" s="49" cm="1">
        <f t="array" ref="F5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71.717308139411998</v>
      </c>
      <c r="G583" s="20">
        <f>tbl_Monitoring[[#This Row],[Area (km2)]]/4046.8564224*1000000</f>
        <v>8203.8986647098882</v>
      </c>
      <c r="H583" s="20">
        <f>tbl_Monitoring[[#This Row],[Volume (MCM)]]/1233.4818375475*1000000</f>
        <v>178473.10204635625</v>
      </c>
      <c r="I583" s="40">
        <f>tbl_Monitoring[[#This Row],[Elevation (SRTM30-m)]]*3.280839895</f>
        <v>235.2930057057911</v>
      </c>
    </row>
    <row r="584" spans="2:9" ht="16" x14ac:dyDescent="0.2">
      <c r="B584" s="90">
        <v>580</v>
      </c>
      <c r="C584" s="91">
        <v>44330</v>
      </c>
      <c r="D584" s="92">
        <v>31.96</v>
      </c>
      <c r="E584" s="51" cm="1">
        <f t="array" ref="E5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211.09158932851437</v>
      </c>
      <c r="F584" s="49" cm="1">
        <f t="array" ref="F5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71.455223722866862</v>
      </c>
      <c r="G584" s="20">
        <f>tbl_Monitoring[[#This Row],[Area (km2)]]/4046.8564224*1000000</f>
        <v>7897.4879916906048</v>
      </c>
      <c r="H584" s="20">
        <f>tbl_Monitoring[[#This Row],[Volume (MCM)]]/1233.4818375475*1000000</f>
        <v>171134.7365667113</v>
      </c>
      <c r="I584" s="40">
        <f>tbl_Monitoring[[#This Row],[Elevation (SRTM30-m)]]*3.280839895</f>
        <v>234.43314869613204</v>
      </c>
    </row>
    <row r="585" spans="2:9" ht="16" x14ac:dyDescent="0.2">
      <c r="B585" s="90">
        <v>581</v>
      </c>
      <c r="C585" s="91">
        <v>44334</v>
      </c>
      <c r="D585" s="92">
        <v>31.51</v>
      </c>
      <c r="E585" s="51" cm="1">
        <f t="array" ref="E5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207.80668348868176</v>
      </c>
      <c r="F585" s="49" cm="1">
        <f t="array" ref="F5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71.360112442669035</v>
      </c>
      <c r="G585" s="20">
        <f>tbl_Monitoring[[#This Row],[Area (km2)]]/4046.8564224*1000000</f>
        <v>7786.29057003038</v>
      </c>
      <c r="H585" s="20">
        <f>tbl_Monitoring[[#This Row],[Volume (MCM)]]/1233.4818375475*1000000</f>
        <v>168471.62006200143</v>
      </c>
      <c r="I585" s="40">
        <f>tbl_Monitoring[[#This Row],[Elevation (SRTM30-m)]]*3.280839895</f>
        <v>234.12110381359449</v>
      </c>
    </row>
    <row r="586" spans="2:9" ht="16" x14ac:dyDescent="0.2">
      <c r="B586" s="90">
        <v>582</v>
      </c>
      <c r="C586" s="91">
        <v>44335</v>
      </c>
      <c r="D586" s="92">
        <v>31.32</v>
      </c>
      <c r="E586" s="51" cm="1">
        <f t="array" ref="E5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206.41972324519688</v>
      </c>
      <c r="F586" s="49" cm="1">
        <f t="array" ref="F5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71.319954346585504</v>
      </c>
      <c r="G586" s="20">
        <f>tbl_Monitoring[[#This Row],[Area (km2)]]/4046.8564224*1000000</f>
        <v>7739.3405475516183</v>
      </c>
      <c r="H586" s="20">
        <f>tbl_Monitoring[[#This Row],[Volume (MCM)]]/1233.4818375475*1000000</f>
        <v>167347.19309334614</v>
      </c>
      <c r="I586" s="40">
        <f>tbl_Monitoring[[#This Row],[Elevation (SRTM30-m)]]*3.280839895</f>
        <v>233.98935152985638</v>
      </c>
    </row>
    <row r="587" spans="2:9" ht="16" x14ac:dyDescent="0.2">
      <c r="B587" s="90">
        <v>583</v>
      </c>
      <c r="C587" s="91">
        <v>44340</v>
      </c>
      <c r="D587" s="92">
        <v>30.12</v>
      </c>
      <c r="E587" s="51" cm="1">
        <f t="array" ref="E5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197.65997433897661</v>
      </c>
      <c r="F587" s="49" cm="1">
        <f t="array" ref="F5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71.066324266057961</v>
      </c>
      <c r="G587" s="20">
        <f>tbl_Monitoring[[#This Row],[Area (km2)]]/4046.8564224*1000000</f>
        <v>7442.8140897910198</v>
      </c>
      <c r="H587" s="20">
        <f>tbl_Monitoring[[#This Row],[Volume (MCM)]]/1233.4818375475*1000000</f>
        <v>160245.5490807865</v>
      </c>
      <c r="I587" s="40">
        <f>tbl_Monitoring[[#This Row],[Elevation (SRTM30-m)]]*3.280839895</f>
        <v>233.15723184308956</v>
      </c>
    </row>
    <row r="588" spans="2:9" ht="16" x14ac:dyDescent="0.2">
      <c r="B588" s="90">
        <v>584</v>
      </c>
      <c r="C588" s="91">
        <v>44342</v>
      </c>
      <c r="D588" s="92">
        <v>31.32</v>
      </c>
      <c r="E588" s="51" cm="1">
        <f t="array" ref="E5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206.41972324519688</v>
      </c>
      <c r="F588" s="49" cm="1">
        <f t="array" ref="F5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71.319954346585504</v>
      </c>
      <c r="G588" s="20">
        <f>tbl_Monitoring[[#This Row],[Area (km2)]]/4046.8564224*1000000</f>
        <v>7739.3405475516183</v>
      </c>
      <c r="H588" s="20">
        <f>tbl_Monitoring[[#This Row],[Volume (MCM)]]/1233.4818375475*1000000</f>
        <v>167347.19309334614</v>
      </c>
      <c r="I588" s="40">
        <f>tbl_Monitoring[[#This Row],[Elevation (SRTM30-m)]]*3.280839895</f>
        <v>233.98935152985638</v>
      </c>
    </row>
    <row r="589" spans="2:9" ht="16" x14ac:dyDescent="0.2">
      <c r="B589" s="90">
        <v>585</v>
      </c>
      <c r="C589" s="91">
        <v>44345</v>
      </c>
      <c r="D589" s="92">
        <v>29.11</v>
      </c>
      <c r="E589" s="51" cm="1">
        <f t="array" ref="E5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190.52340853299705</v>
      </c>
      <c r="F589" s="49" cm="1">
        <f t="array" ref="F5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70.837420017747888</v>
      </c>
      <c r="G589" s="20">
        <f>tbl_Monitoring[[#This Row],[Area (km2)]]/4046.8564224*1000000</f>
        <v>7193.2376545091829</v>
      </c>
      <c r="H589" s="20">
        <f>tbl_Monitoring[[#This Row],[Volume (MCM)]]/1233.4818375475*1000000</f>
        <v>154459.84102352883</v>
      </c>
      <c r="I589" s="40">
        <f>tbl_Monitoring[[#This Row],[Elevation (SRTM30-m)]]*3.280839895</f>
        <v>232.40623365309889</v>
      </c>
    </row>
    <row r="590" spans="2:9" ht="16" x14ac:dyDescent="0.2">
      <c r="B590" s="90">
        <v>586</v>
      </c>
      <c r="C590" s="91">
        <v>44350</v>
      </c>
      <c r="D590" s="92">
        <v>28.9</v>
      </c>
      <c r="E590" s="51" cm="1">
        <f t="array" ref="E5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189.06170613703236</v>
      </c>
      <c r="F590" s="49" cm="1">
        <f t="array" ref="F5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70.788379804773243</v>
      </c>
      <c r="G590" s="20">
        <f>tbl_Monitoring[[#This Row],[Area (km2)]]/4046.8564224*1000000</f>
        <v>7141.3455244010775</v>
      </c>
      <c r="H590" s="20">
        <f>tbl_Monitoring[[#This Row],[Volume (MCM)]]/1233.4818375475*1000000</f>
        <v>153274.8196057259</v>
      </c>
      <c r="I590" s="40">
        <f>tbl_Monitoring[[#This Row],[Elevation (SRTM30-m)]]*3.280839895</f>
        <v>232.24534056591239</v>
      </c>
    </row>
    <row r="591" spans="2:9" ht="16" x14ac:dyDescent="0.2">
      <c r="B591" s="90">
        <v>587</v>
      </c>
      <c r="C591" s="91">
        <v>44350</v>
      </c>
      <c r="D591" s="92">
        <v>28.91</v>
      </c>
      <c r="E591" s="51" cm="1">
        <f t="array" ref="E5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189.13131101303068</v>
      </c>
      <c r="F591" s="49" cm="1">
        <f t="array" ref="F5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70.790715053010132</v>
      </c>
      <c r="G591" s="20">
        <f>tbl_Monitoring[[#This Row],[Area (km2)]]/4046.8564224*1000000</f>
        <v>7143.8165782157494</v>
      </c>
      <c r="H591" s="20">
        <f>tbl_Monitoring[[#This Row],[Volume (MCM)]]/1233.4818375475*1000000</f>
        <v>153331.24919704985</v>
      </c>
      <c r="I591" s="40">
        <f>tbl_Monitoring[[#This Row],[Elevation (SRTM30-m)]]*3.280839895</f>
        <v>232.25300214149269</v>
      </c>
    </row>
    <row r="592" spans="2:9" ht="16" x14ac:dyDescent="0.2">
      <c r="B592" s="90">
        <v>588</v>
      </c>
      <c r="C592" s="91">
        <v>44365</v>
      </c>
      <c r="D592" s="92">
        <v>26.83</v>
      </c>
      <c r="E592" s="51" cm="1">
        <f t="array" ref="E5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174.6534968053804</v>
      </c>
      <c r="F592" s="49" cm="1">
        <f t="array" ref="F5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70.304983419737511</v>
      </c>
      <c r="G592" s="20">
        <f>tbl_Monitoring[[#This Row],[Area (km2)]]/4046.8564224*1000000</f>
        <v>6629.837384764046</v>
      </c>
      <c r="H592" s="20">
        <f>tbl_Monitoring[[#This Row],[Volume (MCM)]]/1233.4818375475*1000000</f>
        <v>141593.89420166853</v>
      </c>
      <c r="I592" s="40">
        <f>tbl_Monitoring[[#This Row],[Elevation (SRTM30-m)]]*3.280839895</f>
        <v>230.65939442078837</v>
      </c>
    </row>
    <row r="593" spans="2:9" ht="16" x14ac:dyDescent="0.2">
      <c r="B593" s="90">
        <v>589</v>
      </c>
      <c r="C593" s="91">
        <v>44366</v>
      </c>
      <c r="D593" s="92">
        <v>27.02</v>
      </c>
      <c r="E593" s="51" cm="1">
        <f t="array" ref="E5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175.97598944934845</v>
      </c>
      <c r="F593" s="49" cm="1">
        <f t="array" ref="F5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70.349353136238378</v>
      </c>
      <c r="G593" s="20">
        <f>tbl_Monitoring[[#This Row],[Area (km2)]]/4046.8564224*1000000</f>
        <v>6676.7874072428076</v>
      </c>
      <c r="H593" s="20">
        <f>tbl_Monitoring[[#This Row],[Volume (MCM)]]/1233.4818375475*1000000</f>
        <v>142666.05643682356</v>
      </c>
      <c r="I593" s="40">
        <f>tbl_Monitoring[[#This Row],[Elevation (SRTM30-m)]]*3.280839895</f>
        <v>230.80496435681425</v>
      </c>
    </row>
    <row r="594" spans="2:9" ht="16" x14ac:dyDescent="0.2">
      <c r="B594" s="90">
        <v>590</v>
      </c>
      <c r="C594" s="91">
        <v>44370</v>
      </c>
      <c r="D594" s="92">
        <v>26.56</v>
      </c>
      <c r="E594" s="51" cm="1">
        <f t="array" ref="E5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172.7741651534258</v>
      </c>
      <c r="F594" s="49" cm="1">
        <f t="array" ref="F5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70.241931717341558</v>
      </c>
      <c r="G594" s="20">
        <f>tbl_Monitoring[[#This Row],[Area (km2)]]/4046.8564224*1000000</f>
        <v>6563.1189317679109</v>
      </c>
      <c r="H594" s="20">
        <f>tbl_Monitoring[[#This Row],[Volume (MCM)]]/1233.4818375475*1000000</f>
        <v>140070.29523592192</v>
      </c>
      <c r="I594" s="40">
        <f>tbl_Monitoring[[#This Row],[Elevation (SRTM30-m)]]*3.280839895</f>
        <v>230.45253188012006</v>
      </c>
    </row>
    <row r="595" spans="2:9" ht="16" x14ac:dyDescent="0.2">
      <c r="B595" s="90">
        <v>591</v>
      </c>
      <c r="C595" s="91">
        <v>44375</v>
      </c>
      <c r="D595" s="92">
        <v>26.14</v>
      </c>
      <c r="E595" s="51" cm="1">
        <f t="array" ref="E5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169.85076036149641</v>
      </c>
      <c r="F595" s="49" cm="1">
        <f t="array" ref="F5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70.143851291392281</v>
      </c>
      <c r="G595" s="20">
        <f>tbl_Monitoring[[#This Row],[Area (km2)]]/4046.8564224*1000000</f>
        <v>6459.3346715517018</v>
      </c>
      <c r="H595" s="20">
        <f>tbl_Monitoring[[#This Row],[Volume (MCM)]]/1233.4818375475*1000000</f>
        <v>137700.25240031609</v>
      </c>
      <c r="I595" s="40">
        <f>tbl_Monitoring[[#This Row],[Elevation (SRTM30-m)]]*3.280839895</f>
        <v>230.13074570574707</v>
      </c>
    </row>
    <row r="596" spans="2:9" ht="16" x14ac:dyDescent="0.2">
      <c r="B596" s="90">
        <v>592</v>
      </c>
      <c r="C596" s="91">
        <v>44380</v>
      </c>
      <c r="D596" s="92">
        <v>25.56</v>
      </c>
      <c r="E596" s="51" cm="1">
        <f t="array" ref="E5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165.81367755359392</v>
      </c>
      <c r="F596" s="49" cm="1">
        <f t="array" ref="F5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70.00840689365279</v>
      </c>
      <c r="G596" s="20">
        <f>tbl_Monitoring[[#This Row],[Area (km2)]]/4046.8564224*1000000</f>
        <v>6316.0135503007459</v>
      </c>
      <c r="H596" s="20">
        <f>tbl_Monitoring[[#This Row],[Volume (MCM)]]/1233.4818375475*1000000</f>
        <v>134427.33610352705</v>
      </c>
      <c r="I596" s="40">
        <f>tbl_Monitoring[[#This Row],[Elevation (SRTM30-m)]]*3.280839895</f>
        <v>229.68637432208911</v>
      </c>
    </row>
    <row r="597" spans="2:9" ht="16" x14ac:dyDescent="0.2">
      <c r="B597" s="90">
        <v>593</v>
      </c>
      <c r="C597" s="91">
        <v>44385</v>
      </c>
      <c r="D597" s="92">
        <v>24.91</v>
      </c>
      <c r="E597" s="51" cm="1">
        <f t="array" ref="E5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161.19564577376471</v>
      </c>
      <c r="F597" s="49" cm="1">
        <f t="array" ref="F5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69.828888331521895</v>
      </c>
      <c r="G597" s="20">
        <f>tbl_Monitoring[[#This Row],[Area (km2)]]/4046.8564224*1000000</f>
        <v>6155.3950523470885</v>
      </c>
      <c r="H597" s="20">
        <f>tbl_Monitoring[[#This Row],[Volume (MCM)]]/1233.4818375475*1000000</f>
        <v>130683.43681027833</v>
      </c>
      <c r="I597" s="40">
        <f>tbl_Monitoring[[#This Row],[Elevation (SRTM30-m)]]*3.280839895</f>
        <v>229.09740266155703</v>
      </c>
    </row>
    <row r="598" spans="2:9" ht="16" x14ac:dyDescent="0.2">
      <c r="B598" s="90">
        <v>594</v>
      </c>
      <c r="C598" s="91">
        <v>44390</v>
      </c>
      <c r="D598" s="92">
        <v>25.5</v>
      </c>
      <c r="E598" s="51" cm="1">
        <f t="array" ref="E5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165.39238517682466</v>
      </c>
      <c r="F598" s="49" cm="1">
        <f t="array" ref="F5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69.993311596020405</v>
      </c>
      <c r="G598" s="20">
        <f>tbl_Monitoring[[#This Row],[Area (km2)]]/4046.8564224*1000000</f>
        <v>6301.1872274127163</v>
      </c>
      <c r="H598" s="20">
        <f>tbl_Monitoring[[#This Row],[Volume (MCM)]]/1233.4818375475*1000000</f>
        <v>134085.78881523709</v>
      </c>
      <c r="I598" s="40">
        <f>tbl_Monitoring[[#This Row],[Elevation (SRTM30-m)]]*3.280839895</f>
        <v>229.63684906738987</v>
      </c>
    </row>
    <row r="599" spans="2:9" ht="16" x14ac:dyDescent="0.2">
      <c r="B599" s="90">
        <v>595</v>
      </c>
      <c r="C599" s="91">
        <v>44398</v>
      </c>
      <c r="D599" s="92">
        <v>56.77</v>
      </c>
      <c r="E599" s="51" cm="1">
        <f t="array" ref="E5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387.85787385218964</v>
      </c>
      <c r="F599" s="49" cm="1">
        <f t="array" ref="F5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75.262832973998286</v>
      </c>
      <c r="G599" s="20">
        <f>tbl_Monitoring[[#This Row],[Area (km2)]]/4046.8564224*1000000</f>
        <v>14028.172505890976</v>
      </c>
      <c r="H599" s="20">
        <f>tbl_Monitoring[[#This Row],[Volume (MCM)]]/1233.4818375475*1000000</f>
        <v>314441.49564727879</v>
      </c>
      <c r="I599" s="40">
        <f>tbl_Monitoring[[#This Row],[Elevation (SRTM30-m)]]*3.280839895</f>
        <v>246.9253050318151</v>
      </c>
    </row>
    <row r="600" spans="2:9" ht="16" x14ac:dyDescent="0.2">
      <c r="B600" s="90">
        <v>596</v>
      </c>
      <c r="C600" s="91">
        <v>44400</v>
      </c>
      <c r="D600" s="92">
        <v>55.92</v>
      </c>
      <c r="E600" s="51" cm="1">
        <f t="array" ref="E6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381.54618898314072</v>
      </c>
      <c r="F600" s="49" cm="1">
        <f t="array" ref="F6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75.162690418124626</v>
      </c>
      <c r="G600" s="20">
        <f>tbl_Monitoring[[#This Row],[Area (km2)]]/4046.8564224*1000000</f>
        <v>13818.132931643886</v>
      </c>
      <c r="H600" s="20">
        <f>tbl_Monitoring[[#This Row],[Volume (MCM)]]/1233.4818375475*1000000</f>
        <v>309324.52944889659</v>
      </c>
      <c r="I600" s="40">
        <f>tbl_Monitoring[[#This Row],[Elevation (SRTM30-m)]]*3.280839895</f>
        <v>246.59675333931753</v>
      </c>
    </row>
    <row r="601" spans="2:9" ht="16" x14ac:dyDescent="0.2">
      <c r="B601" s="90">
        <v>597</v>
      </c>
      <c r="C601" s="91">
        <v>44406</v>
      </c>
      <c r="D601" s="92">
        <v>56.31</v>
      </c>
      <c r="E601" s="51" cm="1">
        <f t="array" ref="E6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384.44213851129257</v>
      </c>
      <c r="F601" s="49" cm="1">
        <f t="array" ref="F6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75.208638179054887</v>
      </c>
      <c r="G601" s="20">
        <f>tbl_Monitoring[[#This Row],[Area (km2)]]/4046.8564224*1000000</f>
        <v>13914.504030416081</v>
      </c>
      <c r="H601" s="20">
        <f>tbl_Monitoring[[#This Row],[Volume (MCM)]]/1233.4818375475*1000000</f>
        <v>311672.313939919</v>
      </c>
      <c r="I601" s="40">
        <f>tbl_Monitoring[[#This Row],[Elevation (SRTM30-m)]]*3.280839895</f>
        <v>246.74750058646345</v>
      </c>
    </row>
    <row r="602" spans="2:9" ht="16" x14ac:dyDescent="0.2">
      <c r="B602" s="90">
        <v>598</v>
      </c>
      <c r="C602" s="91">
        <v>44410</v>
      </c>
      <c r="D602" s="92">
        <v>55.52</v>
      </c>
      <c r="E602" s="51" cm="1">
        <f t="array" ref="E6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378.57598433888245</v>
      </c>
      <c r="F602" s="49" cm="1">
        <f t="array" ref="F6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75.115564509478205</v>
      </c>
      <c r="G602" s="20">
        <f>tbl_Monitoring[[#This Row],[Area (km2)]]/4046.8564224*1000000</f>
        <v>13719.290779057021</v>
      </c>
      <c r="H602" s="20">
        <f>tbl_Monitoring[[#This Row],[Volume (MCM)]]/1233.4818375475*1000000</f>
        <v>306916.54535554029</v>
      </c>
      <c r="I602" s="40">
        <f>tbl_Monitoring[[#This Row],[Elevation (SRTM30-m)]]*3.280839895</f>
        <v>246.4421407781422</v>
      </c>
    </row>
    <row r="603" spans="2:9" ht="16" x14ac:dyDescent="0.2">
      <c r="B603" s="90">
        <v>599</v>
      </c>
      <c r="C603" s="91">
        <v>44414</v>
      </c>
      <c r="D603" s="92">
        <v>55</v>
      </c>
      <c r="E603" s="51" cm="1">
        <f t="array" ref="E6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374.71471830134664</v>
      </c>
      <c r="F603" s="49" cm="1">
        <f t="array" ref="F6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75.054300828237842</v>
      </c>
      <c r="G603" s="20">
        <f>tbl_Monitoring[[#This Row],[Area (km2)]]/4046.8564224*1000000</f>
        <v>13590.795980694093</v>
      </c>
      <c r="H603" s="20">
        <f>tbl_Monitoring[[#This Row],[Volume (MCM)]]/1233.4818375475*1000000</f>
        <v>303786.16603417706</v>
      </c>
      <c r="I603" s="40">
        <f>tbl_Monitoring[[#This Row],[Elevation (SRTM30-m)]]*3.280839895</f>
        <v>246.24114444861428</v>
      </c>
    </row>
    <row r="604" spans="2:9" ht="16" x14ac:dyDescent="0.2">
      <c r="B604" s="90">
        <v>600</v>
      </c>
      <c r="C604" s="91">
        <v>44415</v>
      </c>
      <c r="D604" s="92">
        <v>54.3</v>
      </c>
      <c r="E604" s="51" cm="1">
        <f t="array" ref="E6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369.61588892745573</v>
      </c>
      <c r="F604" s="49" cm="1">
        <f t="array" ref="F6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74.969262216051519</v>
      </c>
      <c r="G604" s="20">
        <f>tbl_Monitoring[[#This Row],[Area (km2)]]/4046.8564224*1000000</f>
        <v>13417.822213667076</v>
      </c>
      <c r="H604" s="20">
        <f>tbl_Monitoring[[#This Row],[Volume (MCM)]]/1233.4818375475*1000000</f>
        <v>299652.47778788005</v>
      </c>
      <c r="I604" s="40">
        <f>tbl_Monitoring[[#This Row],[Elevation (SRTM30-m)]]*3.280839895</f>
        <v>245.96214637713794</v>
      </c>
    </row>
    <row r="605" spans="2:9" ht="16" x14ac:dyDescent="0.2">
      <c r="B605" s="90">
        <v>601</v>
      </c>
      <c r="C605" s="91">
        <v>44420</v>
      </c>
      <c r="D605" s="92">
        <v>52.26</v>
      </c>
      <c r="E605" s="51" cm="1">
        <f t="array" ref="E6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355.31275807011457</v>
      </c>
      <c r="F605" s="49" cm="1">
        <f t="array" ref="F6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74.707007597670568</v>
      </c>
      <c r="G605" s="20">
        <f>tbl_Monitoring[[#This Row],[Area (km2)]]/4046.8564224*1000000</f>
        <v>12913.72723547406</v>
      </c>
      <c r="H605" s="20">
        <f>tbl_Monitoring[[#This Row],[Volume (MCM)]]/1233.4818375475*1000000</f>
        <v>288056.74088932981</v>
      </c>
      <c r="I605" s="40">
        <f>tbl_Monitoring[[#This Row],[Elevation (SRTM30-m)]]*3.280839895</f>
        <v>245.10173096250571</v>
      </c>
    </row>
    <row r="606" spans="2:9" ht="16" x14ac:dyDescent="0.2">
      <c r="B606" s="90">
        <v>602</v>
      </c>
      <c r="C606" s="91">
        <v>44425</v>
      </c>
      <c r="D606" s="92">
        <v>51.72</v>
      </c>
      <c r="E606" s="51" cm="1">
        <f t="array" ref="E6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351.52663519611247</v>
      </c>
      <c r="F606" s="49" cm="1">
        <f t="array" ref="F6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74.637587257510901</v>
      </c>
      <c r="G606" s="20">
        <f>tbl_Monitoring[[#This Row],[Area (km2)]]/4046.8564224*1000000</f>
        <v>12780.29032948179</v>
      </c>
      <c r="H606" s="20">
        <f>tbl_Monitoring[[#This Row],[Volume (MCM)]]/1233.4818375475*1000000</f>
        <v>284987.28112206643</v>
      </c>
      <c r="I606" s="40">
        <f>tbl_Monitoring[[#This Row],[Elevation (SRTM30-m)]]*3.280839895</f>
        <v>244.87397394098542</v>
      </c>
    </row>
    <row r="607" spans="2:9" ht="16" x14ac:dyDescent="0.2">
      <c r="B607" s="90">
        <v>603</v>
      </c>
      <c r="C607" s="91">
        <v>44430</v>
      </c>
      <c r="D607" s="92">
        <v>52.63</v>
      </c>
      <c r="E607" s="51" cm="1">
        <f t="array" ref="E6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357.90695337267158</v>
      </c>
      <c r="F607" s="49" cm="1">
        <f t="array" ref="F6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74.754573386298489</v>
      </c>
      <c r="G607" s="20">
        <f>tbl_Monitoring[[#This Row],[Area (km2)]]/4046.8564224*1000000</f>
        <v>13005.156226616911</v>
      </c>
      <c r="H607" s="20">
        <f>tbl_Monitoring[[#This Row],[Volume (MCM)]]/1233.4818375475*1000000</f>
        <v>290159.88924838061</v>
      </c>
      <c r="I607" s="40">
        <f>tbl_Monitoring[[#This Row],[Elevation (SRTM30-m)]]*3.280839895</f>
        <v>245.25778669947334</v>
      </c>
    </row>
    <row r="608" spans="2:9" ht="16" x14ac:dyDescent="0.2">
      <c r="B608" s="90">
        <v>604</v>
      </c>
      <c r="C608" s="91">
        <v>44430</v>
      </c>
      <c r="D608" s="92">
        <v>52.89</v>
      </c>
      <c r="E608" s="51" cm="1">
        <f t="array" ref="E6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359.72990142311698</v>
      </c>
      <c r="F608" s="49" cm="1">
        <f t="array" ref="F6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74.787997994523508</v>
      </c>
      <c r="G608" s="20">
        <f>tbl_Monitoring[[#This Row],[Area (km2)]]/4046.8564224*1000000</f>
        <v>13069.403625798375</v>
      </c>
      <c r="H608" s="20">
        <f>tbl_Monitoring[[#This Row],[Volume (MCM)]]/1233.4818375475*1000000</f>
        <v>291637.77728447033</v>
      </c>
      <c r="I608" s="40">
        <f>tbl_Monitoring[[#This Row],[Elevation (SRTM30-m)]]*3.280839895</f>
        <v>245.36744748761274</v>
      </c>
    </row>
    <row r="609" spans="2:9" ht="16" x14ac:dyDescent="0.2">
      <c r="B609" s="90">
        <v>605</v>
      </c>
      <c r="C609" s="91">
        <v>44435</v>
      </c>
      <c r="D609" s="92">
        <v>51.65</v>
      </c>
      <c r="E609" s="51" cm="1">
        <f t="array" ref="E6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351.03584149022333</v>
      </c>
      <c r="F609" s="49" cm="1">
        <f t="array" ref="F6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74.628588324527229</v>
      </c>
      <c r="G609" s="20">
        <f>tbl_Monitoring[[#This Row],[Area (km2)]]/4046.8564224*1000000</f>
        <v>12762.992952779088</v>
      </c>
      <c r="H609" s="20">
        <f>tbl_Monitoring[[#This Row],[Volume (MCM)]]/1233.4818375475*1000000</f>
        <v>284589.38818927307</v>
      </c>
      <c r="I609" s="40">
        <f>tbl_Monitoring[[#This Row],[Elevation (SRTM30-m)]]*3.280839895</f>
        <v>244.84444988264016</v>
      </c>
    </row>
    <row r="610" spans="2:9" ht="16" x14ac:dyDescent="0.2">
      <c r="B610" s="90">
        <v>606</v>
      </c>
      <c r="C610" s="91">
        <v>44438</v>
      </c>
      <c r="D610" s="92">
        <v>51.99</v>
      </c>
      <c r="E610" s="51" cm="1">
        <f t="array" ref="E6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353.41969663311352</v>
      </c>
      <c r="F610" s="49" cm="1">
        <f t="array" ref="F6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74.672297427590735</v>
      </c>
      <c r="G610" s="20">
        <f>tbl_Monitoring[[#This Row],[Area (km2)]]/4046.8564224*1000000</f>
        <v>12847.008782477926</v>
      </c>
      <c r="H610" s="20">
        <f>tbl_Monitoring[[#This Row],[Volume (MCM)]]/1233.4818375475*1000000</f>
        <v>286522.01100569812</v>
      </c>
      <c r="I610" s="40">
        <f>tbl_Monitoring[[#This Row],[Elevation (SRTM30-m)]]*3.280839895</f>
        <v>244.98785245174557</v>
      </c>
    </row>
    <row r="611" spans="2:9" ht="16" x14ac:dyDescent="0.2">
      <c r="B611" s="90">
        <v>607</v>
      </c>
      <c r="C611" s="91">
        <v>44440</v>
      </c>
      <c r="D611" s="92">
        <v>51.51</v>
      </c>
      <c r="E611" s="51" cm="1">
        <f t="array" ref="E6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350.05425407844501</v>
      </c>
      <c r="F611" s="49" cm="1">
        <f t="array" ref="F6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74.610590458559912</v>
      </c>
      <c r="G611" s="20">
        <f>tbl_Monitoring[[#This Row],[Area (km2)]]/4046.8564224*1000000</f>
        <v>12728.398199373685</v>
      </c>
      <c r="H611" s="20">
        <f>tbl_Monitoring[[#This Row],[Volume (MCM)]]/1233.4818375475*1000000</f>
        <v>283793.6023236863</v>
      </c>
      <c r="I611" s="40">
        <f>tbl_Monitoring[[#This Row],[Elevation (SRTM30-m)]]*3.280839895</f>
        <v>244.78540176594973</v>
      </c>
    </row>
    <row r="612" spans="2:9" ht="16" x14ac:dyDescent="0.2">
      <c r="B612" s="90">
        <v>608</v>
      </c>
      <c r="C612" s="91">
        <v>44445</v>
      </c>
      <c r="D612" s="92">
        <v>51.03</v>
      </c>
      <c r="E612" s="51" cm="1">
        <f t="array" ref="E6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346.68881152377651</v>
      </c>
      <c r="F612" s="49" cm="1">
        <f t="array" ref="F6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74.548883489529103</v>
      </c>
      <c r="G612" s="20">
        <f>tbl_Monitoring[[#This Row],[Area (km2)]]/4046.8564224*1000000</f>
        <v>12609.787616269448</v>
      </c>
      <c r="H612" s="20">
        <f>tbl_Monitoring[[#This Row],[Volume (MCM)]]/1233.4818375475*1000000</f>
        <v>281065.19364167447</v>
      </c>
      <c r="I612" s="40">
        <f>tbl_Monitoring[[#This Row],[Elevation (SRTM30-m)]]*3.280839895</f>
        <v>244.58295108015392</v>
      </c>
    </row>
    <row r="613" spans="2:9" ht="16" x14ac:dyDescent="0.2">
      <c r="B613" s="90">
        <v>609</v>
      </c>
      <c r="C613" s="91">
        <v>44446</v>
      </c>
      <c r="D613" s="92">
        <v>50.83</v>
      </c>
      <c r="E613" s="51" cm="1">
        <f t="array" ref="E6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345.28654379266459</v>
      </c>
      <c r="F613" s="49" cm="1">
        <f t="array" ref="F6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74.523172252432929</v>
      </c>
      <c r="G613" s="20">
        <f>tbl_Monitoring[[#This Row],[Area (km2)]]/4046.8564224*1000000</f>
        <v>12560.366539976014</v>
      </c>
      <c r="H613" s="20">
        <f>tbl_Monitoring[[#This Row],[Volume (MCM)]]/1233.4818375475*1000000</f>
        <v>279928.35669083614</v>
      </c>
      <c r="I613" s="40">
        <f>tbl_Monitoring[[#This Row],[Elevation (SRTM30-m)]]*3.280839895</f>
        <v>244.49859662773898</v>
      </c>
    </row>
    <row r="614" spans="2:9" ht="16" x14ac:dyDescent="0.2">
      <c r="B614" s="90">
        <v>610</v>
      </c>
      <c r="C614" s="91">
        <v>44450</v>
      </c>
      <c r="D614" s="92">
        <v>49.93</v>
      </c>
      <c r="E614" s="51" cm="1">
        <f t="array" ref="E6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338.97633900266112</v>
      </c>
      <c r="F614" s="49" cm="1">
        <f t="array" ref="F6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74.407471685500141</v>
      </c>
      <c r="G614" s="20">
        <f>tbl_Monitoring[[#This Row],[Area (km2)]]/4046.8564224*1000000</f>
        <v>12337.971696655564</v>
      </c>
      <c r="H614" s="20">
        <f>tbl_Monitoring[[#This Row],[Volume (MCM)]]/1233.4818375475*1000000</f>
        <v>274812.59041206399</v>
      </c>
      <c r="I614" s="40">
        <f>tbl_Monitoring[[#This Row],[Elevation (SRTM30-m)]]*3.280839895</f>
        <v>244.11900159187178</v>
      </c>
    </row>
    <row r="615" spans="2:9" ht="16" x14ac:dyDescent="0.2">
      <c r="B615" s="90">
        <v>611</v>
      </c>
      <c r="C615" s="91">
        <v>44454</v>
      </c>
      <c r="D615" s="92">
        <v>48.07</v>
      </c>
      <c r="E615" s="51" cm="1">
        <f t="array" ref="E6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325.93524910332064</v>
      </c>
      <c r="F615" s="49" cm="1">
        <f t="array" ref="F6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74.168357180505737</v>
      </c>
      <c r="G615" s="20">
        <f>tbl_Monitoring[[#This Row],[Area (km2)]]/4046.8564224*1000000</f>
        <v>11878.355687126637</v>
      </c>
      <c r="H615" s="20">
        <f>tbl_Monitoring[[#This Row],[Volume (MCM)]]/1233.4818375475*1000000</f>
        <v>264240.00676926813</v>
      </c>
      <c r="I615" s="40">
        <f>tbl_Monitoring[[#This Row],[Elevation (SRTM30-m)]]*3.280839895</f>
        <v>243.33450518441296</v>
      </c>
    </row>
    <row r="616" spans="2:9" ht="16" x14ac:dyDescent="0.2">
      <c r="B616" s="90">
        <v>612</v>
      </c>
      <c r="C616" s="91">
        <v>44455</v>
      </c>
      <c r="D616" s="92">
        <v>47.86</v>
      </c>
      <c r="E616" s="51" cm="1">
        <f t="array" ref="E6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324.46286798565313</v>
      </c>
      <c r="F616" s="49" cm="1">
        <f t="array" ref="F6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74.141360381554762</v>
      </c>
      <c r="G616" s="20">
        <f>tbl_Monitoring[[#This Row],[Area (km2)]]/4046.8564224*1000000</f>
        <v>11826.463557018533</v>
      </c>
      <c r="H616" s="20">
        <f>tbl_Monitoring[[#This Row],[Volume (MCM)]]/1233.4818375475*1000000</f>
        <v>263046.32797088788</v>
      </c>
      <c r="I616" s="40">
        <f>tbl_Monitoring[[#This Row],[Elevation (SRTM30-m)]]*3.280839895</f>
        <v>243.2459330093773</v>
      </c>
    </row>
    <row r="617" spans="2:9" ht="16" x14ac:dyDescent="0.2">
      <c r="B617" s="90">
        <v>613</v>
      </c>
      <c r="C617" s="91">
        <v>44460</v>
      </c>
      <c r="D617" s="92">
        <v>47.21</v>
      </c>
      <c r="E617" s="51" cm="1">
        <f t="array" ref="E6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319.90549785953954</v>
      </c>
      <c r="F617" s="49" cm="1">
        <f t="array" ref="F6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74.057798860992193</v>
      </c>
      <c r="G617" s="20">
        <f>tbl_Monitoring[[#This Row],[Area (km2)]]/4046.8564224*1000000</f>
        <v>11665.845059064875</v>
      </c>
      <c r="H617" s="20">
        <f>tbl_Monitoring[[#This Row],[Volume (MCM)]]/1233.4818375475*1000000</f>
        <v>259351.60788066353</v>
      </c>
      <c r="I617" s="40">
        <f>tbl_Monitoring[[#This Row],[Elevation (SRTM30-m)]]*3.280839895</f>
        <v>242.97178103902877</v>
      </c>
    </row>
    <row r="618" spans="2:9" ht="16" x14ac:dyDescent="0.2">
      <c r="B618" s="90">
        <v>614</v>
      </c>
      <c r="C618" s="91">
        <v>44465</v>
      </c>
      <c r="D618" s="92">
        <v>46.04</v>
      </c>
      <c r="E618" s="51" cm="1">
        <f t="array" ref="E6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311.70612578209278</v>
      </c>
      <c r="F618" s="49" cm="1">
        <f t="array" ref="F6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73.892065204362936</v>
      </c>
      <c r="G618" s="20">
        <f>tbl_Monitoring[[#This Row],[Area (km2)]]/4046.8564224*1000000</f>
        <v>11376.731762748292</v>
      </c>
      <c r="H618" s="20">
        <f>tbl_Monitoring[[#This Row],[Volume (MCM)]]/1233.4818375475*1000000</f>
        <v>252704.26875668473</v>
      </c>
      <c r="I618" s="40">
        <f>tbl_Monitoring[[#This Row],[Elevation (SRTM30-m)]]*3.280839895</f>
        <v>242.42803544641527</v>
      </c>
    </row>
    <row r="619" spans="2:9" ht="16" x14ac:dyDescent="0.2">
      <c r="B619" s="90">
        <v>615</v>
      </c>
      <c r="C619" s="91">
        <v>44475</v>
      </c>
      <c r="D619" s="92">
        <v>49.37</v>
      </c>
      <c r="E619" s="51" cm="1">
        <f t="array" ref="E6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335.04998935554784</v>
      </c>
      <c r="F619" s="49" cm="1">
        <f t="array" ref="F6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74.33548022163086</v>
      </c>
      <c r="G619" s="20">
        <f>tbl_Monitoring[[#This Row],[Area (km2)]]/4046.8564224*1000000</f>
        <v>12199.59268303395</v>
      </c>
      <c r="H619" s="20">
        <f>tbl_Monitoring[[#This Row],[Volume (MCM)]]/1233.4818375475*1000000</f>
        <v>271629.44694971677</v>
      </c>
      <c r="I619" s="40">
        <f>tbl_Monitoring[[#This Row],[Elevation (SRTM30-m)]]*3.280839895</f>
        <v>243.88280912510999</v>
      </c>
    </row>
    <row r="620" spans="2:9" ht="16" x14ac:dyDescent="0.2">
      <c r="B620" s="90">
        <v>616</v>
      </c>
      <c r="C620" s="91">
        <v>44478</v>
      </c>
      <c r="D620" s="92">
        <v>47.92</v>
      </c>
      <c r="E620" s="51" cm="1">
        <f t="array" ref="E6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324.88354830498673</v>
      </c>
      <c r="F620" s="49" cm="1">
        <f t="array" ref="F6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74.149073752683606</v>
      </c>
      <c r="G620" s="20">
        <f>tbl_Monitoring[[#This Row],[Area (km2)]]/4046.8564224*1000000</f>
        <v>11841.289879906564</v>
      </c>
      <c r="H620" s="20">
        <f>tbl_Monitoring[[#This Row],[Volume (MCM)]]/1233.4818375475*1000000</f>
        <v>263387.37905613938</v>
      </c>
      <c r="I620" s="40">
        <f>tbl_Monitoring[[#This Row],[Elevation (SRTM30-m)]]*3.280839895</f>
        <v>243.27123934510175</v>
      </c>
    </row>
    <row r="621" spans="2:9" ht="16" x14ac:dyDescent="0.2">
      <c r="B621" s="90">
        <v>617</v>
      </c>
      <c r="C621" s="91">
        <v>44480</v>
      </c>
      <c r="D621" s="92">
        <v>47.91</v>
      </c>
      <c r="E621" s="51" cm="1">
        <f t="array" ref="E6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324.81343491843108</v>
      </c>
      <c r="F621" s="49" cm="1">
        <f t="array" ref="F6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74.147788190828805</v>
      </c>
      <c r="G621" s="20">
        <f>tbl_Monitoring[[#This Row],[Area (km2)]]/4046.8564224*1000000</f>
        <v>11838.818826091891</v>
      </c>
      <c r="H621" s="20">
        <f>tbl_Monitoring[[#This Row],[Volume (MCM)]]/1233.4818375475*1000000</f>
        <v>263330.53720859747</v>
      </c>
      <c r="I621" s="40">
        <f>tbl_Monitoring[[#This Row],[Elevation (SRTM30-m)]]*3.280839895</f>
        <v>243.26702162248102</v>
      </c>
    </row>
    <row r="622" spans="2:9" ht="16" x14ac:dyDescent="0.2">
      <c r="B622" s="90">
        <v>618</v>
      </c>
      <c r="C622" s="91">
        <v>44485</v>
      </c>
      <c r="D622" s="92">
        <v>46.28</v>
      </c>
      <c r="E622" s="51" cm="1">
        <f t="array" ref="E6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313.38754973031286</v>
      </c>
      <c r="F622" s="49" cm="1">
        <f t="array" ref="F6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73.928023492748409</v>
      </c>
      <c r="G622" s="20">
        <f>tbl_Monitoring[[#This Row],[Area (km2)]]/4046.8564224*1000000</f>
        <v>11436.037054300412</v>
      </c>
      <c r="H622" s="20">
        <f>tbl_Monitoring[[#This Row],[Volume (MCM)]]/1233.4818375475*1000000</f>
        <v>254067.42133586115</v>
      </c>
      <c r="I622" s="40">
        <f>tbl_Monitoring[[#This Row],[Elevation (SRTM30-m)]]*3.280839895</f>
        <v>242.54600883350625</v>
      </c>
    </row>
    <row r="623" spans="2:9" ht="16" x14ac:dyDescent="0.2">
      <c r="B623" s="90">
        <v>619</v>
      </c>
      <c r="C623" s="91">
        <v>44486</v>
      </c>
      <c r="D623" s="92">
        <v>46.06</v>
      </c>
      <c r="E623" s="51" cm="1">
        <f t="array" ref="E6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311.84624444444449</v>
      </c>
      <c r="F623" s="49" cm="1">
        <f t="array" ref="F6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73.895061728395063</v>
      </c>
      <c r="G623" s="20">
        <f>tbl_Monitoring[[#This Row],[Area (km2)]]/4046.8564224*1000000</f>
        <v>11381.673870377637</v>
      </c>
      <c r="H623" s="20">
        <f>tbl_Monitoring[[#This Row],[Volume (MCM)]]/1233.4818375475*1000000</f>
        <v>252817.8648049495</v>
      </c>
      <c r="I623" s="40">
        <f>tbl_Monitoring[[#This Row],[Elevation (SRTM30-m)]]*3.280839895</f>
        <v>242.43786656200618</v>
      </c>
    </row>
    <row r="624" spans="2:9" ht="16" x14ac:dyDescent="0.2">
      <c r="B624" s="90">
        <v>620</v>
      </c>
      <c r="C624" s="91">
        <v>44494</v>
      </c>
      <c r="D624" s="92">
        <v>45.95</v>
      </c>
      <c r="E624" s="51" cm="1">
        <f t="array" ref="E6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311.07559180151026</v>
      </c>
      <c r="F624" s="49" cm="1">
        <f t="array" ref="F6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73.878580846218384</v>
      </c>
      <c r="G624" s="20">
        <f>tbl_Monitoring[[#This Row],[Area (km2)]]/4046.8564224*1000000</f>
        <v>11354.492278416248</v>
      </c>
      <c r="H624" s="20">
        <f>tbl_Monitoring[[#This Row],[Volume (MCM)]]/1233.4818375475*1000000</f>
        <v>252193.08653949364</v>
      </c>
      <c r="I624" s="40">
        <f>tbl_Monitoring[[#This Row],[Elevation (SRTM30-m)]]*3.280839895</f>
        <v>242.38379542625614</v>
      </c>
    </row>
    <row r="625" spans="2:9" ht="16" x14ac:dyDescent="0.2">
      <c r="B625" s="90">
        <v>621</v>
      </c>
      <c r="C625" s="91">
        <v>44495</v>
      </c>
      <c r="D625" s="92">
        <v>46.08</v>
      </c>
      <c r="E625" s="51" cm="1">
        <f t="array" ref="E6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311.98636310679615</v>
      </c>
      <c r="F625" s="49" cm="1">
        <f t="array" ref="F6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73.898058252427191</v>
      </c>
      <c r="G625" s="20">
        <f>tbl_Monitoring[[#This Row],[Area (km2)]]/4046.8564224*1000000</f>
        <v>11386.615978006979</v>
      </c>
      <c r="H625" s="20">
        <f>tbl_Monitoring[[#This Row],[Volume (MCM)]]/1233.4818375475*1000000</f>
        <v>252931.46085321417</v>
      </c>
      <c r="I625" s="40">
        <f>tbl_Monitoring[[#This Row],[Elevation (SRTM30-m)]]*3.280839895</f>
        <v>242.44769767759712</v>
      </c>
    </row>
    <row r="626" spans="2:9" ht="16" x14ac:dyDescent="0.2">
      <c r="B626" s="90">
        <v>622</v>
      </c>
      <c r="C626" s="91">
        <v>44500</v>
      </c>
      <c r="D626" s="92">
        <v>44.08</v>
      </c>
      <c r="E626" s="51" cm="1">
        <f t="array" ref="E6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297.9744968716289</v>
      </c>
      <c r="F626" s="49" cm="1">
        <f t="array" ref="F6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73.598405849214913</v>
      </c>
      <c r="G626" s="20">
        <f>tbl_Monitoring[[#This Row],[Area (km2)]]/4046.8564224*1000000</f>
        <v>10892.405215072647</v>
      </c>
      <c r="H626" s="20">
        <f>tbl_Monitoring[[#This Row],[Volume (MCM)]]/1233.4818375475*1000000</f>
        <v>241571.8560267445</v>
      </c>
      <c r="I626" s="40">
        <f>tbl_Monitoring[[#This Row],[Elevation (SRTM30-m)]]*3.280839895</f>
        <v>241.46458611850565</v>
      </c>
    </row>
    <row r="627" spans="2:9" ht="16" x14ac:dyDescent="0.2">
      <c r="B627" s="90">
        <v>623</v>
      </c>
      <c r="C627" s="91">
        <v>44502</v>
      </c>
      <c r="D627" s="92">
        <v>44.65</v>
      </c>
      <c r="E627" s="51" cm="1">
        <f t="array" ref="E6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301.96787874865157</v>
      </c>
      <c r="F627" s="49" cm="1">
        <f t="array" ref="F6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73.683806784130411</v>
      </c>
      <c r="G627" s="20">
        <f>tbl_Monitoring[[#This Row],[Area (km2)]]/4046.8564224*1000000</f>
        <v>11033.255282508931</v>
      </c>
      <c r="H627" s="20">
        <f>tbl_Monitoring[[#This Row],[Volume (MCM)]]/1233.4818375475*1000000</f>
        <v>244809.34340228836</v>
      </c>
      <c r="I627" s="40">
        <f>tbl_Monitoring[[#This Row],[Elevation (SRTM30-m)]]*3.280839895</f>
        <v>241.74477291284671</v>
      </c>
    </row>
    <row r="628" spans="2:9" ht="16" x14ac:dyDescent="0.2">
      <c r="B628" s="90">
        <v>624</v>
      </c>
      <c r="C628" s="91">
        <v>44505</v>
      </c>
      <c r="D628" s="92">
        <v>44.06</v>
      </c>
      <c r="E628" s="51" cm="1">
        <f t="array" ref="E6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297.83437820927725</v>
      </c>
      <c r="F628" s="49" cm="1">
        <f t="array" ref="F6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73.595409325182786</v>
      </c>
      <c r="G628" s="20">
        <f>tbl_Monitoring[[#This Row],[Area (km2)]]/4046.8564224*1000000</f>
        <v>10887.463107443304</v>
      </c>
      <c r="H628" s="20">
        <f>tbl_Monitoring[[#This Row],[Volume (MCM)]]/1233.4818375475*1000000</f>
        <v>241458.25997847979</v>
      </c>
      <c r="I628" s="40">
        <f>tbl_Monitoring[[#This Row],[Elevation (SRTM30-m)]]*3.280839895</f>
        <v>241.45475500291474</v>
      </c>
    </row>
    <row r="629" spans="2:9" ht="16" x14ac:dyDescent="0.2">
      <c r="B629" s="90">
        <v>625</v>
      </c>
      <c r="C629" s="91">
        <v>44510</v>
      </c>
      <c r="D629" s="92">
        <v>43.55</v>
      </c>
      <c r="E629" s="51" cm="1">
        <f t="array" ref="E6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294.26135231930959</v>
      </c>
      <c r="F629" s="49" cm="1">
        <f t="array" ref="F6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73.518997962363656</v>
      </c>
      <c r="G629" s="20">
        <f>tbl_Monitoring[[#This Row],[Area (km2)]]/4046.8564224*1000000</f>
        <v>10761.439362895051</v>
      </c>
      <c r="H629" s="20">
        <f>tbl_Monitoring[[#This Row],[Volume (MCM)]]/1233.4818375475*1000000</f>
        <v>238561.56074773005</v>
      </c>
      <c r="I629" s="40">
        <f>tbl_Monitoring[[#This Row],[Elevation (SRTM30-m)]]*3.280839895</f>
        <v>241.20406155534641</v>
      </c>
    </row>
    <row r="630" spans="2:9" ht="16" x14ac:dyDescent="0.2">
      <c r="B630" s="90">
        <v>626</v>
      </c>
      <c r="C630" s="91">
        <v>44515</v>
      </c>
      <c r="D630" s="92">
        <v>42.63</v>
      </c>
      <c r="E630" s="51" cm="1">
        <f t="array" ref="E6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287.81589385113273</v>
      </c>
      <c r="F630" s="49" cm="1">
        <f t="array" ref="F6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73.38115785688602</v>
      </c>
      <c r="G630" s="20">
        <f>tbl_Monitoring[[#This Row],[Area (km2)]]/4046.8564224*1000000</f>
        <v>10534.10241194526</v>
      </c>
      <c r="H630" s="20">
        <f>tbl_Monitoring[[#This Row],[Volume (MCM)]]/1233.4818375475*1000000</f>
        <v>233336.14252755404</v>
      </c>
      <c r="I630" s="40">
        <f>tbl_Monitoring[[#This Row],[Elevation (SRTM30-m)]]*3.280839895</f>
        <v>240.75183023816436</v>
      </c>
    </row>
    <row r="631" spans="2:9" ht="16" x14ac:dyDescent="0.2">
      <c r="B631" s="90">
        <v>627</v>
      </c>
      <c r="C631" s="91">
        <v>44518</v>
      </c>
      <c r="D631" s="92">
        <v>42.77</v>
      </c>
      <c r="E631" s="51" cm="1">
        <f t="array" ref="E6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288.79672448759442</v>
      </c>
      <c r="F631" s="49" cm="1">
        <f t="array" ref="F6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73.40213352511087</v>
      </c>
      <c r="G631" s="20">
        <f>tbl_Monitoring[[#This Row],[Area (km2)]]/4046.8564224*1000000</f>
        <v>10568.697165350663</v>
      </c>
      <c r="H631" s="20">
        <f>tbl_Monitoring[[#This Row],[Volume (MCM)]]/1233.4818375475*1000000</f>
        <v>234131.31486540692</v>
      </c>
      <c r="I631" s="40">
        <f>tbl_Monitoring[[#This Row],[Elevation (SRTM30-m)]]*3.280839895</f>
        <v>240.82064804730075</v>
      </c>
    </row>
    <row r="632" spans="2:9" ht="16" x14ac:dyDescent="0.2">
      <c r="B632" s="90">
        <v>628</v>
      </c>
      <c r="C632" s="91">
        <v>44520</v>
      </c>
      <c r="D632" s="92">
        <v>41.41</v>
      </c>
      <c r="E632" s="51" cm="1">
        <f t="array" ref="E6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279.26865544768066</v>
      </c>
      <c r="F632" s="49" cm="1">
        <f t="array" ref="F6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73.198369890926529</v>
      </c>
      <c r="G632" s="20">
        <f>tbl_Monitoring[[#This Row],[Area (km2)]]/4046.8564224*1000000</f>
        <v>10232.633846555314</v>
      </c>
      <c r="H632" s="20">
        <f>tbl_Monitoring[[#This Row],[Volume (MCM)]]/1233.4818375475*1000000</f>
        <v>226406.78358340752</v>
      </c>
      <c r="I632" s="40">
        <f>tbl_Monitoring[[#This Row],[Elevation (SRTM30-m)]]*3.280839895</f>
        <v>240.15213218711855</v>
      </c>
    </row>
    <row r="633" spans="2:9" ht="16" x14ac:dyDescent="0.2">
      <c r="B633" s="90">
        <v>629</v>
      </c>
      <c r="C633" s="91">
        <v>44525</v>
      </c>
      <c r="D633" s="92">
        <v>41.27</v>
      </c>
      <c r="E633" s="51" cm="1">
        <f t="array" ref="E6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278.28782481121902</v>
      </c>
      <c r="F633" s="49" cm="1">
        <f t="array" ref="F6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73.177394222701665</v>
      </c>
      <c r="G633" s="20">
        <f>tbl_Monitoring[[#This Row],[Area (km2)]]/4046.8564224*1000000</f>
        <v>10198.039093149913</v>
      </c>
      <c r="H633" s="20">
        <f>tbl_Monitoring[[#This Row],[Volume (MCM)]]/1233.4818375475*1000000</f>
        <v>225611.6112455547</v>
      </c>
      <c r="I633" s="40">
        <f>tbl_Monitoring[[#This Row],[Elevation (SRTM30-m)]]*3.280839895</f>
        <v>240.08331437798216</v>
      </c>
    </row>
    <row r="634" spans="2:9" ht="16" x14ac:dyDescent="0.2">
      <c r="B634" s="90">
        <v>630</v>
      </c>
      <c r="C634" s="91">
        <v>44526</v>
      </c>
      <c r="D634" s="92">
        <v>41.02</v>
      </c>
      <c r="E634" s="51" cm="1">
        <f t="array" ref="E6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276.5363415318231</v>
      </c>
      <c r="F634" s="49" cm="1">
        <f t="array" ref="F6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73.139937672300135</v>
      </c>
      <c r="G634" s="20">
        <f>tbl_Monitoring[[#This Row],[Area (km2)]]/4046.8564224*1000000</f>
        <v>10136.262747783121</v>
      </c>
      <c r="H634" s="20">
        <f>tbl_Monitoring[[#This Row],[Volume (MCM)]]/1233.4818375475*1000000</f>
        <v>224191.66064224599</v>
      </c>
      <c r="I634" s="40">
        <f>tbl_Monitoring[[#This Row],[Elevation (SRTM30-m)]]*3.280839895</f>
        <v>239.96042543309574</v>
      </c>
    </row>
    <row r="635" spans="2:9" ht="16" x14ac:dyDescent="0.2">
      <c r="B635" s="90">
        <v>631</v>
      </c>
      <c r="C635" s="91">
        <v>44530</v>
      </c>
      <c r="D635" s="92">
        <v>40.9</v>
      </c>
      <c r="E635" s="51" cm="1">
        <f t="array" ref="E6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275.69562955771306</v>
      </c>
      <c r="F635" s="49" cm="1">
        <f t="array" ref="F6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73.121958528107399</v>
      </c>
      <c r="G635" s="20">
        <f>tbl_Monitoring[[#This Row],[Area (km2)]]/4046.8564224*1000000</f>
        <v>10106.610102007062</v>
      </c>
      <c r="H635" s="20">
        <f>tbl_Monitoring[[#This Row],[Volume (MCM)]]/1233.4818375475*1000000</f>
        <v>223510.08435265781</v>
      </c>
      <c r="I635" s="40">
        <f>tbl_Monitoring[[#This Row],[Elevation (SRTM30-m)]]*3.280839895</f>
        <v>239.90143873955026</v>
      </c>
    </row>
    <row r="636" spans="2:9" ht="16" x14ac:dyDescent="0.2">
      <c r="B636" s="90">
        <v>632</v>
      </c>
      <c r="C636" s="91">
        <v>44534</v>
      </c>
      <c r="D636" s="92">
        <v>42.4</v>
      </c>
      <c r="E636" s="51" cm="1">
        <f t="array" ref="E6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286.20452923408845</v>
      </c>
      <c r="F636" s="49" cm="1">
        <f t="array" ref="F6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73.346697830516604</v>
      </c>
      <c r="G636" s="20">
        <f>tbl_Monitoring[[#This Row],[Area (km2)]]/4046.8564224*1000000</f>
        <v>10477.268174207809</v>
      </c>
      <c r="H636" s="20">
        <f>tbl_Monitoring[[#This Row],[Volume (MCM)]]/1233.4818375475*1000000</f>
        <v>232029.78797251001</v>
      </c>
      <c r="I636" s="40">
        <f>tbl_Monitoring[[#This Row],[Elevation (SRTM30-m)]]*3.280839895</f>
        <v>240.63877240886885</v>
      </c>
    </row>
    <row r="637" spans="2:9" ht="16" x14ac:dyDescent="0.2">
      <c r="B637" s="90">
        <v>633</v>
      </c>
      <c r="C637" s="91">
        <v>44535</v>
      </c>
      <c r="D637" s="92">
        <v>40.33</v>
      </c>
      <c r="E637" s="51" cm="1">
        <f t="array" ref="E6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271.70224768069039</v>
      </c>
      <c r="F637" s="49" cm="1">
        <f t="array" ref="F6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73.036557593191901</v>
      </c>
      <c r="G637" s="20">
        <f>tbl_Monitoring[[#This Row],[Area (km2)]]/4046.8564224*1000000</f>
        <v>9965.7600345707779</v>
      </c>
      <c r="H637" s="20">
        <f>tbl_Monitoring[[#This Row],[Volume (MCM)]]/1233.4818375475*1000000</f>
        <v>220272.59697711395</v>
      </c>
      <c r="I637" s="40">
        <f>tbl_Monitoring[[#This Row],[Elevation (SRTM30-m)]]*3.280839895</f>
        <v>239.6212519452092</v>
      </c>
    </row>
    <row r="638" spans="2:9" ht="16" x14ac:dyDescent="0.2">
      <c r="B638" s="90">
        <v>634</v>
      </c>
      <c r="C638" s="91">
        <v>44540</v>
      </c>
      <c r="D638" s="92">
        <v>40.270000000000003</v>
      </c>
      <c r="E638" s="51" cm="1">
        <f t="array" ref="E6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271.28189169363543</v>
      </c>
      <c r="F638" s="49" cm="1">
        <f t="array" ref="F6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73.027568021095533</v>
      </c>
      <c r="G638" s="20">
        <f>tbl_Monitoring[[#This Row],[Area (km2)]]/4046.8564224*1000000</f>
        <v>9950.9337116827501</v>
      </c>
      <c r="H638" s="20">
        <f>tbl_Monitoring[[#This Row],[Volume (MCM)]]/1233.4818375475*1000000</f>
        <v>219931.80883231992</v>
      </c>
      <c r="I638" s="40">
        <f>tbl_Monitoring[[#This Row],[Elevation (SRTM30-m)]]*3.280839895</f>
        <v>239.59175859843643</v>
      </c>
    </row>
    <row r="639" spans="2:9" ht="16" x14ac:dyDescent="0.2">
      <c r="B639" s="90">
        <v>635</v>
      </c>
      <c r="C639" s="91">
        <v>44542</v>
      </c>
      <c r="D639" s="92">
        <v>39.81</v>
      </c>
      <c r="E639" s="51" cm="1">
        <f t="array" ref="E6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267.99879513381995</v>
      </c>
      <c r="F639" s="49" cm="1">
        <f t="array" ref="F6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72.950256826169237</v>
      </c>
      <c r="G639" s="20">
        <f>tbl_Monitoring[[#This Row],[Area (km2)]]/4046.8564224*1000000</f>
        <v>9837.2652362078534</v>
      </c>
      <c r="H639" s="20">
        <f>tbl_Monitoring[[#This Row],[Volume (MCM)]]/1233.4818375475*1000000</f>
        <v>217270.15913479117</v>
      </c>
      <c r="I639" s="40">
        <f>tbl_Monitoring[[#This Row],[Elevation (SRTM30-m)]]*3.280839895</f>
        <v>239.33811294579212</v>
      </c>
    </row>
    <row r="640" spans="2:9" ht="16" x14ac:dyDescent="0.2">
      <c r="B640" s="90">
        <v>636</v>
      </c>
      <c r="C640" s="91">
        <v>44550</v>
      </c>
      <c r="D640" s="92">
        <v>38.58</v>
      </c>
      <c r="E640" s="51" cm="1">
        <f t="array" ref="E6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259.11246909975665</v>
      </c>
      <c r="F640" s="49" cm="1">
        <f t="array" ref="F6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72.728575290619091</v>
      </c>
      <c r="G640" s="20">
        <f>tbl_Monitoring[[#This Row],[Area (km2)]]/4046.8564224*1000000</f>
        <v>9533.3256170032382</v>
      </c>
      <c r="H640" s="20">
        <f>tbl_Monitoring[[#This Row],[Volume (MCM)]]/1233.4818375475*1000000</f>
        <v>210065.89737465716</v>
      </c>
      <c r="I640" s="40">
        <f>tbl_Monitoring[[#This Row],[Elevation (SRTM30-m)]]*3.280839895</f>
        <v>238.61081131997435</v>
      </c>
    </row>
    <row r="641" spans="2:9" ht="16" x14ac:dyDescent="0.2">
      <c r="B641" s="90">
        <v>637</v>
      </c>
      <c r="C641" s="91">
        <v>44555</v>
      </c>
      <c r="D641" s="92">
        <v>43.09</v>
      </c>
      <c r="E641" s="51" cm="1">
        <f t="array" ref="E6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291.03862308522116</v>
      </c>
      <c r="F641" s="49" cm="1">
        <f t="array" ref="F6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73.450077909624838</v>
      </c>
      <c r="G641" s="20">
        <f>tbl_Monitoring[[#This Row],[Area (km2)]]/4046.8564224*1000000</f>
        <v>10647.770887420156</v>
      </c>
      <c r="H641" s="20">
        <f>tbl_Monitoring[[#This Row],[Volume (MCM)]]/1233.4818375475*1000000</f>
        <v>235948.85163764207</v>
      </c>
      <c r="I641" s="40">
        <f>tbl_Monitoring[[#This Row],[Elevation (SRTM30-m)]]*3.280839895</f>
        <v>240.97794589675539</v>
      </c>
    </row>
    <row r="642" spans="2:9" ht="16" x14ac:dyDescent="0.2">
      <c r="B642" s="90">
        <v>638</v>
      </c>
      <c r="C642" s="91">
        <v>44558</v>
      </c>
      <c r="D642" s="92">
        <v>39.47</v>
      </c>
      <c r="E642" s="51" cm="1">
        <f t="array" ref="E6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265.54241232765611</v>
      </c>
      <c r="F642" s="49" cm="1">
        <f t="array" ref="F6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72.888979003334228</v>
      </c>
      <c r="G642" s="20">
        <f>tbl_Monitoring[[#This Row],[Area (km2)]]/4046.8564224*1000000</f>
        <v>9753.2494065090159</v>
      </c>
      <c r="H642" s="20">
        <f>tbl_Monitoring[[#This Row],[Volume (MCM)]]/1233.4818375475*1000000</f>
        <v>215278.73718483542</v>
      </c>
      <c r="I642" s="40">
        <f>tbl_Monitoring[[#This Row],[Elevation (SRTM30-m)]]*3.280839895</f>
        <v>239.13707021995629</v>
      </c>
    </row>
    <row r="643" spans="2:9" ht="16" x14ac:dyDescent="0.2">
      <c r="B643" s="90">
        <v>639</v>
      </c>
      <c r="C643" s="91">
        <v>44570</v>
      </c>
      <c r="D643" s="92">
        <v>54.35</v>
      </c>
      <c r="E643" s="51" cm="1">
        <f t="array" ref="E6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369.96645586023374</v>
      </c>
      <c r="F643" s="49" cm="1">
        <f t="array" ref="F6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74.975690025325562</v>
      </c>
      <c r="G643" s="20">
        <f>tbl_Monitoring[[#This Row],[Area (km2)]]/4046.8564224*1000000</f>
        <v>13430.177482740435</v>
      </c>
      <c r="H643" s="20">
        <f>tbl_Monitoring[[#This Row],[Volume (MCM)]]/1233.4818375475*1000000</f>
        <v>299936.68702558969</v>
      </c>
      <c r="I643" s="40">
        <f>tbl_Monitoring[[#This Row],[Elevation (SRTM30-m)]]*3.280839895</f>
        <v>245.98323499024167</v>
      </c>
    </row>
    <row r="644" spans="2:9" ht="16" x14ac:dyDescent="0.2">
      <c r="B644" s="90">
        <v>640</v>
      </c>
      <c r="C644" s="91">
        <v>44575</v>
      </c>
      <c r="D644" s="92">
        <v>54.07</v>
      </c>
      <c r="E644" s="51" cm="1">
        <f t="array" ref="E6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368.00328103667709</v>
      </c>
      <c r="F644" s="49" cm="1">
        <f t="array" ref="F6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74.939694293390929</v>
      </c>
      <c r="G644" s="20">
        <f>tbl_Monitoring[[#This Row],[Area (km2)]]/4046.8564224*1000000</f>
        <v>13360.987975929631</v>
      </c>
      <c r="H644" s="20">
        <f>tbl_Monitoring[[#This Row],[Volume (MCM)]]/1233.4818375475*1000000</f>
        <v>298345.11529441609</v>
      </c>
      <c r="I644" s="40">
        <f>tbl_Monitoring[[#This Row],[Elevation (SRTM30-m)]]*3.280839895</f>
        <v>245.8651387568608</v>
      </c>
    </row>
    <row r="645" spans="2:9" ht="16" x14ac:dyDescent="0.2">
      <c r="B645" s="90">
        <v>641</v>
      </c>
      <c r="C645" s="91">
        <v>44585</v>
      </c>
      <c r="D645" s="92">
        <v>52.93</v>
      </c>
      <c r="E645" s="51" cm="1">
        <f t="array" ref="E6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360.01035496933935</v>
      </c>
      <c r="F645" s="49" cm="1">
        <f t="array" ref="F6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74.793140241942737</v>
      </c>
      <c r="G645" s="20">
        <f>tbl_Monitoring[[#This Row],[Area (km2)]]/4046.8564224*1000000</f>
        <v>13079.287841057061</v>
      </c>
      <c r="H645" s="20">
        <f>tbl_Monitoring[[#This Row],[Volume (MCM)]]/1233.4818375475*1000000</f>
        <v>291865.144674638</v>
      </c>
      <c r="I645" s="40">
        <f>tbl_Monitoring[[#This Row],[Elevation (SRTM30-m)]]*3.280839895</f>
        <v>245.38431837809568</v>
      </c>
    </row>
    <row r="646" spans="2:9" ht="16" x14ac:dyDescent="0.2">
      <c r="B646" s="90">
        <v>642</v>
      </c>
      <c r="C646" s="91">
        <v>44620</v>
      </c>
      <c r="D646" s="92">
        <v>52.3</v>
      </c>
      <c r="E646" s="51" cm="1">
        <f t="array" ref="E6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355.59321161633693</v>
      </c>
      <c r="F646" s="49" cm="1">
        <f t="array" ref="F6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74.712149845089797</v>
      </c>
      <c r="G646" s="20">
        <f>tbl_Monitoring[[#This Row],[Area (km2)]]/4046.8564224*1000000</f>
        <v>12923.611450732746</v>
      </c>
      <c r="H646" s="20">
        <f>tbl_Monitoring[[#This Row],[Volume (MCM)]]/1233.4818375475*1000000</f>
        <v>288284.10827949742</v>
      </c>
      <c r="I646" s="40">
        <f>tbl_Monitoring[[#This Row],[Elevation (SRTM30-m)]]*3.280839895</f>
        <v>245.11860185298869</v>
      </c>
    </row>
    <row r="647" spans="2:9" ht="16" x14ac:dyDescent="0.2">
      <c r="B647" s="90">
        <v>643</v>
      </c>
      <c r="C647" s="91">
        <v>44630</v>
      </c>
      <c r="D647" s="92">
        <v>51.6</v>
      </c>
      <c r="E647" s="51" cm="1">
        <f t="array" ref="E6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350.68527455744538</v>
      </c>
      <c r="F647" s="49" cm="1">
        <f t="array" ref="F6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74.622160515253185</v>
      </c>
      <c r="G647" s="20">
        <f>tbl_Monitoring[[#This Row],[Area (km2)]]/4046.8564224*1000000</f>
        <v>12750.637683705731</v>
      </c>
      <c r="H647" s="20">
        <f>tbl_Monitoring[[#This Row],[Volume (MCM)]]/1233.4818375475*1000000</f>
        <v>284305.17895156355</v>
      </c>
      <c r="I647" s="40">
        <f>tbl_Monitoring[[#This Row],[Elevation (SRTM30-m)]]*3.280839895</f>
        <v>244.82336126953641</v>
      </c>
    </row>
    <row r="648" spans="2:9" ht="16" x14ac:dyDescent="0.2">
      <c r="B648" s="90">
        <v>644</v>
      </c>
      <c r="C648" s="91">
        <v>44635</v>
      </c>
      <c r="D648" s="92">
        <v>50.32</v>
      </c>
      <c r="E648" s="51" cm="1">
        <f t="array" ref="E6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341.71076107832931</v>
      </c>
      <c r="F648" s="49" cm="1">
        <f t="array" ref="F6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74.457608597837691</v>
      </c>
      <c r="G648" s="20">
        <f>tbl_Monitoring[[#This Row],[Area (km2)]]/4046.8564224*1000000</f>
        <v>12434.342795427759</v>
      </c>
      <c r="H648" s="20">
        <f>tbl_Monitoring[[#This Row],[Volume (MCM)]]/1233.4818375475*1000000</f>
        <v>277029.42246619862</v>
      </c>
      <c r="I648" s="40">
        <f>tbl_Monitoring[[#This Row],[Elevation (SRTM30-m)]]*3.280839895</f>
        <v>244.28349277408091</v>
      </c>
    </row>
    <row r="649" spans="2:9" ht="16" x14ac:dyDescent="0.2">
      <c r="B649" s="90">
        <v>645</v>
      </c>
      <c r="C649" s="91">
        <v>44655</v>
      </c>
      <c r="D649" s="92">
        <v>45.77</v>
      </c>
      <c r="E649" s="51" cm="1">
        <f t="array" ref="E6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309.81452384034526</v>
      </c>
      <c r="F649" s="49" cm="1">
        <f t="array" ref="F6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73.851612129929279</v>
      </c>
      <c r="G649" s="20">
        <f>tbl_Monitoring[[#This Row],[Area (km2)]]/4046.8564224*1000000</f>
        <v>11310.013309752159</v>
      </c>
      <c r="H649" s="20">
        <f>tbl_Monitoring[[#This Row],[Volume (MCM)]]/1233.4818375475*1000000</f>
        <v>251170.72210511137</v>
      </c>
      <c r="I649" s="40">
        <f>tbl_Monitoring[[#This Row],[Elevation (SRTM30-m)]]*3.280839895</f>
        <v>242.29531538593793</v>
      </c>
    </row>
    <row r="650" spans="2:9" ht="16" x14ac:dyDescent="0.2">
      <c r="B650" s="90">
        <v>646</v>
      </c>
      <c r="C650" s="91">
        <v>44660</v>
      </c>
      <c r="D650" s="92">
        <v>44.95</v>
      </c>
      <c r="E650" s="51" cm="1">
        <f t="array" ref="E6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304.06965868392666</v>
      </c>
      <c r="F650" s="49" cm="1">
        <f t="array" ref="F6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73.728754644612252</v>
      </c>
      <c r="G650" s="20">
        <f>tbl_Monitoring[[#This Row],[Area (km2)]]/4046.8564224*1000000</f>
        <v>11107.386896949083</v>
      </c>
      <c r="H650" s="20">
        <f>tbl_Monitoring[[#This Row],[Volume (MCM)]]/1233.4818375475*1000000</f>
        <v>246513.2841262588</v>
      </c>
      <c r="I650" s="40">
        <f>tbl_Monitoring[[#This Row],[Elevation (SRTM30-m)]]*3.280839895</f>
        <v>241.89223964671044</v>
      </c>
    </row>
    <row r="651" spans="2:9" ht="16" x14ac:dyDescent="0.2">
      <c r="B651" s="90">
        <v>647</v>
      </c>
      <c r="C651" s="91">
        <v>44665</v>
      </c>
      <c r="D651" s="92">
        <v>43.79</v>
      </c>
      <c r="E651" s="51" cm="1">
        <f t="array" ref="E6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295.94277626752967</v>
      </c>
      <c r="F651" s="49" cm="1">
        <f t="array" ref="F6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73.554956250749129</v>
      </c>
      <c r="G651" s="20">
        <f>tbl_Monitoring[[#This Row],[Area (km2)]]/4046.8564224*1000000</f>
        <v>10820.74465444717</v>
      </c>
      <c r="H651" s="20">
        <f>tbl_Monitoring[[#This Row],[Volume (MCM)]]/1233.4818375475*1000000</f>
        <v>239924.71332690641</v>
      </c>
      <c r="I651" s="40">
        <f>tbl_Monitoring[[#This Row],[Elevation (SRTM30-m)]]*3.280839895</f>
        <v>241.32203494243737</v>
      </c>
    </row>
    <row r="652" spans="2:9" ht="16" x14ac:dyDescent="0.2">
      <c r="B652" s="90">
        <v>648</v>
      </c>
      <c r="C652" s="91">
        <v>44670</v>
      </c>
      <c r="D652" s="92">
        <v>43.5</v>
      </c>
      <c r="E652" s="51" cm="1">
        <f t="array" ref="E6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293.91105566343043</v>
      </c>
      <c r="F652" s="49" cm="1">
        <f t="array" ref="F6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73.511506652283359</v>
      </c>
      <c r="G652" s="20">
        <f>tbl_Monitoring[[#This Row],[Area (km2)]]/4046.8564224*1000000</f>
        <v>10749.084093821693</v>
      </c>
      <c r="H652" s="20">
        <f>tbl_Monitoring[[#This Row],[Volume (MCM)]]/1233.4818375475*1000000</f>
        <v>238277.57062706834</v>
      </c>
      <c r="I652" s="40">
        <f>tbl_Monitoring[[#This Row],[Elevation (SRTM30-m)]]*3.280839895</f>
        <v>241.17948376636915</v>
      </c>
    </row>
    <row r="653" spans="2:9" ht="16" x14ac:dyDescent="0.2">
      <c r="B653" s="90">
        <v>649</v>
      </c>
      <c r="C653" s="91">
        <v>44675</v>
      </c>
      <c r="D653" s="92">
        <v>42.54</v>
      </c>
      <c r="E653" s="51" cm="1">
        <f t="array" ref="E6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287.18535987055014</v>
      </c>
      <c r="F653" s="49" cm="1">
        <f t="array" ref="F6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73.367673498741453</v>
      </c>
      <c r="G653" s="20">
        <f>tbl_Monitoring[[#This Row],[Area (km2)]]/4046.8564224*1000000</f>
        <v>10511.862927613212</v>
      </c>
      <c r="H653" s="20">
        <f>tbl_Monitoring[[#This Row],[Volume (MCM)]]/1233.4818375475*1000000</f>
        <v>232824.96031036286</v>
      </c>
      <c r="I653" s="40">
        <f>tbl_Monitoring[[#This Row],[Elevation (SRTM30-m)]]*3.280839895</f>
        <v>240.70759021800521</v>
      </c>
    </row>
    <row r="654" spans="2:9" ht="16" x14ac:dyDescent="0.2">
      <c r="B654" s="90">
        <v>650</v>
      </c>
      <c r="C654" s="91">
        <v>44680</v>
      </c>
      <c r="D654" s="92">
        <v>40.950000000000003</v>
      </c>
      <c r="E654" s="51" cm="1">
        <f t="array" ref="E6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276.04592621359222</v>
      </c>
      <c r="F654" s="49" cm="1">
        <f t="array" ref="F6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73.129449838187696</v>
      </c>
      <c r="G654" s="20">
        <f>tbl_Monitoring[[#This Row],[Area (km2)]]/4046.8564224*1000000</f>
        <v>10118.96537108042</v>
      </c>
      <c r="H654" s="20">
        <f>tbl_Monitoring[[#This Row],[Volume (MCM)]]/1233.4818375475*1000000</f>
        <v>223794.07447331955</v>
      </c>
      <c r="I654" s="40">
        <f>tbl_Monitoring[[#This Row],[Elevation (SRTM30-m)]]*3.280839895</f>
        <v>239.9260165285275</v>
      </c>
    </row>
    <row r="655" spans="2:9" ht="16" x14ac:dyDescent="0.2">
      <c r="B655" s="90">
        <v>651</v>
      </c>
      <c r="C655" s="91">
        <v>44685</v>
      </c>
      <c r="D655" s="92">
        <v>41.68</v>
      </c>
      <c r="E655" s="51" cm="1">
        <f t="array" ref="E6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281.16025738942824</v>
      </c>
      <c r="F655" s="49" cm="1">
        <f t="array" ref="F6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73.238822965360185</v>
      </c>
      <c r="G655" s="20">
        <f>tbl_Monitoring[[#This Row],[Area (km2)]]/4046.8564224*1000000</f>
        <v>10299.35229955145</v>
      </c>
      <c r="H655" s="20">
        <f>tbl_Monitoring[[#This Row],[Volume (MCM)]]/1233.4818375475*1000000</f>
        <v>227940.33023498091</v>
      </c>
      <c r="I655" s="40">
        <f>tbl_Monitoring[[#This Row],[Elevation (SRTM30-m)]]*3.280839895</f>
        <v>240.28485224759592</v>
      </c>
    </row>
    <row r="656" spans="2:9" ht="16" x14ac:dyDescent="0.2">
      <c r="B656" s="90">
        <v>652</v>
      </c>
      <c r="C656" s="91">
        <v>44690</v>
      </c>
      <c r="D656" s="92">
        <v>40</v>
      </c>
      <c r="E656" s="51" cm="1">
        <f t="array" ref="E6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269.37147964314681</v>
      </c>
      <c r="F656" s="49" cm="1">
        <f t="array" ref="F6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72.984500315400552</v>
      </c>
      <c r="G656" s="20">
        <f>tbl_Monitoring[[#This Row],[Area (km2)]]/4046.8564224*1000000</f>
        <v>9884.2152586866141</v>
      </c>
      <c r="H656" s="20">
        <f>tbl_Monitoring[[#This Row],[Volume (MCM)]]/1233.4818375475*1000000</f>
        <v>218383.01257741352</v>
      </c>
      <c r="I656" s="40">
        <f>tbl_Monitoring[[#This Row],[Elevation (SRTM30-m)]]*3.280839895</f>
        <v>239.45046035140624</v>
      </c>
    </row>
    <row r="657" spans="2:9" ht="16" x14ac:dyDescent="0.2">
      <c r="B657" s="90">
        <v>653</v>
      </c>
      <c r="C657" s="91">
        <v>44695</v>
      </c>
      <c r="D657" s="92">
        <v>38.53</v>
      </c>
      <c r="E657" s="51" cm="1">
        <f t="array" ref="E6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258.75123633414438</v>
      </c>
      <c r="F657" s="49" cm="1">
        <f t="array" ref="F6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72.719563846084526</v>
      </c>
      <c r="G657" s="20">
        <f>tbl_Monitoring[[#This Row],[Area (km2)]]/4046.8564224*1000000</f>
        <v>9520.9703479298805</v>
      </c>
      <c r="H657" s="20">
        <f>tbl_Monitoring[[#This Row],[Volume (MCM)]]/1233.4818375475*1000000</f>
        <v>209773.04120554606</v>
      </c>
      <c r="I657" s="40">
        <f>tbl_Monitoring[[#This Row],[Elevation (SRTM30-m)]]*3.280839895</f>
        <v>238.58124621323375</v>
      </c>
    </row>
    <row r="658" spans="2:9" ht="16" x14ac:dyDescent="0.2">
      <c r="B658" s="90">
        <v>654</v>
      </c>
      <c r="C658" s="91">
        <v>44700</v>
      </c>
      <c r="D658" s="92">
        <v>38.47</v>
      </c>
      <c r="E658" s="51" cm="1">
        <f t="array" ref="E6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258.31775701540954</v>
      </c>
      <c r="F658" s="49" cm="1">
        <f t="array" ref="F6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72.70875011264306</v>
      </c>
      <c r="G658" s="20">
        <f>tbl_Monitoring[[#This Row],[Area (km2)]]/4046.8564224*1000000</f>
        <v>9506.1440250418491</v>
      </c>
      <c r="H658" s="20">
        <f>tbl_Monitoring[[#This Row],[Volume (MCM)]]/1233.4818375475*1000000</f>
        <v>209421.61380261264</v>
      </c>
      <c r="I658" s="40">
        <f>tbl_Monitoring[[#This Row],[Elevation (SRTM30-m)]]*3.280839895</f>
        <v>238.54576808514511</v>
      </c>
    </row>
    <row r="659" spans="2:9" ht="16" x14ac:dyDescent="0.2">
      <c r="B659" s="90">
        <v>655</v>
      </c>
      <c r="C659" s="91">
        <v>44705</v>
      </c>
      <c r="D659" s="92">
        <v>38.619999999999997</v>
      </c>
      <c r="E659" s="51" cm="1">
        <f t="array" ref="E6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259.40145531224653</v>
      </c>
      <c r="F659" s="49" cm="1">
        <f t="array" ref="F6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72.73578444624674</v>
      </c>
      <c r="G659" s="20">
        <f>tbl_Monitoring[[#This Row],[Area (km2)]]/4046.8564224*1000000</f>
        <v>9543.209832261924</v>
      </c>
      <c r="H659" s="20">
        <f>tbl_Monitoring[[#This Row],[Volume (MCM)]]/1233.4818375475*1000000</f>
        <v>210300.18230994607</v>
      </c>
      <c r="I659" s="40">
        <f>tbl_Monitoring[[#This Row],[Elevation (SRTM30-m)]]*3.280839895</f>
        <v>238.6344634053668</v>
      </c>
    </row>
    <row r="660" spans="2:9" ht="16" x14ac:dyDescent="0.2">
      <c r="B660" s="90">
        <v>656</v>
      </c>
      <c r="C660" s="91">
        <v>44710</v>
      </c>
      <c r="D660" s="92">
        <v>37.25</v>
      </c>
      <c r="E660" s="51" cm="1">
        <f t="array" ref="E6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249.50367753446878</v>
      </c>
      <c r="F660" s="49" cm="1">
        <f t="array" ref="F6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72.488870865999814</v>
      </c>
      <c r="G660" s="20">
        <f>tbl_Monitoring[[#This Row],[Area (km2)]]/4046.8564224*1000000</f>
        <v>9204.6754596519095</v>
      </c>
      <c r="H660" s="20">
        <f>tbl_Monitoring[[#This Row],[Volume (MCM)]]/1233.4818375475*1000000</f>
        <v>202275.92327630092</v>
      </c>
      <c r="I660" s="40">
        <f>tbl_Monitoring[[#This Row],[Elevation (SRTM30-m)]]*3.280839895</f>
        <v>237.82437948067539</v>
      </c>
    </row>
    <row r="661" spans="2:9" ht="16" x14ac:dyDescent="0.2">
      <c r="B661" s="90">
        <v>657</v>
      </c>
      <c r="C661" s="91">
        <v>44715</v>
      </c>
      <c r="D661" s="92">
        <v>35.659999999999997</v>
      </c>
      <c r="E661" s="51" cm="1">
        <f t="array" ref="E6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238.01647558799672</v>
      </c>
      <c r="F661" s="49" cm="1">
        <f t="array" ref="F6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72.202306929800841</v>
      </c>
      <c r="G661" s="20">
        <f>tbl_Monitoring[[#This Row],[Area (km2)]]/4046.8564224*1000000</f>
        <v>8811.7779031191149</v>
      </c>
      <c r="H661" s="20">
        <f>tbl_Monitoring[[#This Row],[Volume (MCM)]]/1233.4818375475*1000000</f>
        <v>192963.09709856671</v>
      </c>
      <c r="I661" s="40">
        <f>tbl_Monitoring[[#This Row],[Elevation (SRTM30-m)]]*3.280839895</f>
        <v>236.88420908632557</v>
      </c>
    </row>
    <row r="662" spans="2:9" ht="16" x14ac:dyDescent="0.2">
      <c r="B662" s="90">
        <v>658</v>
      </c>
      <c r="C662" s="91">
        <v>44720</v>
      </c>
      <c r="D662" s="92">
        <v>35.56</v>
      </c>
      <c r="E662" s="51" cm="1">
        <f t="array" ref="E6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237.29401005677212</v>
      </c>
      <c r="F662" s="49" cm="1">
        <f t="array" ref="F6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72.184284040731725</v>
      </c>
      <c r="G662" s="20">
        <f>tbl_Monitoring[[#This Row],[Area (km2)]]/4046.8564224*1000000</f>
        <v>8787.0673649724013</v>
      </c>
      <c r="H662" s="20">
        <f>tbl_Monitoring[[#This Row],[Volume (MCM)]]/1233.4818375475*1000000</f>
        <v>192377.38476034449</v>
      </c>
      <c r="I662" s="40">
        <f>tbl_Monitoring[[#This Row],[Elevation (SRTM30-m)]]*3.280839895</f>
        <v>236.82507887284447</v>
      </c>
    </row>
    <row r="663" spans="2:9" ht="16" x14ac:dyDescent="0.2">
      <c r="B663" s="90">
        <v>659</v>
      </c>
      <c r="C663" s="91">
        <v>44725</v>
      </c>
      <c r="D663" s="92">
        <v>35.82</v>
      </c>
      <c r="E663" s="51" cm="1">
        <f t="array" ref="E6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239.17242043795619</v>
      </c>
      <c r="F663" s="49" cm="1">
        <f t="array" ref="F6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72.231143552311437</v>
      </c>
      <c r="G663" s="20">
        <f>tbl_Monitoring[[#This Row],[Area (km2)]]/4046.8564224*1000000</f>
        <v>8851.3147641538617</v>
      </c>
      <c r="H663" s="20">
        <f>tbl_Monitoring[[#This Row],[Volume (MCM)]]/1233.4818375475*1000000</f>
        <v>193900.23683972238</v>
      </c>
      <c r="I663" s="40">
        <f>tbl_Monitoring[[#This Row],[Elevation (SRTM30-m)]]*3.280839895</f>
        <v>236.97881742789539</v>
      </c>
    </row>
    <row r="664" spans="2:9" ht="16" x14ac:dyDescent="0.2">
      <c r="B664" s="90">
        <v>660</v>
      </c>
      <c r="C664" s="91">
        <v>44730</v>
      </c>
      <c r="D664" s="92">
        <v>34.44</v>
      </c>
      <c r="E664" s="51" cm="1">
        <f t="array" ref="E6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229.19507040136958</v>
      </c>
      <c r="F664" s="49" cm="1">
        <f t="array" ref="F6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71.979392555957133</v>
      </c>
      <c r="G664" s="20">
        <f>tbl_Monitoring[[#This Row],[Area (km2)]]/4046.8564224*1000000</f>
        <v>8510.3093377291734</v>
      </c>
      <c r="H664" s="20">
        <f>tbl_Monitoring[[#This Row],[Volume (MCM)]]/1233.4818375475*1000000</f>
        <v>185811.46752600119</v>
      </c>
      <c r="I664" s="40">
        <f>tbl_Monitoring[[#This Row],[Elevation (SRTM30-m)]]*3.280839895</f>
        <v>236.1528627154502</v>
      </c>
    </row>
    <row r="665" spans="2:9" ht="16" x14ac:dyDescent="0.2">
      <c r="B665" s="90">
        <v>661</v>
      </c>
      <c r="C665" s="91">
        <v>44735</v>
      </c>
      <c r="D665" s="92">
        <v>33.22</v>
      </c>
      <c r="E665" s="51" cm="1">
        <f t="array" ref="E6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220.28932568004564</v>
      </c>
      <c r="F665" s="49" cm="1">
        <f t="array" ref="F6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71.721535307420794</v>
      </c>
      <c r="G665" s="20">
        <f>tbl_Monitoring[[#This Row],[Area (km2)]]/4046.8564224*1000000</f>
        <v>8208.840772339232</v>
      </c>
      <c r="H665" s="20">
        <f>tbl_Monitoring[[#This Row],[Volume (MCM)]]/1233.4818375475*1000000</f>
        <v>178591.46277989889</v>
      </c>
      <c r="I665" s="40">
        <f>tbl_Monitoring[[#This Row],[Elevation (SRTM30-m)]]*3.280839895</f>
        <v>235.30687436723724</v>
      </c>
    </row>
    <row r="666" spans="2:9" ht="16" x14ac:dyDescent="0.2">
      <c r="B666" s="90">
        <v>662</v>
      </c>
      <c r="C666" s="91">
        <v>44740</v>
      </c>
      <c r="D666" s="92">
        <v>32.659999999999997</v>
      </c>
      <c r="E666" s="51" cm="1">
        <f t="array" ref="E6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216.20144285714284</v>
      </c>
      <c r="F666" s="49" cm="1">
        <f t="array" ref="F6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71.603174603174608</v>
      </c>
      <c r="G666" s="20">
        <f>tbl_Monitoring[[#This Row],[Area (km2)]]/4046.8564224*1000000</f>
        <v>8070.461758717619</v>
      </c>
      <c r="H666" s="20">
        <f>tbl_Monitoring[[#This Row],[Volume (MCM)]]/1233.4818375475*1000000</f>
        <v>175277.36224070439</v>
      </c>
      <c r="I666" s="40">
        <f>tbl_Monitoring[[#This Row],[Elevation (SRTM30-m)]]*3.280839895</f>
        <v>234.91855184674606</v>
      </c>
    </row>
    <row r="667" spans="2:9" ht="16" x14ac:dyDescent="0.2">
      <c r="B667" s="90">
        <v>663</v>
      </c>
      <c r="C667" s="91">
        <v>44745</v>
      </c>
      <c r="D667" s="92">
        <v>32.54</v>
      </c>
      <c r="E667" s="51" cm="1">
        <f t="array" ref="E6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215.32546796652082</v>
      </c>
      <c r="F667" s="49" cm="1">
        <f t="array" ref="F6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71.577811595121844</v>
      </c>
      <c r="G667" s="20">
        <f>tbl_Monitoring[[#This Row],[Area (km2)]]/4046.8564224*1000000</f>
        <v>8040.8091129415598</v>
      </c>
      <c r="H667" s="20">
        <f>tbl_Monitoring[[#This Row],[Volume (MCM)]]/1233.4818375475*1000000</f>
        <v>174567.19783944843</v>
      </c>
      <c r="I667" s="40">
        <f>tbl_Monitoring[[#This Row],[Elevation (SRTM30-m)]]*3.280839895</f>
        <v>234.83533987806933</v>
      </c>
    </row>
    <row r="668" spans="2:9" ht="16" x14ac:dyDescent="0.2">
      <c r="B668" s="90">
        <v>664</v>
      </c>
      <c r="C668" s="91">
        <v>44755</v>
      </c>
      <c r="D668" s="92">
        <v>61.82</v>
      </c>
      <c r="E668" s="51" cm="1">
        <f t="array" ref="E6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425.35670748595061</v>
      </c>
      <c r="F668" s="49" cm="1">
        <f t="array" ref="F6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75.857797570659415</v>
      </c>
      <c r="G668" s="20">
        <f>tbl_Monitoring[[#This Row],[Area (km2)]]/4046.8564224*1000000</f>
        <v>15276.054682300162</v>
      </c>
      <c r="H668" s="20">
        <f>tbl_Monitoring[[#This Row],[Volume (MCM)]]/1233.4818375475*1000000</f>
        <v>344842.29482590221</v>
      </c>
      <c r="I668" s="40">
        <f>tbl_Monitoring[[#This Row],[Elevation (SRTM30-m)]]*3.280839895</f>
        <v>248.87728861665352</v>
      </c>
    </row>
    <row r="669" spans="2:9" ht="16" x14ac:dyDescent="0.2">
      <c r="B669" s="90">
        <v>665</v>
      </c>
      <c r="C669" s="91">
        <v>44760</v>
      </c>
      <c r="D669" s="92">
        <v>56.3</v>
      </c>
      <c r="E669" s="51" cm="1">
        <f t="array" ref="E6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384.36788339518608</v>
      </c>
      <c r="F669" s="49" cm="1">
        <f t="array" ref="F6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75.207460031338726</v>
      </c>
      <c r="G669" s="20">
        <f>tbl_Monitoring[[#This Row],[Area (km2)]]/4046.8564224*1000000</f>
        <v>13912.032976601407</v>
      </c>
      <c r="H669" s="20">
        <f>tbl_Monitoring[[#This Row],[Volume (MCM)]]/1233.4818375475*1000000</f>
        <v>311612.11433758505</v>
      </c>
      <c r="I669" s="40">
        <f>tbl_Monitoring[[#This Row],[Elevation (SRTM30-m)]]*3.280839895</f>
        <v>246.74363527243406</v>
      </c>
    </row>
    <row r="670" spans="2:9" ht="16" x14ac:dyDescent="0.2">
      <c r="B670" s="90">
        <v>666</v>
      </c>
      <c r="C670" s="91">
        <v>44780</v>
      </c>
      <c r="D670" s="92">
        <v>53.38</v>
      </c>
      <c r="E670" s="51" cm="1">
        <f t="array" ref="E6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363.16545736434114</v>
      </c>
      <c r="F670" s="49" cm="1">
        <f t="array" ref="F6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74.850990525409131</v>
      </c>
      <c r="G670" s="20">
        <f>tbl_Monitoring[[#This Row],[Area (km2)]]/4046.8564224*1000000</f>
        <v>13190.485262717286</v>
      </c>
      <c r="H670" s="20">
        <f>tbl_Monitoring[[#This Row],[Volume (MCM)]]/1233.4818375475*1000000</f>
        <v>294423.02781402413</v>
      </c>
      <c r="I670" s="40">
        <f>tbl_Monitoring[[#This Row],[Elevation (SRTM30-m)]]*3.280839895</f>
        <v>245.5741158960293</v>
      </c>
    </row>
    <row r="671" spans="2:9" ht="16" x14ac:dyDescent="0.2">
      <c r="B671" s="90">
        <v>667</v>
      </c>
      <c r="C671" s="91">
        <v>44790</v>
      </c>
      <c r="D671" s="92">
        <v>68.5</v>
      </c>
      <c r="E671" s="51" cm="1">
        <f t="array" ref="E6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478.73501387929281</v>
      </c>
      <c r="F671" s="49" cm="1">
        <f t="array" ref="F6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76.617873512610359</v>
      </c>
      <c r="G671" s="20">
        <f>tbl_Monitoring[[#This Row],[Area (km2)]]/4046.8564224*1000000</f>
        <v>16926.718630500825</v>
      </c>
      <c r="H671" s="20">
        <f>tbl_Monitoring[[#This Row],[Volume (MCM)]]/1233.4818375475*1000000</f>
        <v>388116.79208114592</v>
      </c>
      <c r="I671" s="40">
        <f>tbl_Monitoring[[#This Row],[Elevation (SRTM30-m)]]*3.280839895</f>
        <v>251.37097609023587</v>
      </c>
    </row>
    <row r="672" spans="2:9" ht="16" x14ac:dyDescent="0.2">
      <c r="B672" s="90">
        <v>668</v>
      </c>
      <c r="C672" s="91">
        <v>44795</v>
      </c>
      <c r="D672" s="92">
        <v>55.77</v>
      </c>
      <c r="E672" s="51" cm="1">
        <f t="array" ref="E6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380.4323622415439</v>
      </c>
      <c r="F672" s="49" cm="1">
        <f t="array" ref="F6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75.145018202382218</v>
      </c>
      <c r="G672" s="20">
        <f>tbl_Monitoring[[#This Row],[Area (km2)]]/4046.8564224*1000000</f>
        <v>13781.067124423811</v>
      </c>
      <c r="H672" s="20">
        <f>tbl_Monitoring[[#This Row],[Volume (MCM)]]/1233.4818375475*1000000</f>
        <v>308421.53541388799</v>
      </c>
      <c r="I672" s="40">
        <f>tbl_Monitoring[[#This Row],[Elevation (SRTM30-m)]]*3.280839895</f>
        <v>246.53877362887678</v>
      </c>
    </row>
    <row r="673" spans="2:9" ht="16" x14ac:dyDescent="0.2">
      <c r="B673" s="90">
        <v>669</v>
      </c>
      <c r="C673" s="91">
        <v>44800</v>
      </c>
      <c r="D673" s="92">
        <v>55.11</v>
      </c>
      <c r="E673" s="51" cm="1">
        <f t="array" ref="E6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375.53152457851769</v>
      </c>
      <c r="F673" s="49" cm="1">
        <f t="array" ref="F6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75.067260453115608</v>
      </c>
      <c r="G673" s="20">
        <f>tbl_Monitoring[[#This Row],[Area (km2)]]/4046.8564224*1000000</f>
        <v>13617.977572655482</v>
      </c>
      <c r="H673" s="20">
        <f>tbl_Monitoring[[#This Row],[Volume (MCM)]]/1233.4818375475*1000000</f>
        <v>304448.36165985005</v>
      </c>
      <c r="I673" s="40">
        <f>tbl_Monitoring[[#This Row],[Elevation (SRTM30-m)]]*3.280839895</f>
        <v>246.28366290293746</v>
      </c>
    </row>
    <row r="674" spans="2:9" ht="16" x14ac:dyDescent="0.2">
      <c r="B674" s="90">
        <v>670</v>
      </c>
      <c r="C674" s="91">
        <v>44805</v>
      </c>
      <c r="D674" s="92">
        <v>53.81</v>
      </c>
      <c r="E674" s="51" cm="1">
        <f t="array" ref="E6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366.18033298623169</v>
      </c>
      <c r="F674" s="49" cm="1">
        <f t="array" ref="F6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74.906269685165896</v>
      </c>
      <c r="G674" s="20">
        <f>tbl_Monitoring[[#This Row],[Area (km2)]]/4046.8564224*1000000</f>
        <v>13296.740576748169</v>
      </c>
      <c r="H674" s="20">
        <f>tbl_Monitoring[[#This Row],[Volume (MCM)]]/1233.4818375475*1000000</f>
        <v>296867.22725832637</v>
      </c>
      <c r="I674" s="40">
        <f>tbl_Monitoring[[#This Row],[Elevation (SRTM30-m)]]*3.280839895</f>
        <v>245.75547796872138</v>
      </c>
    </row>
    <row r="675" spans="2:9" ht="16" x14ac:dyDescent="0.2">
      <c r="B675" s="90">
        <v>671</v>
      </c>
      <c r="C675" s="91">
        <v>44810</v>
      </c>
      <c r="D675" s="92">
        <v>53.34</v>
      </c>
      <c r="E675" s="51" cm="1">
        <f t="array" ref="E6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362.88500381811878</v>
      </c>
      <c r="F675" s="49" cm="1">
        <f t="array" ref="F6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74.845848277989901</v>
      </c>
      <c r="G675" s="20">
        <f>tbl_Monitoring[[#This Row],[Area (km2)]]/4046.8564224*1000000</f>
        <v>13180.6010474586</v>
      </c>
      <c r="H675" s="20">
        <f>tbl_Monitoring[[#This Row],[Volume (MCM)]]/1233.4818375475*1000000</f>
        <v>294195.66042385646</v>
      </c>
      <c r="I675" s="40">
        <f>tbl_Monitoring[[#This Row],[Elevation (SRTM30-m)]]*3.280839895</f>
        <v>245.55724500554632</v>
      </c>
    </row>
    <row r="676" spans="2:9" ht="16" x14ac:dyDescent="0.2">
      <c r="B676" s="90">
        <v>672</v>
      </c>
      <c r="C676" s="91">
        <v>44815</v>
      </c>
      <c r="D676" s="92">
        <v>53.8</v>
      </c>
      <c r="E676" s="51" cm="1">
        <f t="array" ref="E6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366.11021959967604</v>
      </c>
      <c r="F676" s="49" cm="1">
        <f t="array" ref="F6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74.904984123311095</v>
      </c>
      <c r="G676" s="20">
        <f>tbl_Monitoring[[#This Row],[Area (km2)]]/4046.8564224*1000000</f>
        <v>13294.269522933495</v>
      </c>
      <c r="H676" s="20">
        <f>tbl_Monitoring[[#This Row],[Volume (MCM)]]/1233.4818375475*1000000</f>
        <v>296810.38541078439</v>
      </c>
      <c r="I676" s="40">
        <f>tbl_Monitoring[[#This Row],[Elevation (SRTM30-m)]]*3.280839895</f>
        <v>245.75126024610066</v>
      </c>
    </row>
    <row r="677" spans="2:9" ht="16" x14ac:dyDescent="0.2">
      <c r="B677" s="90">
        <v>673</v>
      </c>
      <c r="C677" s="91">
        <v>44820</v>
      </c>
      <c r="D677" s="92">
        <v>53.19</v>
      </c>
      <c r="E677" s="51" cm="1">
        <f t="array" ref="E6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361.83330301978481</v>
      </c>
      <c r="F677" s="49" cm="1">
        <f t="array" ref="F6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74.82656485016777</v>
      </c>
      <c r="G677" s="20">
        <f>tbl_Monitoring[[#This Row],[Area (km2)]]/4046.8564224*1000000</f>
        <v>13143.535240238523</v>
      </c>
      <c r="H677" s="20">
        <f>tbl_Monitoring[[#This Row],[Volume (MCM)]]/1233.4818375475*1000000</f>
        <v>293343.03271072771</v>
      </c>
      <c r="I677" s="40">
        <f>tbl_Monitoring[[#This Row],[Elevation (SRTM30-m)]]*3.280839895</f>
        <v>245.49397916623514</v>
      </c>
    </row>
    <row r="678" spans="2:9" ht="16" x14ac:dyDescent="0.2">
      <c r="B678" s="90">
        <v>674</v>
      </c>
      <c r="C678" s="91">
        <v>44825</v>
      </c>
      <c r="D678" s="92">
        <v>50.63</v>
      </c>
      <c r="E678" s="51" cm="1">
        <f t="array" ref="E6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343.88427606155273</v>
      </c>
      <c r="F678" s="49" cm="1">
        <f t="array" ref="F6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74.497461015336754</v>
      </c>
      <c r="G678" s="20">
        <f>tbl_Monitoring[[#This Row],[Area (km2)]]/4046.8564224*1000000</f>
        <v>12510.945463682581</v>
      </c>
      <c r="H678" s="20">
        <f>tbl_Monitoring[[#This Row],[Volume (MCM)]]/1233.4818375475*1000000</f>
        <v>278791.51973999786</v>
      </c>
      <c r="I678" s="40">
        <f>tbl_Monitoring[[#This Row],[Elevation (SRTM30-m)]]*3.280839895</f>
        <v>244.41424217532403</v>
      </c>
    </row>
    <row r="679" spans="2:9" ht="16" x14ac:dyDescent="0.2">
      <c r="B679" s="90">
        <v>675</v>
      </c>
      <c r="C679" s="91">
        <v>44830</v>
      </c>
      <c r="D679" s="92">
        <v>50.97</v>
      </c>
      <c r="E679" s="51" cm="1">
        <f t="array" ref="E6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346.26813120444291</v>
      </c>
      <c r="F679" s="49" cm="1">
        <f t="array" ref="F6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74.541170118400245</v>
      </c>
      <c r="G679" s="20">
        <f>tbl_Monitoring[[#This Row],[Area (km2)]]/4046.8564224*1000000</f>
        <v>12594.961293381417</v>
      </c>
      <c r="H679" s="20">
        <f>tbl_Monitoring[[#This Row],[Volume (MCM)]]/1233.4818375475*1000000</f>
        <v>280724.14255642297</v>
      </c>
      <c r="I679" s="40">
        <f>tbl_Monitoring[[#This Row],[Elevation (SRTM30-m)]]*3.280839895</f>
        <v>244.55764474442941</v>
      </c>
    </row>
    <row r="680" spans="2:9" ht="16" x14ac:dyDescent="0.2">
      <c r="B680" s="90">
        <v>676</v>
      </c>
      <c r="C680" s="91">
        <v>44835</v>
      </c>
      <c r="D680" s="92">
        <v>50.52</v>
      </c>
      <c r="E680" s="51" cm="1">
        <f t="array" ref="E6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343.11302880944123</v>
      </c>
      <c r="F680" s="49" cm="1">
        <f t="array" ref="F6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74.483319834933852</v>
      </c>
      <c r="G680" s="20">
        <f>tbl_Monitoring[[#This Row],[Area (km2)]]/4046.8564224*1000000</f>
        <v>12483.763871721194</v>
      </c>
      <c r="H680" s="20">
        <f>tbl_Monitoring[[#This Row],[Volume (MCM)]]/1233.4818375475*1000000</f>
        <v>278166.2594170369</v>
      </c>
      <c r="I680" s="40">
        <f>tbl_Monitoring[[#This Row],[Elevation (SRTM30-m)]]*3.280839895</f>
        <v>244.3678472264958</v>
      </c>
    </row>
    <row r="681" spans="2:9" ht="16" x14ac:dyDescent="0.2">
      <c r="B681" s="90">
        <v>677</v>
      </c>
      <c r="C681" s="91">
        <v>44840</v>
      </c>
      <c r="D681" s="92">
        <v>49.67</v>
      </c>
      <c r="E681" s="51" cm="1">
        <f t="array" ref="E6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337.15339095221572</v>
      </c>
      <c r="F681" s="49" cm="1">
        <f t="array" ref="F6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74.374047077275122</v>
      </c>
      <c r="G681" s="20">
        <f>tbl_Monitoring[[#This Row],[Area (km2)]]/4046.8564224*1000000</f>
        <v>12273.724297474102</v>
      </c>
      <c r="H681" s="20">
        <f>tbl_Monitoring[[#This Row],[Volume (MCM)]]/1233.4818375475*1000000</f>
        <v>273334.70237597422</v>
      </c>
      <c r="I681" s="40">
        <f>tbl_Monitoring[[#This Row],[Elevation (SRTM30-m)]]*3.280839895</f>
        <v>244.00934080373239</v>
      </c>
    </row>
    <row r="682" spans="2:9" ht="16" x14ac:dyDescent="0.2">
      <c r="B682" s="90">
        <v>678</v>
      </c>
      <c r="C682" s="91">
        <v>44845</v>
      </c>
      <c r="D682" s="92">
        <v>48.5</v>
      </c>
      <c r="E682" s="51" cm="1">
        <f t="array" ref="E6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328.9501247252112</v>
      </c>
      <c r="F682" s="49" cm="1">
        <f t="array" ref="F6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74.223636340262516</v>
      </c>
      <c r="G682" s="20">
        <f>tbl_Monitoring[[#This Row],[Area (km2)]]/4046.8564224*1000000</f>
        <v>11984.61100115752</v>
      </c>
      <c r="H682" s="20">
        <f>tbl_Monitoring[[#This Row],[Volume (MCM)]]/1233.4818375475*1000000</f>
        <v>266684.20621357037</v>
      </c>
      <c r="I682" s="40">
        <f>tbl_Monitoring[[#This Row],[Elevation (SRTM30-m)]]*3.280839895</f>
        <v>243.51586725710507</v>
      </c>
    </row>
    <row r="683" spans="2:9" ht="16" x14ac:dyDescent="0.2">
      <c r="B683" s="90">
        <v>679</v>
      </c>
      <c r="C683" s="91">
        <v>44850</v>
      </c>
      <c r="D683" s="92">
        <v>48.01</v>
      </c>
      <c r="E683" s="51" cm="1">
        <f t="array" ref="E6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325.51456878398704</v>
      </c>
      <c r="F683" s="49" cm="1">
        <f t="array" ref="F6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74.160643809376893</v>
      </c>
      <c r="G683" s="20">
        <f>tbl_Monitoring[[#This Row],[Area (km2)]]/4046.8564224*1000000</f>
        <v>11863.529364238608</v>
      </c>
      <c r="H683" s="20">
        <f>tbl_Monitoring[[#This Row],[Volume (MCM)]]/1233.4818375475*1000000</f>
        <v>263898.95568401663</v>
      </c>
      <c r="I683" s="40">
        <f>tbl_Monitoring[[#This Row],[Elevation (SRTM30-m)]]*3.280839895</f>
        <v>243.30919884868851</v>
      </c>
    </row>
    <row r="684" spans="2:9" ht="16" x14ac:dyDescent="0.2">
      <c r="B684" s="90">
        <v>680</v>
      </c>
      <c r="C684" s="91">
        <v>44855</v>
      </c>
      <c r="D684" s="92">
        <v>47.15</v>
      </c>
      <c r="E684" s="51" cm="1">
        <f t="array" ref="E6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319.48481754020594</v>
      </c>
      <c r="F684" s="49" cm="1">
        <f t="array" ref="F6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74.050085489863349</v>
      </c>
      <c r="G684" s="20">
        <f>tbl_Monitoring[[#This Row],[Area (km2)]]/4046.8564224*1000000</f>
        <v>11651.018736176844</v>
      </c>
      <c r="H684" s="20">
        <f>tbl_Monitoring[[#This Row],[Volume (MCM)]]/1233.4818375475*1000000</f>
        <v>259010.55679541201</v>
      </c>
      <c r="I684" s="40">
        <f>tbl_Monitoring[[#This Row],[Elevation (SRTM30-m)]]*3.280839895</f>
        <v>242.94647470330432</v>
      </c>
    </row>
    <row r="685" spans="2:9" ht="16" x14ac:dyDescent="0.2">
      <c r="B685" s="90">
        <v>681</v>
      </c>
      <c r="C685" s="91">
        <v>44860</v>
      </c>
      <c r="D685" s="92">
        <v>46.64</v>
      </c>
      <c r="E685" s="51" cm="1">
        <f t="array" ref="E6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315.90968565264296</v>
      </c>
      <c r="F685" s="49" cm="1">
        <f t="array" ref="F6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73.981960925326618</v>
      </c>
      <c r="G685" s="20">
        <f>tbl_Monitoring[[#This Row],[Area (km2)]]/4046.8564224*1000000</f>
        <v>11524.994991628591</v>
      </c>
      <c r="H685" s="20">
        <f>tbl_Monitoring[[#This Row],[Volume (MCM)]]/1233.4818375475*1000000</f>
        <v>256112.15020462562</v>
      </c>
      <c r="I685" s="40">
        <f>tbl_Monitoring[[#This Row],[Elevation (SRTM30-m)]]*3.280839895</f>
        <v>242.72296891414268</v>
      </c>
    </row>
    <row r="686" spans="2:9" ht="16" x14ac:dyDescent="0.2">
      <c r="B686" s="90">
        <v>682</v>
      </c>
      <c r="C686" s="91">
        <v>44865</v>
      </c>
      <c r="D686" s="92">
        <v>46.3</v>
      </c>
      <c r="E686" s="51" cm="1">
        <f t="array" ref="E6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313.52766839266451</v>
      </c>
      <c r="F686" s="49" cm="1">
        <f t="array" ref="F6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73.931020016780536</v>
      </c>
      <c r="G686" s="20">
        <f>tbl_Monitoring[[#This Row],[Area (km2)]]/4046.8564224*1000000</f>
        <v>11440.979161929754</v>
      </c>
      <c r="H686" s="20">
        <f>tbl_Monitoring[[#This Row],[Volume (MCM)]]/1233.4818375475*1000000</f>
        <v>254181.01738412579</v>
      </c>
      <c r="I686" s="40">
        <f>tbl_Monitoring[[#This Row],[Elevation (SRTM30-m)]]*3.280839895</f>
        <v>242.55583994909716</v>
      </c>
    </row>
    <row r="687" spans="2:9" ht="16" x14ac:dyDescent="0.2">
      <c r="B687" s="90">
        <v>683</v>
      </c>
      <c r="C687" s="91">
        <v>44870</v>
      </c>
      <c r="D687" s="92">
        <v>46.42</v>
      </c>
      <c r="E687" s="51" cm="1">
        <f t="array" ref="E6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314.36838036677455</v>
      </c>
      <c r="F687" s="49" cm="1">
        <f t="array" ref="F6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73.948999160973273</v>
      </c>
      <c r="G687" s="20">
        <f>tbl_Monitoring[[#This Row],[Area (km2)]]/4046.8564224*1000000</f>
        <v>11470.631807705815</v>
      </c>
      <c r="H687" s="20">
        <f>tbl_Monitoring[[#This Row],[Volume (MCM)]]/1233.4818375475*1000000</f>
        <v>254862.593673714</v>
      </c>
      <c r="I687" s="40">
        <f>tbl_Monitoring[[#This Row],[Elevation (SRTM30-m)]]*3.280839895</f>
        <v>242.61482664264264</v>
      </c>
    </row>
    <row r="688" spans="2:9" ht="16" x14ac:dyDescent="0.2">
      <c r="B688" s="90">
        <v>684</v>
      </c>
      <c r="C688" s="91">
        <v>44875</v>
      </c>
      <c r="D688" s="92">
        <v>45.47</v>
      </c>
      <c r="E688" s="51" cm="1">
        <f t="array" ref="E6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307.71274390507011</v>
      </c>
      <c r="F688" s="49" cm="1">
        <f t="array" ref="F6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73.806664269447438</v>
      </c>
      <c r="G688" s="20">
        <f>tbl_Monitoring[[#This Row],[Area (km2)]]/4046.8564224*1000000</f>
        <v>11235.881695312008</v>
      </c>
      <c r="H688" s="20">
        <f>tbl_Monitoring[[#This Row],[Volume (MCM)]]/1233.4818375475*1000000</f>
        <v>249466.7813811409</v>
      </c>
      <c r="I688" s="40">
        <f>tbl_Monitoring[[#This Row],[Elevation (SRTM30-m)]]*3.280839895</f>
        <v>242.1478486520742</v>
      </c>
    </row>
    <row r="689" spans="2:9" ht="16" x14ac:dyDescent="0.2">
      <c r="B689" s="90">
        <v>685</v>
      </c>
      <c r="C689" s="91">
        <v>44880</v>
      </c>
      <c r="D689" s="92">
        <v>45.57</v>
      </c>
      <c r="E689" s="51" cm="1">
        <f t="array" ref="E6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308.4133372168285</v>
      </c>
      <c r="F689" s="49" cm="1">
        <f t="array" ref="F6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73.821646889608061</v>
      </c>
      <c r="G689" s="20">
        <f>tbl_Monitoring[[#This Row],[Area (km2)]]/4046.8564224*1000000</f>
        <v>11260.592233458725</v>
      </c>
      <c r="H689" s="20">
        <f>tbl_Monitoring[[#This Row],[Volume (MCM)]]/1233.4818375475*1000000</f>
        <v>250034.7616224644</v>
      </c>
      <c r="I689" s="40">
        <f>tbl_Monitoring[[#This Row],[Elevation (SRTM30-m)]]*3.280839895</f>
        <v>242.1970042300288</v>
      </c>
    </row>
    <row r="690" spans="2:9" ht="16" x14ac:dyDescent="0.2">
      <c r="B690" s="90">
        <v>686</v>
      </c>
      <c r="C690" s="91">
        <v>44885</v>
      </c>
      <c r="D690" s="92">
        <v>44.96</v>
      </c>
      <c r="E690" s="51" cm="1">
        <f t="array" ref="E6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304.13971801510252</v>
      </c>
      <c r="F690" s="49" cm="1">
        <f t="array" ref="F6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73.730252906628309</v>
      </c>
      <c r="G690" s="20">
        <f>tbl_Monitoring[[#This Row],[Area (km2)]]/4046.8564224*1000000</f>
        <v>11109.857950763753</v>
      </c>
      <c r="H690" s="20">
        <f>tbl_Monitoring[[#This Row],[Volume (MCM)]]/1233.4818375475*1000000</f>
        <v>246570.08215039116</v>
      </c>
      <c r="I690" s="40">
        <f>tbl_Monitoring[[#This Row],[Elevation (SRTM30-m)]]*3.280839895</f>
        <v>241.89715520450588</v>
      </c>
    </row>
    <row r="691" spans="2:9" ht="16" x14ac:dyDescent="0.2">
      <c r="B691" s="90">
        <v>687</v>
      </c>
      <c r="C691" s="91">
        <v>44890</v>
      </c>
      <c r="D691" s="92">
        <v>43.4</v>
      </c>
      <c r="E691" s="51" cm="1">
        <f t="array" ref="E6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293.21046235167205</v>
      </c>
      <c r="F691" s="49" cm="1">
        <f t="array" ref="F6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73.496524032122736</v>
      </c>
      <c r="G691" s="20">
        <f>tbl_Monitoring[[#This Row],[Area (km2)]]/4046.8564224*1000000</f>
        <v>10724.373555674976</v>
      </c>
      <c r="H691" s="20">
        <f>tbl_Monitoring[[#This Row],[Volume (MCM)]]/1233.4818375475*1000000</f>
        <v>237709.59038574481</v>
      </c>
      <c r="I691" s="40">
        <f>tbl_Monitoring[[#This Row],[Elevation (SRTM30-m)]]*3.280839895</f>
        <v>241.13032818841455</v>
      </c>
    </row>
    <row r="692" spans="2:9" ht="16" x14ac:dyDescent="0.2">
      <c r="B692" s="90">
        <v>688</v>
      </c>
      <c r="C692" s="91">
        <v>44895</v>
      </c>
      <c r="D692" s="92">
        <v>42.62</v>
      </c>
      <c r="E692" s="51" cm="1">
        <f t="array" ref="E6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287.74583451995682</v>
      </c>
      <c r="F692" s="49" cm="1">
        <f t="array" ref="F6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73.379659594869949</v>
      </c>
      <c r="G692" s="20">
        <f>tbl_Monitoring[[#This Row],[Area (km2)]]/4046.8564224*1000000</f>
        <v>10531.631358130586</v>
      </c>
      <c r="H692" s="20">
        <f>tbl_Monitoring[[#This Row],[Volume (MCM)]]/1233.4818375475*1000000</f>
        <v>233279.34450342163</v>
      </c>
      <c r="I692" s="40">
        <f>tbl_Monitoring[[#This Row],[Elevation (SRTM30-m)]]*3.280839895</f>
        <v>240.74691468036889</v>
      </c>
    </row>
    <row r="693" spans="2:9" ht="16" x14ac:dyDescent="0.2">
      <c r="B693" s="90">
        <v>689</v>
      </c>
      <c r="C693" s="91">
        <v>44900</v>
      </c>
      <c r="D693" s="92">
        <v>42.46</v>
      </c>
      <c r="E693" s="51" cm="1">
        <f t="array" ref="E6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286.62488522114347</v>
      </c>
      <c r="F693" s="49" cm="1">
        <f t="array" ref="F6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73.355687402612972</v>
      </c>
      <c r="G693" s="20">
        <f>tbl_Monitoring[[#This Row],[Area (km2)]]/4046.8564224*1000000</f>
        <v>10492.094497095841</v>
      </c>
      <c r="H693" s="20">
        <f>tbl_Monitoring[[#This Row],[Volume (MCM)]]/1233.4818375475*1000000</f>
        <v>232370.5761173041</v>
      </c>
      <c r="I693" s="40">
        <f>tbl_Monitoring[[#This Row],[Elevation (SRTM30-m)]]*3.280839895</f>
        <v>240.66826575564158</v>
      </c>
    </row>
    <row r="694" spans="2:9" ht="16" x14ac:dyDescent="0.2">
      <c r="B694" s="90">
        <v>690</v>
      </c>
      <c r="C694" s="91">
        <v>44905</v>
      </c>
      <c r="D694" s="92">
        <v>42.14</v>
      </c>
      <c r="E694" s="51" cm="1">
        <f t="array" ref="E6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284.38298662351673</v>
      </c>
      <c r="F694" s="49" cm="1">
        <f t="array" ref="F6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73.307743018099004</v>
      </c>
      <c r="G694" s="20">
        <f>tbl_Monitoring[[#This Row],[Area (km2)]]/4046.8564224*1000000</f>
        <v>10413.020775026347</v>
      </c>
      <c r="H694" s="20">
        <f>tbl_Monitoring[[#This Row],[Volume (MCM)]]/1233.4818375475*1000000</f>
        <v>230553.03934506897</v>
      </c>
      <c r="I694" s="40">
        <f>tbl_Monitoring[[#This Row],[Elevation (SRTM30-m)]]*3.280839895</f>
        <v>240.51096790618692</v>
      </c>
    </row>
    <row r="695" spans="2:9" ht="16" x14ac:dyDescent="0.2">
      <c r="B695" s="90">
        <v>691</v>
      </c>
      <c r="C695" s="91">
        <v>44910</v>
      </c>
      <c r="D695" s="92">
        <v>40.83</v>
      </c>
      <c r="E695" s="51" cm="1">
        <f t="array" ref="E6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275.20521423948219</v>
      </c>
      <c r="F695" s="49" cm="1">
        <f t="array" ref="F6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73.11147069399496</v>
      </c>
      <c r="G695" s="20">
        <f>tbl_Monitoring[[#This Row],[Area (km2)]]/4046.8564224*1000000</f>
        <v>10089.31272530436</v>
      </c>
      <c r="H695" s="20">
        <f>tbl_Monitoring[[#This Row],[Volume (MCM)]]/1233.4818375475*1000000</f>
        <v>223112.49818373137</v>
      </c>
      <c r="I695" s="40">
        <f>tbl_Monitoring[[#This Row],[Elevation (SRTM30-m)]]*3.280839895</f>
        <v>239.86702983498202</v>
      </c>
    </row>
    <row r="696" spans="2:9" ht="16" x14ac:dyDescent="0.2">
      <c r="B696" s="90">
        <v>692</v>
      </c>
      <c r="C696" s="91">
        <v>44915</v>
      </c>
      <c r="D696" s="92">
        <v>40.17</v>
      </c>
      <c r="E696" s="51" cm="1">
        <f t="array" ref="E6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270.58129838187705</v>
      </c>
      <c r="F696" s="49" cm="1">
        <f t="array" ref="F6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73.01258540093491</v>
      </c>
      <c r="G696" s="20">
        <f>tbl_Monitoring[[#This Row],[Area (km2)]]/4046.8564224*1000000</f>
        <v>9926.2231735360328</v>
      </c>
      <c r="H696" s="20">
        <f>tbl_Monitoring[[#This Row],[Volume (MCM)]]/1233.4818375475*1000000</f>
        <v>219363.82859099639</v>
      </c>
      <c r="I696" s="40">
        <f>tbl_Monitoring[[#This Row],[Elevation (SRTM30-m)]]*3.280839895</f>
        <v>239.54260302048183</v>
      </c>
    </row>
    <row r="697" spans="2:9" ht="16" x14ac:dyDescent="0.2">
      <c r="B697" s="90">
        <v>693</v>
      </c>
      <c r="C697" s="91">
        <v>44920</v>
      </c>
      <c r="D697" s="92">
        <v>41.73</v>
      </c>
      <c r="E697" s="51" cm="1">
        <f t="array" ref="E6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281.5105540453074</v>
      </c>
      <c r="F697" s="49" cm="1">
        <f t="array" ref="F6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73.246314275440483</v>
      </c>
      <c r="G697" s="20">
        <f>tbl_Monitoring[[#This Row],[Area (km2)]]/4046.8564224*1000000</f>
        <v>10311.707568624808</v>
      </c>
      <c r="H697" s="20">
        <f>tbl_Monitoring[[#This Row],[Volume (MCM)]]/1233.4818375475*1000000</f>
        <v>228224.32035564267</v>
      </c>
      <c r="I697" s="40">
        <f>tbl_Monitoring[[#This Row],[Elevation (SRTM30-m)]]*3.280839895</f>
        <v>240.30943003657316</v>
      </c>
    </row>
    <row r="698" spans="2:9" ht="16" x14ac:dyDescent="0.2">
      <c r="B698" s="90">
        <v>694</v>
      </c>
      <c r="C698" s="91">
        <v>44925</v>
      </c>
      <c r="D698" s="92">
        <v>48.23</v>
      </c>
      <c r="E698" s="51" cm="1">
        <f t="array" ref="E6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327.05706328821009</v>
      </c>
      <c r="F698" s="49" cm="1">
        <f t="array" ref="F6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74.188926170182683</v>
      </c>
      <c r="G698" s="20">
        <f>tbl_Monitoring[[#This Row],[Area (km2)]]/4046.8564224*1000000</f>
        <v>11917.892548161384</v>
      </c>
      <c r="H698" s="20">
        <f>tbl_Monitoring[[#This Row],[Volume (MCM)]]/1233.4818375475*1000000</f>
        <v>265149.47632993868</v>
      </c>
      <c r="I698" s="40">
        <f>tbl_Monitoring[[#This Row],[Elevation (SRTM30-m)]]*3.280839895</f>
        <v>243.40198874634493</v>
      </c>
    </row>
    <row r="699" spans="2:9" ht="16" x14ac:dyDescent="0.2">
      <c r="B699" s="90">
        <v>695</v>
      </c>
      <c r="C699" s="91">
        <v>44930</v>
      </c>
      <c r="D699" s="92">
        <v>47.93</v>
      </c>
      <c r="E699" s="51" cm="1">
        <f t="array" ref="E6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324.95366169154232</v>
      </c>
      <c r="F699" s="49" cm="1">
        <f t="array" ref="F6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74.15035931453842</v>
      </c>
      <c r="G699" s="20">
        <f>tbl_Monitoring[[#This Row],[Area (km2)]]/4046.8564224*1000000</f>
        <v>11843.760933721234</v>
      </c>
      <c r="H699" s="20">
        <f>tbl_Monitoring[[#This Row],[Volume (MCM)]]/1233.4818375475*1000000</f>
        <v>263444.2209036813</v>
      </c>
      <c r="I699" s="40">
        <f>tbl_Monitoring[[#This Row],[Elevation (SRTM30-m)]]*3.280839895</f>
        <v>243.27545706772253</v>
      </c>
    </row>
    <row r="700" spans="2:9" ht="16" x14ac:dyDescent="0.2">
      <c r="B700" s="90">
        <v>696</v>
      </c>
      <c r="C700" s="91">
        <v>44935</v>
      </c>
      <c r="D700" s="92">
        <v>47.05</v>
      </c>
      <c r="E700" s="51" cm="1">
        <f t="array" ref="E7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318.78368367464998</v>
      </c>
      <c r="F700" s="49" cm="1">
        <f t="array" ref="F7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74.037229871315262</v>
      </c>
      <c r="G700" s="20">
        <f>tbl_Monitoring[[#This Row],[Area (km2)]]/4046.8564224*1000000</f>
        <v>11626.308198030129</v>
      </c>
      <c r="H700" s="20">
        <f>tbl_Monitoring[[#This Row],[Volume (MCM)]]/1233.4818375475*1000000</f>
        <v>258442.1383199929</v>
      </c>
      <c r="I700" s="40">
        <f>tbl_Monitoring[[#This Row],[Elevation (SRTM30-m)]]*3.280839895</f>
        <v>242.90429747709683</v>
      </c>
    </row>
    <row r="701" spans="2:9" ht="16" x14ac:dyDescent="0.2">
      <c r="B701" s="90">
        <v>697</v>
      </c>
      <c r="C701" s="91">
        <v>44940</v>
      </c>
      <c r="D701" s="92">
        <v>46.96</v>
      </c>
      <c r="E701" s="51" cm="1">
        <f t="array" ref="E7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318.15266319564967</v>
      </c>
      <c r="F701" s="49" cm="1">
        <f t="array" ref="F7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74.025659814621974</v>
      </c>
      <c r="G701" s="20">
        <f>tbl_Monitoring[[#This Row],[Area (km2)]]/4046.8564224*1000000</f>
        <v>11604.068713698083</v>
      </c>
      <c r="H701" s="20">
        <f>tbl_Monitoring[[#This Row],[Volume (MCM)]]/1233.4818375475*1000000</f>
        <v>257930.56169211571</v>
      </c>
      <c r="I701" s="40">
        <f>tbl_Monitoring[[#This Row],[Elevation (SRTM30-m)]]*3.280839895</f>
        <v>242.8663379735101</v>
      </c>
    </row>
    <row r="702" spans="2:9" ht="16" x14ac:dyDescent="0.2">
      <c r="B702" s="90">
        <v>698</v>
      </c>
      <c r="C702" s="91">
        <v>44945</v>
      </c>
      <c r="D702" s="92">
        <v>46.57</v>
      </c>
      <c r="E702" s="51" cm="1">
        <f t="array" ref="E7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315.41927033441209</v>
      </c>
      <c r="F702" s="49" cm="1">
        <f t="array" ref="F7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73.971473091214193</v>
      </c>
      <c r="G702" s="20">
        <f>tbl_Monitoring[[#This Row],[Area (km2)]]/4046.8564224*1000000</f>
        <v>11507.69761492589</v>
      </c>
      <c r="H702" s="20">
        <f>tbl_Monitoring[[#This Row],[Volume (MCM)]]/1233.4818375475*1000000</f>
        <v>255714.56403569921</v>
      </c>
      <c r="I702" s="40">
        <f>tbl_Monitoring[[#This Row],[Elevation (SRTM30-m)]]*3.280839895</f>
        <v>242.6885600095745</v>
      </c>
    </row>
    <row r="703" spans="2:9" ht="16" x14ac:dyDescent="0.2">
      <c r="B703" s="90">
        <v>699</v>
      </c>
      <c r="C703" s="91">
        <v>44950</v>
      </c>
      <c r="D703" s="92">
        <v>45.81</v>
      </c>
      <c r="E703" s="51" cm="1">
        <f t="array" ref="E7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310.09476116504857</v>
      </c>
      <c r="F703" s="49" cm="1">
        <f t="array" ref="F7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73.857605177993534</v>
      </c>
      <c r="G703" s="20">
        <f>tbl_Monitoring[[#This Row],[Area (km2)]]/4046.8564224*1000000</f>
        <v>11319.897525010845</v>
      </c>
      <c r="H703" s="20">
        <f>tbl_Monitoring[[#This Row],[Volume (MCM)]]/1233.4818375475*1000000</f>
        <v>251397.91420164076</v>
      </c>
      <c r="I703" s="40">
        <f>tbl_Monitoring[[#This Row],[Elevation (SRTM30-m)]]*3.280839895</f>
        <v>242.31497761711978</v>
      </c>
    </row>
    <row r="704" spans="2:9" ht="16" x14ac:dyDescent="0.2">
      <c r="B704" s="90">
        <v>700</v>
      </c>
      <c r="C704" s="91">
        <v>44955</v>
      </c>
      <c r="D704" s="92">
        <v>45.32</v>
      </c>
      <c r="E704" s="51" cm="1">
        <f t="array" ref="E7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306.66185393743257</v>
      </c>
      <c r="F704" s="49" cm="1">
        <f t="array" ref="F7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73.784190339206518</v>
      </c>
      <c r="G704" s="20">
        <f>tbl_Monitoring[[#This Row],[Area (km2)]]/4046.8564224*1000000</f>
        <v>11198.815888091933</v>
      </c>
      <c r="H704" s="20">
        <f>tbl_Monitoring[[#This Row],[Volume (MCM)]]/1233.4818375475*1000000</f>
        <v>248614.81101915566</v>
      </c>
      <c r="I704" s="40">
        <f>tbl_Monitoring[[#This Row],[Elevation (SRTM30-m)]]*3.280839895</f>
        <v>242.07411528514234</v>
      </c>
    </row>
    <row r="705" spans="2:9" ht="16" x14ac:dyDescent="0.2">
      <c r="B705" s="90">
        <v>701</v>
      </c>
      <c r="C705" s="91">
        <v>44960</v>
      </c>
      <c r="D705" s="92">
        <v>45.27</v>
      </c>
      <c r="E705" s="51" cm="1">
        <f t="array" ref="E7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306.31155728155341</v>
      </c>
      <c r="F705" s="49" cm="1">
        <f t="array" ref="F7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73.77669902912622</v>
      </c>
      <c r="G705" s="20">
        <f>tbl_Monitoring[[#This Row],[Area (km2)]]/4046.8564224*1000000</f>
        <v>11186.460619018575</v>
      </c>
      <c r="H705" s="20">
        <f>tbl_Monitoring[[#This Row],[Volume (MCM)]]/1233.4818375475*1000000</f>
        <v>248330.82089849396</v>
      </c>
      <c r="I705" s="40">
        <f>tbl_Monitoring[[#This Row],[Elevation (SRTM30-m)]]*3.280839895</f>
        <v>242.04953749616507</v>
      </c>
    </row>
    <row r="706" spans="2:9" ht="16" x14ac:dyDescent="0.2">
      <c r="B706" s="90">
        <v>702</v>
      </c>
      <c r="C706" s="91">
        <v>44965</v>
      </c>
      <c r="D706" s="92">
        <v>44.79</v>
      </c>
      <c r="E706" s="51" cm="1">
        <f t="array" ref="E7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302.94870938511326</v>
      </c>
      <c r="F706" s="49" cm="1">
        <f t="array" ref="F7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73.704782452355275</v>
      </c>
      <c r="G706" s="20">
        <f>tbl_Monitoring[[#This Row],[Area (km2)]]/4046.8564224*1000000</f>
        <v>11067.850035914335</v>
      </c>
      <c r="H706" s="20">
        <f>tbl_Monitoring[[#This Row],[Volume (MCM)]]/1233.4818375475*1000000</f>
        <v>245604.51574014121</v>
      </c>
      <c r="I706" s="40">
        <f>tbl_Monitoring[[#This Row],[Elevation (SRTM30-m)]]*3.280839895</f>
        <v>241.81359072198313</v>
      </c>
    </row>
    <row r="707" spans="2:9" ht="16" x14ac:dyDescent="0.2">
      <c r="B707" s="90">
        <v>703</v>
      </c>
      <c r="C707" s="91">
        <v>44970</v>
      </c>
      <c r="D707" s="92">
        <v>44.07</v>
      </c>
      <c r="E707" s="51" cm="1">
        <f t="array" ref="E7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297.9044375404531</v>
      </c>
      <c r="F707" s="49" cm="1">
        <f t="array" ref="F7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73.596907587198857</v>
      </c>
      <c r="G707" s="20">
        <f>tbl_Monitoring[[#This Row],[Area (km2)]]/4046.8564224*1000000</f>
        <v>10889.934161257976</v>
      </c>
      <c r="H707" s="20">
        <f>tbl_Monitoring[[#This Row],[Volume (MCM)]]/1233.4818375475*1000000</f>
        <v>241515.0580026122</v>
      </c>
      <c r="I707" s="40">
        <f>tbl_Monitoring[[#This Row],[Elevation (SRTM30-m)]]*3.280839895</f>
        <v>241.45967056071021</v>
      </c>
    </row>
    <row r="708" spans="2:9" ht="16" x14ac:dyDescent="0.2">
      <c r="B708" s="90">
        <v>704</v>
      </c>
      <c r="C708" s="91">
        <v>44975</v>
      </c>
      <c r="D708" s="92">
        <v>42.23</v>
      </c>
      <c r="E708" s="51" cm="1">
        <f t="array" ref="E7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285.0135206040992</v>
      </c>
      <c r="F708" s="49" cm="1">
        <f t="array" ref="F7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73.321227376243556</v>
      </c>
      <c r="G708" s="20">
        <f>tbl_Monitoring[[#This Row],[Area (km2)]]/4046.8564224*1000000</f>
        <v>10435.260259358391</v>
      </c>
      <c r="H708" s="20">
        <f>tbl_Monitoring[[#This Row],[Volume (MCM)]]/1233.4818375475*1000000</f>
        <v>231064.22156226006</v>
      </c>
      <c r="I708" s="40">
        <f>tbl_Monitoring[[#This Row],[Elevation (SRTM30-m)]]*3.280839895</f>
        <v>240.55520792634604</v>
      </c>
    </row>
    <row r="709" spans="2:9" ht="16" x14ac:dyDescent="0.2">
      <c r="B709" s="90">
        <v>705</v>
      </c>
      <c r="C709" s="91">
        <v>44980</v>
      </c>
      <c r="D709" s="92">
        <v>42.54</v>
      </c>
      <c r="E709" s="51" cm="1">
        <f t="array" ref="E7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287.18535987055014</v>
      </c>
      <c r="F709" s="49" cm="1">
        <f t="array" ref="F7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73.367673498741453</v>
      </c>
      <c r="G709" s="20">
        <f>tbl_Monitoring[[#This Row],[Area (km2)]]/4046.8564224*1000000</f>
        <v>10511.862927613212</v>
      </c>
      <c r="H709" s="20">
        <f>tbl_Monitoring[[#This Row],[Volume (MCM)]]/1233.4818375475*1000000</f>
        <v>232824.96031036286</v>
      </c>
      <c r="I709" s="40">
        <f>tbl_Monitoring[[#This Row],[Elevation (SRTM30-m)]]*3.280839895</f>
        <v>240.70759021800521</v>
      </c>
    </row>
    <row r="710" spans="2:9" ht="16" x14ac:dyDescent="0.2">
      <c r="B710" s="90">
        <v>706</v>
      </c>
      <c r="C710" s="91">
        <v>44985</v>
      </c>
      <c r="D710" s="92">
        <v>42.19</v>
      </c>
      <c r="E710" s="51" cm="1">
        <f t="array" ref="E7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284.73328327939589</v>
      </c>
      <c r="F710" s="49" cm="1">
        <f t="array" ref="F7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73.315234328179315</v>
      </c>
      <c r="G710" s="20">
        <f>tbl_Monitoring[[#This Row],[Area (km2)]]/4046.8564224*1000000</f>
        <v>10425.376044099705</v>
      </c>
      <c r="H710" s="20">
        <f>tbl_Monitoring[[#This Row],[Volume (MCM)]]/1233.4818375475*1000000</f>
        <v>230837.02946573071</v>
      </c>
      <c r="I710" s="40">
        <f>tbl_Monitoring[[#This Row],[Elevation (SRTM30-m)]]*3.280839895</f>
        <v>240.53554569516425</v>
      </c>
    </row>
    <row r="711" spans="2:9" ht="16" x14ac:dyDescent="0.2">
      <c r="B711" s="90">
        <v>707</v>
      </c>
      <c r="C711" s="91">
        <v>44990</v>
      </c>
      <c r="D711" s="92">
        <v>40.36</v>
      </c>
      <c r="E711" s="51" cm="1">
        <f t="array" ref="E7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271.9124256742179</v>
      </c>
      <c r="F711" s="49" cm="1">
        <f t="array" ref="F7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73.041052379240085</v>
      </c>
      <c r="G711" s="20">
        <f>tbl_Monitoring[[#This Row],[Area (km2)]]/4046.8564224*1000000</f>
        <v>9973.1731960147936</v>
      </c>
      <c r="H711" s="20">
        <f>tbl_Monitoring[[#This Row],[Volume (MCM)]]/1233.4818375475*1000000</f>
        <v>220442.99104951098</v>
      </c>
      <c r="I711" s="40">
        <f>tbl_Monitoring[[#This Row],[Elevation (SRTM30-m)]]*3.280839895</f>
        <v>239.63599861859555</v>
      </c>
    </row>
    <row r="712" spans="2:9" ht="16" x14ac:dyDescent="0.2">
      <c r="B712" s="90">
        <v>708</v>
      </c>
      <c r="C712" s="91">
        <v>44990</v>
      </c>
      <c r="D712" s="92">
        <v>40.6</v>
      </c>
      <c r="E712" s="51" cm="1">
        <f t="array" ref="E7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273.59384962243797</v>
      </c>
      <c r="F712" s="49" cm="1">
        <f t="array" ref="F7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73.077010667625558</v>
      </c>
      <c r="G712" s="20">
        <f>tbl_Monitoring[[#This Row],[Area (km2)]]/4046.8564224*1000000</f>
        <v>10032.478487566914</v>
      </c>
      <c r="H712" s="20">
        <f>tbl_Monitoring[[#This Row],[Volume (MCM)]]/1233.4818375475*1000000</f>
        <v>221806.14362868736</v>
      </c>
      <c r="I712" s="40">
        <f>tbl_Monitoring[[#This Row],[Elevation (SRTM30-m)]]*3.280839895</f>
        <v>239.75397200568653</v>
      </c>
    </row>
    <row r="713" spans="2:9" ht="16" x14ac:dyDescent="0.2">
      <c r="B713" s="90">
        <v>709</v>
      </c>
      <c r="C713" s="91">
        <v>44995</v>
      </c>
      <c r="D713" s="92">
        <v>39.979999999999997</v>
      </c>
      <c r="E713" s="51" cm="1">
        <f t="array" ref="E7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269.22698653690185</v>
      </c>
      <c r="F713" s="49" cm="1">
        <f t="array" ref="F7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72.980895737586735</v>
      </c>
      <c r="G713" s="20">
        <f>tbl_Monitoring[[#This Row],[Area (km2)]]/4046.8564224*1000000</f>
        <v>9879.2731510572703</v>
      </c>
      <c r="H713" s="20">
        <f>tbl_Monitoring[[#This Row],[Volume (MCM)]]/1233.4818375475*1000000</f>
        <v>218265.87010976902</v>
      </c>
      <c r="I713" s="40">
        <f>tbl_Monitoring[[#This Row],[Elevation (SRTM30-m)]]*3.280839895</f>
        <v>239.43863430871002</v>
      </c>
    </row>
    <row r="714" spans="2:9" ht="16" x14ac:dyDescent="0.2">
      <c r="B714" s="90">
        <v>710</v>
      </c>
      <c r="C714" s="91">
        <v>45000</v>
      </c>
      <c r="D714" s="92">
        <v>39.380000000000003</v>
      </c>
      <c r="E714" s="51" cm="1">
        <f t="array" ref="E7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264.89219334955396</v>
      </c>
      <c r="F714" s="49" cm="1">
        <f t="array" ref="F7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72.872758403172028</v>
      </c>
      <c r="G714" s="20">
        <f>tbl_Monitoring[[#This Row],[Area (km2)]]/4046.8564224*1000000</f>
        <v>9731.0099221769706</v>
      </c>
      <c r="H714" s="20">
        <f>tbl_Monitoring[[#This Row],[Volume (MCM)]]/1233.4818375475*1000000</f>
        <v>214751.59608043541</v>
      </c>
      <c r="I714" s="40">
        <f>tbl_Monitoring[[#This Row],[Elevation (SRTM30-m)]]*3.280839895</f>
        <v>239.0838530278233</v>
      </c>
    </row>
    <row r="715" spans="2:9" ht="16" x14ac:dyDescent="0.2">
      <c r="B715" s="90">
        <v>711</v>
      </c>
      <c r="C715" s="91">
        <v>45005</v>
      </c>
      <c r="D715" s="92">
        <v>39.32</v>
      </c>
      <c r="E715" s="51" cm="1">
        <f t="array" ref="E7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264.45871403081912</v>
      </c>
      <c r="F715" s="49" cm="1">
        <f t="array" ref="F7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72.861944669730562</v>
      </c>
      <c r="G715" s="20">
        <f>tbl_Monitoring[[#This Row],[Area (km2)]]/4046.8564224*1000000</f>
        <v>9716.183599288941</v>
      </c>
      <c r="H715" s="20">
        <f>tbl_Monitoring[[#This Row],[Volume (MCM)]]/1233.4818375475*1000000</f>
        <v>214400.16867750199</v>
      </c>
      <c r="I715" s="40">
        <f>tbl_Monitoring[[#This Row],[Elevation (SRTM30-m)]]*3.280839895</f>
        <v>239.04837489973463</v>
      </c>
    </row>
    <row r="716" spans="2:9" ht="16" x14ac:dyDescent="0.2">
      <c r="B716" s="90">
        <v>712</v>
      </c>
      <c r="C716" s="91">
        <v>45005</v>
      </c>
      <c r="D716" s="92">
        <v>39.42</v>
      </c>
      <c r="E716" s="51" cm="1">
        <f t="array" ref="E7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265.18117956204378</v>
      </c>
      <c r="F716" s="49" cm="1">
        <f t="array" ref="F7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72.879967558799677</v>
      </c>
      <c r="G716" s="20">
        <f>tbl_Monitoring[[#This Row],[Area (km2)]]/4046.8564224*1000000</f>
        <v>9740.8941374356582</v>
      </c>
      <c r="H716" s="20">
        <f>tbl_Monitoring[[#This Row],[Volume (MCM)]]/1233.4818375475*1000000</f>
        <v>214985.8810157243</v>
      </c>
      <c r="I716" s="40">
        <f>tbl_Monitoring[[#This Row],[Elevation (SRTM30-m)]]*3.280839895</f>
        <v>239.10750511321575</v>
      </c>
    </row>
    <row r="717" spans="2:9" ht="16" x14ac:dyDescent="0.2">
      <c r="B717" s="90">
        <v>713</v>
      </c>
      <c r="C717" s="91">
        <v>45010</v>
      </c>
      <c r="D717" s="92">
        <v>46.68</v>
      </c>
      <c r="E717" s="51" cm="1">
        <f t="array" ref="E7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316.18992297734627</v>
      </c>
      <c r="F717" s="49" cm="1">
        <f t="array" ref="F7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73.987953973390873</v>
      </c>
      <c r="G717" s="20">
        <f>tbl_Monitoring[[#This Row],[Area (km2)]]/4046.8564224*1000000</f>
        <v>11534.879206887277</v>
      </c>
      <c r="H717" s="20">
        <f>tbl_Monitoring[[#This Row],[Volume (MCM)]]/1233.4818375475*1000000</f>
        <v>256339.342301155</v>
      </c>
      <c r="I717" s="40">
        <f>tbl_Monitoring[[#This Row],[Elevation (SRTM30-m)]]*3.280839895</f>
        <v>242.74263114532457</v>
      </c>
    </row>
    <row r="718" spans="2:9" ht="16" x14ac:dyDescent="0.2">
      <c r="B718" s="90">
        <v>714</v>
      </c>
      <c r="C718" s="91">
        <v>45015</v>
      </c>
      <c r="D718" s="92">
        <v>46.83</v>
      </c>
      <c r="E718" s="51" cm="1">
        <f t="array" ref="E7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317.24118917042694</v>
      </c>
      <c r="F718" s="49" cm="1">
        <f t="array" ref="F7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74.008947510509472</v>
      </c>
      <c r="G718" s="20">
        <f>tbl_Monitoring[[#This Row],[Area (km2)]]/4046.8564224*1000000</f>
        <v>11571.945014107352</v>
      </c>
      <c r="H718" s="20">
        <f>tbl_Monitoring[[#This Row],[Volume (MCM)]]/1233.4818375475*1000000</f>
        <v>257191.61767407085</v>
      </c>
      <c r="I718" s="40">
        <f>tbl_Monitoring[[#This Row],[Elevation (SRTM30-m)]]*3.280839895</f>
        <v>242.81150757944042</v>
      </c>
    </row>
    <row r="719" spans="2:9" ht="16" x14ac:dyDescent="0.2">
      <c r="B719" s="90">
        <v>715</v>
      </c>
      <c r="C719" s="91">
        <v>45020</v>
      </c>
      <c r="D719" s="92">
        <v>47.61</v>
      </c>
      <c r="E719" s="51" cm="1">
        <f t="array" ref="E7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322.71003332176326</v>
      </c>
      <c r="F719" s="49" cm="1">
        <f t="array" ref="F7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74.109221335184543</v>
      </c>
      <c r="G719" s="20">
        <f>tbl_Monitoring[[#This Row],[Area (km2)]]/4046.8564224*1000000</f>
        <v>11764.687211651741</v>
      </c>
      <c r="H719" s="20">
        <f>tbl_Monitoring[[#This Row],[Volume (MCM)]]/1233.4818375475*1000000</f>
        <v>261625.28178234005</v>
      </c>
      <c r="I719" s="40">
        <f>tbl_Monitoring[[#This Row],[Elevation (SRTM30-m)]]*3.280839895</f>
        <v>243.14048994385863</v>
      </c>
    </row>
    <row r="720" spans="2:9" ht="16" x14ac:dyDescent="0.2">
      <c r="B720" s="90">
        <v>716</v>
      </c>
      <c r="C720" s="91">
        <v>45025</v>
      </c>
      <c r="D720" s="92">
        <v>47.98</v>
      </c>
      <c r="E720" s="51" cm="1">
        <f t="array" ref="E7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325.30422862432027</v>
      </c>
      <c r="F720" s="49" cm="1">
        <f t="array" ref="F7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74.156787123812464</v>
      </c>
      <c r="G720" s="20">
        <f>tbl_Monitoring[[#This Row],[Area (km2)]]/4046.8564224*1000000</f>
        <v>11856.116202794592</v>
      </c>
      <c r="H720" s="20">
        <f>tbl_Monitoring[[#This Row],[Volume (MCM)]]/1233.4818375475*1000000</f>
        <v>263728.43014139088</v>
      </c>
      <c r="I720" s="40">
        <f>tbl_Monitoring[[#This Row],[Elevation (SRTM30-m)]]*3.280839895</f>
        <v>243.29654568082626</v>
      </c>
    </row>
    <row r="721" spans="2:9" ht="16" x14ac:dyDescent="0.2">
      <c r="B721" s="90">
        <v>717</v>
      </c>
      <c r="C721" s="91">
        <v>45030</v>
      </c>
      <c r="D721" s="92">
        <v>46.95</v>
      </c>
      <c r="E721" s="51" cm="1">
        <f t="array" ref="E7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318.08254980909408</v>
      </c>
      <c r="F721" s="49" cm="1">
        <f t="array" ref="F7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74.024374252767174</v>
      </c>
      <c r="G721" s="20">
        <f>tbl_Monitoring[[#This Row],[Area (km2)]]/4046.8564224*1000000</f>
        <v>11601.597659883413</v>
      </c>
      <c r="H721" s="20">
        <f>tbl_Monitoring[[#This Row],[Volume (MCM)]]/1233.4818375475*1000000</f>
        <v>257873.71984457379</v>
      </c>
      <c r="I721" s="40">
        <f>tbl_Monitoring[[#This Row],[Elevation (SRTM30-m)]]*3.280839895</f>
        <v>242.86212025088938</v>
      </c>
    </row>
    <row r="722" spans="2:9" ht="16" x14ac:dyDescent="0.2">
      <c r="B722" s="90">
        <v>718</v>
      </c>
      <c r="C722" s="91">
        <v>45035</v>
      </c>
      <c r="D722" s="92">
        <v>45.89</v>
      </c>
      <c r="E722" s="51" cm="1">
        <f t="array" ref="E7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310.65523581445524</v>
      </c>
      <c r="F722" s="49" cm="1">
        <f t="array" ref="F7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73.869591274122016</v>
      </c>
      <c r="G722" s="20">
        <f>tbl_Monitoring[[#This Row],[Area (km2)]]/4046.8564224*1000000</f>
        <v>11339.665955528219</v>
      </c>
      <c r="H722" s="20">
        <f>tbl_Monitoring[[#This Row],[Volume (MCM)]]/1233.4818375475*1000000</f>
        <v>251852.29839469952</v>
      </c>
      <c r="I722" s="40">
        <f>tbl_Monitoring[[#This Row],[Elevation (SRTM30-m)]]*3.280839895</f>
        <v>242.3543020794834</v>
      </c>
    </row>
    <row r="723" spans="2:9" ht="16" x14ac:dyDescent="0.2">
      <c r="B723" s="90">
        <v>719</v>
      </c>
      <c r="C723" s="91">
        <v>45040</v>
      </c>
      <c r="D723" s="92">
        <v>61.74</v>
      </c>
      <c r="E723" s="51" cm="1">
        <f t="array" ref="E7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424.76266655709895</v>
      </c>
      <c r="F723" s="49" cm="1">
        <f t="array" ref="F7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75.84837238893013</v>
      </c>
      <c r="G723" s="20">
        <f>tbl_Monitoring[[#This Row],[Area (km2)]]/4046.8564224*1000000</f>
        <v>15256.286251782789</v>
      </c>
      <c r="H723" s="20">
        <f>tbl_Monitoring[[#This Row],[Volume (MCM)]]/1233.4818375475*1000000</f>
        <v>344360.69800723094</v>
      </c>
      <c r="I723" s="40">
        <f>tbl_Monitoring[[#This Row],[Elevation (SRTM30-m)]]*3.280839895</f>
        <v>248.84636610441845</v>
      </c>
    </row>
    <row r="724" spans="2:9" ht="16" x14ac:dyDescent="0.2">
      <c r="B724" s="90">
        <v>720</v>
      </c>
      <c r="C724" s="91">
        <v>45050</v>
      </c>
      <c r="D724" s="92">
        <v>55.83</v>
      </c>
      <c r="E724" s="51" cm="1">
        <f t="array" ref="E7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380.87789293818258</v>
      </c>
      <c r="F724" s="49" cm="1">
        <f t="array" ref="F7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75.152087088679181</v>
      </c>
      <c r="G724" s="20">
        <f>tbl_Monitoring[[#This Row],[Area (km2)]]/4046.8564224*1000000</f>
        <v>13795.893447311841</v>
      </c>
      <c r="H724" s="20">
        <f>tbl_Monitoring[[#This Row],[Volume (MCM)]]/1233.4818375475*1000000</f>
        <v>308782.73302789137</v>
      </c>
      <c r="I724" s="40">
        <f>tbl_Monitoring[[#This Row],[Elevation (SRTM30-m)]]*3.280839895</f>
        <v>246.56196551305308</v>
      </c>
    </row>
    <row r="725" spans="2:9" ht="16" x14ac:dyDescent="0.2">
      <c r="B725" s="90">
        <v>721</v>
      </c>
      <c r="C725" s="91">
        <v>45055</v>
      </c>
      <c r="D725" s="92">
        <v>53.67</v>
      </c>
      <c r="E725" s="51" cm="1">
        <f t="array" ref="E7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365.19874557445337</v>
      </c>
      <c r="F725" s="49" cm="1">
        <f t="array" ref="F7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74.888271819198579</v>
      </c>
      <c r="G725" s="20">
        <f>tbl_Monitoring[[#This Row],[Area (km2)]]/4046.8564224*1000000</f>
        <v>13262.145823342764</v>
      </c>
      <c r="H725" s="20">
        <f>tbl_Monitoring[[#This Row],[Volume (MCM)]]/1233.4818375475*1000000</f>
        <v>296071.44139273959</v>
      </c>
      <c r="I725" s="40">
        <f>tbl_Monitoring[[#This Row],[Elevation (SRTM30-m)]]*3.280839895</f>
        <v>245.69642985203095</v>
      </c>
    </row>
    <row r="726" spans="2:9" ht="16" x14ac:dyDescent="0.2">
      <c r="B726" s="90">
        <v>722</v>
      </c>
      <c r="C726" s="91">
        <v>45060</v>
      </c>
      <c r="D726" s="92">
        <v>53.66</v>
      </c>
      <c r="E726" s="51" cm="1">
        <f t="array" ref="E7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365.12863218789772</v>
      </c>
      <c r="F726" s="49" cm="1">
        <f t="array" ref="F7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74.886986257343779</v>
      </c>
      <c r="G726" s="20">
        <f>tbl_Monitoring[[#This Row],[Area (km2)]]/4046.8564224*1000000</f>
        <v>13259.674769528092</v>
      </c>
      <c r="H726" s="20">
        <f>tbl_Monitoring[[#This Row],[Volume (MCM)]]/1233.4818375475*1000000</f>
        <v>296014.59954519768</v>
      </c>
      <c r="I726" s="40">
        <f>tbl_Monitoring[[#This Row],[Elevation (SRTM30-m)]]*3.280839895</f>
        <v>245.69221212941022</v>
      </c>
    </row>
    <row r="727" spans="2:9" ht="16" x14ac:dyDescent="0.2">
      <c r="B727" s="90">
        <v>723</v>
      </c>
      <c r="C727" s="91">
        <v>45070</v>
      </c>
      <c r="D727" s="92">
        <v>54.02</v>
      </c>
      <c r="E727" s="51" cm="1">
        <f t="array" ref="E7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367.65271410389914</v>
      </c>
      <c r="F727" s="49" cm="1">
        <f t="array" ref="F7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74.933266484116885</v>
      </c>
      <c r="G727" s="20">
        <f>tbl_Monitoring[[#This Row],[Area (km2)]]/4046.8564224*1000000</f>
        <v>13348.632706856273</v>
      </c>
      <c r="H727" s="20">
        <f>tbl_Monitoring[[#This Row],[Volume (MCM)]]/1233.4818375475*1000000</f>
        <v>298060.90605670656</v>
      </c>
      <c r="I727" s="40">
        <f>tbl_Monitoring[[#This Row],[Elevation (SRTM30-m)]]*3.280839895</f>
        <v>245.84405014375707</v>
      </c>
    </row>
    <row r="728" spans="2:9" ht="16" x14ac:dyDescent="0.2">
      <c r="B728" s="90">
        <v>724</v>
      </c>
      <c r="C728" s="91">
        <v>45080</v>
      </c>
      <c r="D728" s="92">
        <v>52.17</v>
      </c>
      <c r="E728" s="51" cm="1">
        <f t="array" ref="E7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354.68173759111426</v>
      </c>
      <c r="F728" s="49" cm="1">
        <f t="array" ref="F7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74.695437540977281</v>
      </c>
      <c r="G728" s="20">
        <f>tbl_Monitoring[[#This Row],[Area (km2)]]/4046.8564224*1000000</f>
        <v>12891.487751142015</v>
      </c>
      <c r="H728" s="20">
        <f>tbl_Monitoring[[#This Row],[Volume (MCM)]]/1233.4818375475*1000000</f>
        <v>287545.16426145262</v>
      </c>
      <c r="I728" s="40">
        <f>tbl_Monitoring[[#This Row],[Elevation (SRTM30-m)]]*3.280839895</f>
        <v>245.06377145891898</v>
      </c>
    </row>
    <row r="729" spans="2:9" ht="16" x14ac:dyDescent="0.2">
      <c r="B729" s="90">
        <v>725</v>
      </c>
      <c r="C729" s="91">
        <v>45085</v>
      </c>
      <c r="D729" s="92">
        <v>53.37</v>
      </c>
      <c r="E729" s="51" cm="1">
        <f t="array" ref="E7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363.09534397778549</v>
      </c>
      <c r="F729" s="49" cm="1">
        <f t="array" ref="F7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74.849704963554316</v>
      </c>
      <c r="G729" s="20">
        <f>tbl_Monitoring[[#This Row],[Area (km2)]]/4046.8564224*1000000</f>
        <v>13188.014208902614</v>
      </c>
      <c r="H729" s="20">
        <f>tbl_Monitoring[[#This Row],[Volume (MCM)]]/1233.4818375475*1000000</f>
        <v>294366.18596648215</v>
      </c>
      <c r="I729" s="40">
        <f>tbl_Monitoring[[#This Row],[Elevation (SRTM30-m)]]*3.280839895</f>
        <v>245.56989817340855</v>
      </c>
    </row>
    <row r="730" spans="2:9" ht="16" x14ac:dyDescent="0.2">
      <c r="B730" s="90">
        <v>726</v>
      </c>
      <c r="C730" s="91">
        <v>45090</v>
      </c>
      <c r="D730" s="92">
        <v>54.12</v>
      </c>
      <c r="E730" s="51" cm="1">
        <f t="array" ref="E7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368.35384796945505</v>
      </c>
      <c r="F730" s="49" cm="1">
        <f t="array" ref="F7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74.946122102664972</v>
      </c>
      <c r="G730" s="20">
        <f>tbl_Monitoring[[#This Row],[Area (km2)]]/4046.8564224*1000000</f>
        <v>13373.343245002989</v>
      </c>
      <c r="H730" s="20">
        <f>tbl_Monitoring[[#This Row],[Volume (MCM)]]/1233.4818375475*1000000</f>
        <v>298629.32453212567</v>
      </c>
      <c r="I730" s="40">
        <f>tbl_Monitoring[[#This Row],[Elevation (SRTM30-m)]]*3.280839895</f>
        <v>245.88622736996453</v>
      </c>
    </row>
    <row r="731" spans="2:9" ht="16" x14ac:dyDescent="0.2">
      <c r="B731" s="90">
        <v>727</v>
      </c>
      <c r="C731" s="91">
        <v>45095</v>
      </c>
      <c r="D731" s="92">
        <v>53.71</v>
      </c>
      <c r="E731" s="51" cm="1">
        <f t="array" ref="E7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365.47919912067573</v>
      </c>
      <c r="F731" s="49" cm="1">
        <f t="array" ref="F7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74.893414066617822</v>
      </c>
      <c r="G731" s="20">
        <f>tbl_Monitoring[[#This Row],[Area (km2)]]/4046.8564224*1000000</f>
        <v>13272.030038601451</v>
      </c>
      <c r="H731" s="20">
        <f>tbl_Monitoring[[#This Row],[Volume (MCM)]]/1233.4818375475*1000000</f>
        <v>296298.8087829072</v>
      </c>
      <c r="I731" s="40">
        <f>tbl_Monitoring[[#This Row],[Elevation (SRTM30-m)]]*3.280839895</f>
        <v>245.71330074251395</v>
      </c>
    </row>
    <row r="732" spans="2:9" ht="16" x14ac:dyDescent="0.2">
      <c r="B732" s="90">
        <v>728</v>
      </c>
      <c r="C732" s="91">
        <v>45100</v>
      </c>
      <c r="D732" s="92">
        <v>53.51</v>
      </c>
      <c r="E732" s="51" cm="1">
        <f t="array" ref="E7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364.07693138956381</v>
      </c>
      <c r="F732" s="49" cm="1">
        <f t="array" ref="F7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74.867702829521647</v>
      </c>
      <c r="G732" s="20">
        <f>tbl_Monitoring[[#This Row],[Area (km2)]]/4046.8564224*1000000</f>
        <v>13222.608962308017</v>
      </c>
      <c r="H732" s="20">
        <f>tbl_Monitoring[[#This Row],[Volume (MCM)]]/1233.4818375475*1000000</f>
        <v>295161.97183206893</v>
      </c>
      <c r="I732" s="40">
        <f>tbl_Monitoring[[#This Row],[Elevation (SRTM30-m)]]*3.280839895</f>
        <v>245.62894629009901</v>
      </c>
    </row>
    <row r="733" spans="2:9" ht="16" x14ac:dyDescent="0.2">
      <c r="B733" s="90">
        <v>729</v>
      </c>
      <c r="C733" s="91">
        <v>45105</v>
      </c>
      <c r="D733" s="92">
        <v>53.26</v>
      </c>
      <c r="E733" s="51" cm="1">
        <f t="array" ref="E7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362.32409672567394</v>
      </c>
      <c r="F733" s="49" cm="1">
        <f t="array" ref="F7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74.835563783151429</v>
      </c>
      <c r="G733" s="20">
        <f>tbl_Monitoring[[#This Row],[Area (km2)]]/4046.8564224*1000000</f>
        <v>13160.832616941225</v>
      </c>
      <c r="H733" s="20">
        <f>tbl_Monitoring[[#This Row],[Volume (MCM)]]/1233.4818375475*1000000</f>
        <v>293740.92564352113</v>
      </c>
      <c r="I733" s="40">
        <f>tbl_Monitoring[[#This Row],[Elevation (SRTM30-m)]]*3.280839895</f>
        <v>245.52350322458034</v>
      </c>
    </row>
    <row r="734" spans="2:9" ht="16" x14ac:dyDescent="0.2">
      <c r="B734" s="90">
        <v>730</v>
      </c>
      <c r="C734" s="91">
        <v>45110</v>
      </c>
      <c r="D734" s="92">
        <v>52.23</v>
      </c>
      <c r="E734" s="51" cm="1">
        <f t="array" ref="E7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355.10241791044774</v>
      </c>
      <c r="F734" s="49" cm="1">
        <f t="array" ref="F7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74.703150912106139</v>
      </c>
      <c r="G734" s="20">
        <f>tbl_Monitoring[[#This Row],[Area (km2)]]/4046.8564224*1000000</f>
        <v>12906.314074030044</v>
      </c>
      <c r="H734" s="20">
        <f>tbl_Monitoring[[#This Row],[Volume (MCM)]]/1233.4818375475*1000000</f>
        <v>287886.215346704</v>
      </c>
      <c r="I734" s="40">
        <f>tbl_Monitoring[[#This Row],[Elevation (SRTM30-m)]]*3.280839895</f>
        <v>245.08907779464346</v>
      </c>
    </row>
    <row r="735" spans="2:9" ht="16" x14ac:dyDescent="0.2">
      <c r="B735" s="90">
        <v>731</v>
      </c>
      <c r="C735" s="91">
        <v>45115</v>
      </c>
      <c r="D735" s="92">
        <v>51.89</v>
      </c>
      <c r="E735" s="51" cm="1">
        <f t="array" ref="E7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352.71856276755761</v>
      </c>
      <c r="F735" s="49" cm="1">
        <f t="array" ref="F7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74.659441809042647</v>
      </c>
      <c r="G735" s="20">
        <f>tbl_Monitoring[[#This Row],[Area (km2)]]/4046.8564224*1000000</f>
        <v>12822.298244331208</v>
      </c>
      <c r="H735" s="20">
        <f>tbl_Monitoring[[#This Row],[Volume (MCM)]]/1233.4818375475*1000000</f>
        <v>285953.59253027901</v>
      </c>
      <c r="I735" s="40">
        <f>tbl_Monitoring[[#This Row],[Elevation (SRTM30-m)]]*3.280839895</f>
        <v>244.94567522553811</v>
      </c>
    </row>
    <row r="736" spans="2:9" ht="16" x14ac:dyDescent="0.2">
      <c r="B736" s="90">
        <v>732</v>
      </c>
      <c r="C736" s="91">
        <v>45120</v>
      </c>
      <c r="D736" s="92">
        <v>49.83</v>
      </c>
      <c r="E736" s="51" cm="1">
        <f t="array" ref="E7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338.27520513710516</v>
      </c>
      <c r="F736" s="49" cm="1">
        <f t="array" ref="F7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74.394616066952068</v>
      </c>
      <c r="G736" s="20">
        <f>tbl_Monitoring[[#This Row],[Area (km2)]]/4046.8564224*1000000</f>
        <v>12313.261158508847</v>
      </c>
      <c r="H736" s="20">
        <f>tbl_Monitoring[[#This Row],[Volume (MCM)]]/1233.4818375475*1000000</f>
        <v>274244.17193664482</v>
      </c>
      <c r="I736" s="40">
        <f>tbl_Monitoring[[#This Row],[Elevation (SRTM30-m)]]*3.280839895</f>
        <v>244.07682436566435</v>
      </c>
    </row>
    <row r="737" spans="2:9" ht="16" x14ac:dyDescent="0.2">
      <c r="B737" s="90">
        <v>733</v>
      </c>
      <c r="C737" s="91">
        <v>45125</v>
      </c>
      <c r="D737" s="92">
        <v>49.07</v>
      </c>
      <c r="E737" s="51" cm="1">
        <f t="array" ref="E7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332.94658775888001</v>
      </c>
      <c r="F737" s="49" cm="1">
        <f t="array" ref="F7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74.296913365986612</v>
      </c>
      <c r="G737" s="20">
        <f>tbl_Monitoring[[#This Row],[Area (km2)]]/4046.8564224*1000000</f>
        <v>12125.461068593802</v>
      </c>
      <c r="H737" s="20">
        <f>tbl_Monitoring[[#This Row],[Volume (MCM)]]/1233.4818375475*1000000</f>
        <v>269924.19152345945</v>
      </c>
      <c r="I737" s="40">
        <f>tbl_Monitoring[[#This Row],[Elevation (SRTM30-m)]]*3.280839895</f>
        <v>243.75627744648762</v>
      </c>
    </row>
    <row r="738" spans="2:9" ht="16" x14ac:dyDescent="0.2">
      <c r="B738" s="90">
        <v>734</v>
      </c>
      <c r="C738" s="91">
        <v>45150</v>
      </c>
      <c r="D738" s="92">
        <v>54.39</v>
      </c>
      <c r="E738" s="51" cm="1">
        <f t="array" ref="E7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370.2469094064561</v>
      </c>
      <c r="F738" s="49" cm="1">
        <f t="array" ref="F7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74.980832272744806</v>
      </c>
      <c r="G738" s="20">
        <f>tbl_Monitoring[[#This Row],[Area (km2)]]/4046.8564224*1000000</f>
        <v>13440.061697999123</v>
      </c>
      <c r="H738" s="20">
        <f>tbl_Monitoring[[#This Row],[Volume (MCM)]]/1233.4818375475*1000000</f>
        <v>300164.0544157573</v>
      </c>
      <c r="I738" s="40">
        <f>tbl_Monitoring[[#This Row],[Elevation (SRTM30-m)]]*3.280839895</f>
        <v>246.0001058807247</v>
      </c>
    </row>
    <row r="739" spans="2:9" ht="16" x14ac:dyDescent="0.2">
      <c r="B739" s="90">
        <v>735</v>
      </c>
      <c r="C739" s="91">
        <v>45155</v>
      </c>
      <c r="D739" s="92">
        <v>54.39</v>
      </c>
      <c r="E739" s="51" cm="1">
        <f t="array" ref="E7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370.2469094064561</v>
      </c>
      <c r="F739" s="49" cm="1">
        <f t="array" ref="F7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74.980832272744806</v>
      </c>
      <c r="G739" s="20">
        <f>tbl_Monitoring[[#This Row],[Area (km2)]]/4046.8564224*1000000</f>
        <v>13440.061697999123</v>
      </c>
      <c r="H739" s="20">
        <f>tbl_Monitoring[[#This Row],[Volume (MCM)]]/1233.4818375475*1000000</f>
        <v>300164.0544157573</v>
      </c>
      <c r="I739" s="40">
        <f>tbl_Monitoring[[#This Row],[Elevation (SRTM30-m)]]*3.280839895</f>
        <v>246.0001058807247</v>
      </c>
    </row>
    <row r="740" spans="2:9" ht="16" x14ac:dyDescent="0.2">
      <c r="B740" s="90">
        <v>736</v>
      </c>
      <c r="C740" s="91">
        <v>45160</v>
      </c>
      <c r="D740" s="92">
        <v>53.08</v>
      </c>
      <c r="E740" s="51" cm="1">
        <f t="array" ref="E7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361.06205576767326</v>
      </c>
      <c r="F740" s="49" cm="1">
        <f t="array" ref="F7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74.812423669764868</v>
      </c>
      <c r="G740" s="20">
        <f>tbl_Monitoring[[#This Row],[Area (km2)]]/4046.8564224*1000000</f>
        <v>13116.353648277136</v>
      </c>
      <c r="H740" s="20">
        <f>tbl_Monitoring[[#This Row],[Volume (MCM)]]/1233.4818375475*1000000</f>
        <v>292717.77238776663</v>
      </c>
      <c r="I740" s="40">
        <f>tbl_Monitoring[[#This Row],[Elevation (SRTM30-m)]]*3.280839895</f>
        <v>245.4475842174069</v>
      </c>
    </row>
    <row r="741" spans="2:9" ht="16" x14ac:dyDescent="0.2">
      <c r="B741" s="90">
        <v>737</v>
      </c>
      <c r="C741" s="91">
        <v>45165</v>
      </c>
      <c r="D741" s="92">
        <v>52.7</v>
      </c>
      <c r="E741" s="51" cm="1">
        <f t="array" ref="E7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358.39774707856071</v>
      </c>
      <c r="F741" s="49" cm="1">
        <f t="array" ref="F7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74.763572319282147</v>
      </c>
      <c r="G741" s="20">
        <f>tbl_Monitoring[[#This Row],[Area (km2)]]/4046.8564224*1000000</f>
        <v>13022.453603319615</v>
      </c>
      <c r="H741" s="20">
        <f>tbl_Monitoring[[#This Row],[Volume (MCM)]]/1233.4818375475*1000000</f>
        <v>290557.78218117397</v>
      </c>
      <c r="I741" s="40">
        <f>tbl_Monitoring[[#This Row],[Elevation (SRTM30-m)]]*3.280839895</f>
        <v>245.28731075781855</v>
      </c>
    </row>
    <row r="742" spans="2:9" ht="16" x14ac:dyDescent="0.2">
      <c r="B742" s="90">
        <v>738</v>
      </c>
      <c r="C742" s="91">
        <v>45175</v>
      </c>
      <c r="D742" s="92">
        <v>51.98</v>
      </c>
      <c r="E742" s="51" cm="1">
        <f t="array" ref="E7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353.34958324655793</v>
      </c>
      <c r="F742" s="49" cm="1">
        <f t="array" ref="F7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74.67101186573592</v>
      </c>
      <c r="G742" s="20">
        <f>tbl_Monitoring[[#This Row],[Area (km2)]]/4046.8564224*1000000</f>
        <v>12844.537728663252</v>
      </c>
      <c r="H742" s="20">
        <f>tbl_Monitoring[[#This Row],[Volume (MCM)]]/1233.4818375475*1000000</f>
        <v>286465.1691581562</v>
      </c>
      <c r="I742" s="40">
        <f>tbl_Monitoring[[#This Row],[Elevation (SRTM30-m)]]*3.280839895</f>
        <v>244.98363472912482</v>
      </c>
    </row>
    <row r="743" spans="2:9" ht="16" x14ac:dyDescent="0.2">
      <c r="B743" s="90">
        <v>739</v>
      </c>
      <c r="C743" s="91">
        <v>45180</v>
      </c>
      <c r="D743" s="92">
        <v>50.38</v>
      </c>
      <c r="E743" s="51" cm="1">
        <f t="array" ref="E7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342.13144139766291</v>
      </c>
      <c r="F743" s="49" cm="1">
        <f t="array" ref="F7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74.465321968966535</v>
      </c>
      <c r="G743" s="20">
        <f>tbl_Monitoring[[#This Row],[Area (km2)]]/4046.8564224*1000000</f>
        <v>12449.169118315791</v>
      </c>
      <c r="H743" s="20">
        <f>tbl_Monitoring[[#This Row],[Volume (MCM)]]/1233.4818375475*1000000</f>
        <v>277370.47355145012</v>
      </c>
      <c r="I743" s="40">
        <f>tbl_Monitoring[[#This Row],[Elevation (SRTM30-m)]]*3.280839895</f>
        <v>244.30879910980536</v>
      </c>
    </row>
    <row r="744" spans="2:9" ht="16" x14ac:dyDescent="0.2">
      <c r="B744" s="90">
        <v>740</v>
      </c>
      <c r="C744" s="91">
        <v>45185</v>
      </c>
      <c r="D744" s="92">
        <v>50.58</v>
      </c>
      <c r="E744" s="51" cm="1">
        <f t="array" ref="E7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343.53370912877472</v>
      </c>
      <c r="F744" s="49" cm="1">
        <f t="array" ref="F7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74.49103320606271</v>
      </c>
      <c r="G744" s="20">
        <f>tbl_Monitoring[[#This Row],[Area (km2)]]/4046.8564224*1000000</f>
        <v>12498.590194609222</v>
      </c>
      <c r="H744" s="20">
        <f>tbl_Monitoring[[#This Row],[Volume (MCM)]]/1233.4818375475*1000000</f>
        <v>278507.31050228834</v>
      </c>
      <c r="I744" s="40">
        <f>tbl_Monitoring[[#This Row],[Elevation (SRTM30-m)]]*3.280839895</f>
        <v>244.39315356222031</v>
      </c>
    </row>
    <row r="745" spans="2:9" ht="16" x14ac:dyDescent="0.2">
      <c r="B745" s="90">
        <v>741</v>
      </c>
      <c r="C745" s="91">
        <v>45190</v>
      </c>
      <c r="D745" s="92">
        <v>49.11</v>
      </c>
      <c r="E745" s="51" cm="1">
        <f t="array" ref="E7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333.22704130510243</v>
      </c>
      <c r="F745" s="49" cm="1">
        <f t="array" ref="F7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74.302055613405841</v>
      </c>
      <c r="G745" s="20">
        <f>tbl_Monitoring[[#This Row],[Area (km2)]]/4046.8564224*1000000</f>
        <v>12135.345283852488</v>
      </c>
      <c r="H745" s="20">
        <f>tbl_Monitoring[[#This Row],[Volume (MCM)]]/1233.4818375475*1000000</f>
        <v>270151.55891362706</v>
      </c>
      <c r="I745" s="40">
        <f>tbl_Monitoring[[#This Row],[Elevation (SRTM30-m)]]*3.280839895</f>
        <v>243.77314833697059</v>
      </c>
    </row>
    <row r="746" spans="2:9" ht="16" x14ac:dyDescent="0.2">
      <c r="B746" s="90">
        <v>742</v>
      </c>
      <c r="C746" s="91">
        <v>45195</v>
      </c>
      <c r="D746" s="92">
        <v>48.61</v>
      </c>
      <c r="E746" s="51" cm="1">
        <f t="array" ref="E7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329.72137197732269</v>
      </c>
      <c r="F746" s="49" cm="1">
        <f t="array" ref="F7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74.237777520665404</v>
      </c>
      <c r="G746" s="20">
        <f>tbl_Monitoring[[#This Row],[Area (km2)]]/4046.8564224*1000000</f>
        <v>12011.792593118907</v>
      </c>
      <c r="H746" s="20">
        <f>tbl_Monitoring[[#This Row],[Volume (MCM)]]/1233.4818375475*1000000</f>
        <v>267309.4665365314</v>
      </c>
      <c r="I746" s="40">
        <f>tbl_Monitoring[[#This Row],[Elevation (SRTM30-m)]]*3.280839895</f>
        <v>243.56226220593325</v>
      </c>
    </row>
    <row r="747" spans="2:9" ht="16" x14ac:dyDescent="0.2">
      <c r="B747" s="90">
        <v>743</v>
      </c>
      <c r="C747" s="91">
        <v>45200</v>
      </c>
      <c r="D747" s="92">
        <v>46.83</v>
      </c>
      <c r="E747" s="51" cm="1">
        <f t="array" ref="E7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317.24118917042694</v>
      </c>
      <c r="F747" s="49" cm="1">
        <f t="array" ref="F7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74.008947510509472</v>
      </c>
      <c r="G747" s="20">
        <f>tbl_Monitoring[[#This Row],[Area (km2)]]/4046.8564224*1000000</f>
        <v>11571.945014107352</v>
      </c>
      <c r="H747" s="20">
        <f>tbl_Monitoring[[#This Row],[Volume (MCM)]]/1233.4818375475*1000000</f>
        <v>257191.61767407085</v>
      </c>
      <c r="I747" s="40">
        <f>tbl_Monitoring[[#This Row],[Elevation (SRTM30-m)]]*3.280839895</f>
        <v>242.81150757944042</v>
      </c>
    </row>
    <row r="748" spans="2:9" ht="16" x14ac:dyDescent="0.2">
      <c r="B748" s="90">
        <v>744</v>
      </c>
      <c r="C748" s="91">
        <v>45205</v>
      </c>
      <c r="D748" s="92">
        <v>46.19</v>
      </c>
      <c r="E748" s="51" cm="1">
        <f t="array" ref="E7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312.75701574973033</v>
      </c>
      <c r="F748" s="49" cm="1">
        <f t="array" ref="F7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73.914539134603856</v>
      </c>
      <c r="G748" s="20">
        <f>tbl_Monitoring[[#This Row],[Area (km2)]]/4046.8564224*1000000</f>
        <v>11413.797569968367</v>
      </c>
      <c r="H748" s="20">
        <f>tbl_Monitoring[[#This Row],[Volume (MCM)]]/1233.4818375475*1000000</f>
        <v>253556.23911866997</v>
      </c>
      <c r="I748" s="40">
        <f>tbl_Monitoring[[#This Row],[Elevation (SRTM30-m)]]*3.280839895</f>
        <v>242.50176881334713</v>
      </c>
    </row>
    <row r="749" spans="2:9" ht="16" x14ac:dyDescent="0.2">
      <c r="B749" s="90">
        <v>745</v>
      </c>
      <c r="C749" s="91">
        <v>45210</v>
      </c>
      <c r="D749" s="92">
        <v>44.57</v>
      </c>
      <c r="E749" s="51" cm="1">
        <f t="array" ref="E7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301.4074040992449</v>
      </c>
      <c r="F749" s="49" cm="1">
        <f t="array" ref="F7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73.671820688001915</v>
      </c>
      <c r="G749" s="20">
        <f>tbl_Monitoring[[#This Row],[Area (km2)]]/4046.8564224*1000000</f>
        <v>11013.486851991558</v>
      </c>
      <c r="H749" s="20">
        <f>tbl_Monitoring[[#This Row],[Volume (MCM)]]/1233.4818375475*1000000</f>
        <v>244354.95920922959</v>
      </c>
      <c r="I749" s="40">
        <f>tbl_Monitoring[[#This Row],[Elevation (SRTM30-m)]]*3.280839895</f>
        <v>241.70544845048303</v>
      </c>
    </row>
    <row r="750" spans="2:9" ht="16" x14ac:dyDescent="0.2">
      <c r="B750" s="90">
        <v>746</v>
      </c>
      <c r="C750" s="91">
        <v>45215</v>
      </c>
      <c r="D750" s="92">
        <v>44.23</v>
      </c>
      <c r="E750" s="51" cm="1">
        <f t="array" ref="E7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299.02538683926645</v>
      </c>
      <c r="F750" s="49" cm="1">
        <f t="array" ref="F7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73.620879779455834</v>
      </c>
      <c r="G750" s="20">
        <f>tbl_Monitoring[[#This Row],[Area (km2)]]/4046.8564224*1000000</f>
        <v>10929.471022292721</v>
      </c>
      <c r="H750" s="20">
        <f>tbl_Monitoring[[#This Row],[Volume (MCM)]]/1233.4818375475*1000000</f>
        <v>242423.82638872974</v>
      </c>
      <c r="I750" s="40">
        <f>tbl_Monitoring[[#This Row],[Elevation (SRTM30-m)]]*3.280839895</f>
        <v>241.53831948543751</v>
      </c>
    </row>
    <row r="751" spans="2:9" ht="16" x14ac:dyDescent="0.2">
      <c r="B751" s="90">
        <v>747</v>
      </c>
      <c r="C751" s="91">
        <v>45220</v>
      </c>
      <c r="D751" s="92">
        <v>45.94</v>
      </c>
      <c r="E751" s="51" cm="1">
        <f t="array" ref="E7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311.0055324703344</v>
      </c>
      <c r="F751" s="49" cm="1">
        <f t="array" ref="F7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73.877082584202327</v>
      </c>
      <c r="G751" s="20">
        <f>tbl_Monitoring[[#This Row],[Area (km2)]]/4046.8564224*1000000</f>
        <v>11352.021224601576</v>
      </c>
      <c r="H751" s="20">
        <f>tbl_Monitoring[[#This Row],[Volume (MCM)]]/1233.4818375475*1000000</f>
        <v>252136.28851536123</v>
      </c>
      <c r="I751" s="40">
        <f>tbl_Monitoring[[#This Row],[Elevation (SRTM30-m)]]*3.280839895</f>
        <v>242.3788798684607</v>
      </c>
    </row>
    <row r="752" spans="2:9" ht="16" x14ac:dyDescent="0.2">
      <c r="B752" s="90">
        <v>748</v>
      </c>
      <c r="C752" s="91">
        <v>45225</v>
      </c>
      <c r="D752" s="92">
        <v>47.35</v>
      </c>
      <c r="E752" s="51" cm="1">
        <f t="array" ref="E7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320.88708527131786</v>
      </c>
      <c r="F752" s="49" cm="1">
        <f t="array" ref="F7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74.075796726959524</v>
      </c>
      <c r="G752" s="20">
        <f>tbl_Monitoring[[#This Row],[Area (km2)]]/4046.8564224*1000000</f>
        <v>11700.439812470278</v>
      </c>
      <c r="H752" s="20">
        <f>tbl_Monitoring[[#This Row],[Volume (MCM)]]/1233.4818375475*1000000</f>
        <v>260147.39374625034</v>
      </c>
      <c r="I752" s="40">
        <f>tbl_Monitoring[[#This Row],[Elevation (SRTM30-m)]]*3.280839895</f>
        <v>243.03082915571923</v>
      </c>
    </row>
    <row r="753" spans="2:9" ht="16" x14ac:dyDescent="0.2">
      <c r="B753" s="90">
        <v>749</v>
      </c>
      <c r="C753" s="91">
        <v>45230</v>
      </c>
      <c r="D753" s="92">
        <v>46.75</v>
      </c>
      <c r="E753" s="51" cm="1">
        <f t="array" ref="E7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316.68033829557714</v>
      </c>
      <c r="F753" s="49" cm="1">
        <f t="array" ref="F7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73.998441807503298</v>
      </c>
      <c r="G753" s="20">
        <f>tbl_Monitoring[[#This Row],[Area (km2)]]/4046.8564224*1000000</f>
        <v>11552.176583589979</v>
      </c>
      <c r="H753" s="20">
        <f>tbl_Monitoring[[#This Row],[Volume (MCM)]]/1233.4818375475*1000000</f>
        <v>256736.92847008145</v>
      </c>
      <c r="I753" s="40">
        <f>tbl_Monitoring[[#This Row],[Elevation (SRTM30-m)]]*3.280839895</f>
        <v>242.77704004989275</v>
      </c>
    </row>
    <row r="754" spans="2:9" ht="16" x14ac:dyDescent="0.2">
      <c r="B754" s="90">
        <v>750</v>
      </c>
      <c r="C754" s="91">
        <v>45235</v>
      </c>
      <c r="D754" s="92">
        <v>46.62</v>
      </c>
      <c r="E754" s="51" cm="1">
        <f t="array" ref="E7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315.76956699029125</v>
      </c>
      <c r="F754" s="49" cm="1">
        <f t="array" ref="F7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73.978964401294505</v>
      </c>
      <c r="G754" s="20">
        <f>tbl_Monitoring[[#This Row],[Area (km2)]]/4046.8564224*1000000</f>
        <v>11520.052883999246</v>
      </c>
      <c r="H754" s="20">
        <f>tbl_Monitoring[[#This Row],[Volume (MCM)]]/1233.4818375475*1000000</f>
        <v>255998.55415636091</v>
      </c>
      <c r="I754" s="40">
        <f>tbl_Monitoring[[#This Row],[Elevation (SRTM30-m)]]*3.280839895</f>
        <v>242.71313779855183</v>
      </c>
    </row>
    <row r="755" spans="2:9" ht="16" x14ac:dyDescent="0.2">
      <c r="B755" s="90">
        <v>751</v>
      </c>
      <c r="C755" s="91">
        <v>45240</v>
      </c>
      <c r="D755" s="92">
        <v>44.09</v>
      </c>
      <c r="E755" s="51" cm="1">
        <f t="array" ref="E7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298.04455620280476</v>
      </c>
      <c r="F755" s="49" cm="1">
        <f t="array" ref="F7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73.59990411123097</v>
      </c>
      <c r="G755" s="20">
        <f>tbl_Monitoring[[#This Row],[Area (km2)]]/4046.8564224*1000000</f>
        <v>10894.876268887319</v>
      </c>
      <c r="H755" s="20">
        <f>tbl_Monitoring[[#This Row],[Volume (MCM)]]/1233.4818375475*1000000</f>
        <v>241628.65405087685</v>
      </c>
      <c r="I755" s="40">
        <f>tbl_Monitoring[[#This Row],[Elevation (SRTM30-m)]]*3.280839895</f>
        <v>241.46950167630109</v>
      </c>
    </row>
    <row r="756" spans="2:9" ht="16" x14ac:dyDescent="0.2">
      <c r="B756" s="90">
        <v>752</v>
      </c>
      <c r="C756" s="91">
        <v>45245</v>
      </c>
      <c r="D756" s="92">
        <v>43.53</v>
      </c>
      <c r="E756" s="51" cm="1">
        <f t="array" ref="E7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294.12123365695794</v>
      </c>
      <c r="F756" s="49" cm="1">
        <f t="array" ref="F7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73.516001438331543</v>
      </c>
      <c r="G756" s="20">
        <f>tbl_Monitoring[[#This Row],[Area (km2)]]/4046.8564224*1000000</f>
        <v>10756.497255265707</v>
      </c>
      <c r="H756" s="20">
        <f>tbl_Monitoring[[#This Row],[Volume (MCM)]]/1233.4818375475*1000000</f>
        <v>238447.96469946534</v>
      </c>
      <c r="I756" s="40">
        <f>tbl_Monitoring[[#This Row],[Elevation (SRTM30-m)]]*3.280839895</f>
        <v>241.19423043975553</v>
      </c>
    </row>
    <row r="757" spans="2:9" ht="16" x14ac:dyDescent="0.2">
      <c r="B757" s="90">
        <v>753</v>
      </c>
      <c r="C757" s="91">
        <v>45250</v>
      </c>
      <c r="D757" s="92">
        <v>43.07</v>
      </c>
      <c r="E757" s="51" cm="1">
        <f t="array" ref="E7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290.89850442286945</v>
      </c>
      <c r="F757" s="49" cm="1">
        <f t="array" ref="F7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73.44708138559271</v>
      </c>
      <c r="G757" s="20">
        <f>tbl_Monitoring[[#This Row],[Area (km2)]]/4046.8564224*1000000</f>
        <v>10642.828779790812</v>
      </c>
      <c r="H757" s="20">
        <f>tbl_Monitoring[[#This Row],[Volume (MCM)]]/1233.4818375475*1000000</f>
        <v>235835.25558937731</v>
      </c>
      <c r="I757" s="40">
        <f>tbl_Monitoring[[#This Row],[Elevation (SRTM30-m)]]*3.280839895</f>
        <v>240.96811478116445</v>
      </c>
    </row>
    <row r="758" spans="2:9" ht="16" x14ac:dyDescent="0.2">
      <c r="B758" s="90">
        <v>754</v>
      </c>
      <c r="C758" s="91">
        <v>45260</v>
      </c>
      <c r="D758" s="92">
        <v>42.79</v>
      </c>
      <c r="E758" s="51" cm="1">
        <f t="array" ref="E7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288.93684314994607</v>
      </c>
      <c r="F758" s="49" cm="1">
        <f t="array" ref="F7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73.405130049142997</v>
      </c>
      <c r="G758" s="20">
        <f>tbl_Monitoring[[#This Row],[Area (km2)]]/4046.8564224*1000000</f>
        <v>10573.639272980005</v>
      </c>
      <c r="H758" s="20">
        <f>tbl_Monitoring[[#This Row],[Volume (MCM)]]/1233.4818375475*1000000</f>
        <v>234244.9109136716</v>
      </c>
      <c r="I758" s="40">
        <f>tbl_Monitoring[[#This Row],[Elevation (SRTM30-m)]]*3.280839895</f>
        <v>240.83047916289166</v>
      </c>
    </row>
    <row r="759" spans="2:9" ht="16" x14ac:dyDescent="0.2">
      <c r="B759" s="90">
        <v>755</v>
      </c>
      <c r="C759" s="91">
        <v>45270</v>
      </c>
      <c r="D759" s="92">
        <v>41.57</v>
      </c>
      <c r="E759" s="51" cm="1">
        <f t="array" ref="E7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280.38960474649406</v>
      </c>
      <c r="F759" s="49" cm="1">
        <f t="array" ref="F7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73.222342083183506</v>
      </c>
      <c r="G759" s="20">
        <f>tbl_Monitoring[[#This Row],[Area (km2)]]/4046.8564224*1000000</f>
        <v>10272.170707590063</v>
      </c>
      <c r="H759" s="20">
        <f>tbl_Monitoring[[#This Row],[Volume (MCM)]]/1233.4818375475*1000000</f>
        <v>227315.55196952511</v>
      </c>
      <c r="I759" s="40">
        <f>tbl_Monitoring[[#This Row],[Elevation (SRTM30-m)]]*3.280839895</f>
        <v>240.23078111184586</v>
      </c>
    </row>
    <row r="760" spans="2:9" ht="16" x14ac:dyDescent="0.2">
      <c r="B760" s="90">
        <v>756</v>
      </c>
      <c r="C760" s="91">
        <v>45275</v>
      </c>
      <c r="D760" s="92">
        <v>42.94</v>
      </c>
      <c r="E760" s="51" cm="1">
        <f t="array" ref="E7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289.98773311758362</v>
      </c>
      <c r="F760" s="49" cm="1">
        <f t="array" ref="F7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73.427603979383917</v>
      </c>
      <c r="G760" s="20">
        <f>tbl_Monitoring[[#This Row],[Area (km2)]]/4046.8564224*1000000</f>
        <v>10610.705080200079</v>
      </c>
      <c r="H760" s="20">
        <f>tbl_Monitoring[[#This Row],[Volume (MCM)]]/1233.4818375475*1000000</f>
        <v>235096.88127565684</v>
      </c>
      <c r="I760" s="40">
        <f>tbl_Monitoring[[#This Row],[Elevation (SRTM30-m)]]*3.280839895</f>
        <v>240.90421252982352</v>
      </c>
    </row>
    <row r="761" spans="2:9" ht="16" x14ac:dyDescent="0.2">
      <c r="B761" s="90">
        <v>757</v>
      </c>
      <c r="C761" s="91">
        <v>45280</v>
      </c>
      <c r="D761" s="92">
        <v>40.229999999999997</v>
      </c>
      <c r="E761" s="51" cm="1">
        <f t="array" ref="E7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271.00165436893201</v>
      </c>
      <c r="F761" s="49" cm="1">
        <f t="array" ref="F7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73.021574973031278</v>
      </c>
      <c r="G761" s="20">
        <f>tbl_Monitoring[[#This Row],[Area (km2)]]/4046.8564224*1000000</f>
        <v>9941.0494964240606</v>
      </c>
      <c r="H761" s="20">
        <f>tbl_Monitoring[[#This Row],[Volume (MCM)]]/1233.4818375475*1000000</f>
        <v>219704.61673579045</v>
      </c>
      <c r="I761" s="40">
        <f>tbl_Monitoring[[#This Row],[Elevation (SRTM30-m)]]*3.280839895</f>
        <v>239.57209636725457</v>
      </c>
    </row>
    <row r="762" spans="2:9" ht="16" x14ac:dyDescent="0.2">
      <c r="B762" s="90">
        <v>758</v>
      </c>
      <c r="C762" s="91">
        <v>45285</v>
      </c>
      <c r="D762" s="92">
        <v>39.69</v>
      </c>
      <c r="E762" s="51" cm="1">
        <f t="array" ref="E7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267.13183649635033</v>
      </c>
      <c r="F762" s="49" cm="1">
        <f t="array" ref="F7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72.92862935928629</v>
      </c>
      <c r="G762" s="20">
        <f>tbl_Monitoring[[#This Row],[Area (km2)]]/4046.8564224*1000000</f>
        <v>9807.6125904317923</v>
      </c>
      <c r="H762" s="20">
        <f>tbl_Monitoring[[#This Row],[Volume (MCM)]]/1233.4818375475*1000000</f>
        <v>216567.30432892442</v>
      </c>
      <c r="I762" s="40">
        <f>tbl_Monitoring[[#This Row],[Elevation (SRTM30-m)]]*3.280839895</f>
        <v>239.26715668961475</v>
      </c>
    </row>
    <row r="763" spans="2:9" ht="16" x14ac:dyDescent="0.2">
      <c r="B763" s="90">
        <v>759</v>
      </c>
      <c r="C763" s="91">
        <v>45290</v>
      </c>
      <c r="D763" s="92">
        <v>39.4</v>
      </c>
      <c r="E763" s="51" cm="1">
        <f t="array" ref="E7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265.03668645579887</v>
      </c>
      <c r="F763" s="49" cm="1">
        <f t="array" ref="F7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72.876362980985846</v>
      </c>
      <c r="G763" s="20">
        <f>tbl_Monitoring[[#This Row],[Area (km2)]]/4046.8564224*1000000</f>
        <v>9735.9520298063144</v>
      </c>
      <c r="H763" s="20">
        <f>tbl_Monitoring[[#This Row],[Volume (MCM)]]/1233.4818375475*1000000</f>
        <v>214868.73854807985</v>
      </c>
      <c r="I763" s="40">
        <f>tbl_Monitoring[[#This Row],[Elevation (SRTM30-m)]]*3.280839895</f>
        <v>239.09567907051951</v>
      </c>
    </row>
    <row r="764" spans="2:9" ht="16" x14ac:dyDescent="0.2">
      <c r="B764" s="90">
        <v>760</v>
      </c>
      <c r="C764" s="91">
        <v>45295</v>
      </c>
      <c r="D764" s="92">
        <v>38.770000000000003</v>
      </c>
      <c r="E764" s="51" cm="1">
        <f t="array" ref="E7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260.48515360908357</v>
      </c>
      <c r="F764" s="49" cm="1">
        <f t="array" ref="F7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72.762818779850406</v>
      </c>
      <c r="G764" s="20">
        <f>tbl_Monitoring[[#This Row],[Area (km2)]]/4046.8564224*1000000</f>
        <v>9580.2756394820008</v>
      </c>
      <c r="H764" s="20">
        <f>tbl_Monitoring[[#This Row],[Volume (MCM)]]/1233.4818375475*1000000</f>
        <v>211178.75081727954</v>
      </c>
      <c r="I764" s="40">
        <f>tbl_Monitoring[[#This Row],[Elevation (SRTM30-m)]]*3.280839895</f>
        <v>238.72315872558843</v>
      </c>
    </row>
    <row r="765" spans="2:9" ht="16" x14ac:dyDescent="0.2">
      <c r="B765" s="90">
        <v>761</v>
      </c>
      <c r="C765" s="91">
        <v>45300</v>
      </c>
      <c r="D765" s="92">
        <v>38.32</v>
      </c>
      <c r="E765" s="51" cm="1">
        <f t="array" ref="E7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257.23405871857261</v>
      </c>
      <c r="F765" s="49" cm="1">
        <f t="array" ref="F7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72.681715779039379</v>
      </c>
      <c r="G765" s="20">
        <f>tbl_Monitoring[[#This Row],[Area (km2)]]/4046.8564224*1000000</f>
        <v>9469.078217821776</v>
      </c>
      <c r="H765" s="20">
        <f>tbl_Monitoring[[#This Row],[Volume (MCM)]]/1233.4818375475*1000000</f>
        <v>208543.04529527927</v>
      </c>
      <c r="I765" s="40">
        <f>tbl_Monitoring[[#This Row],[Elevation (SRTM30-m)]]*3.280839895</f>
        <v>238.45707276492342</v>
      </c>
    </row>
    <row r="766" spans="2:9" ht="16" x14ac:dyDescent="0.2">
      <c r="B766" s="90">
        <v>762</v>
      </c>
      <c r="C766" s="91">
        <v>45305</v>
      </c>
      <c r="D766" s="92">
        <v>38.630000000000003</v>
      </c>
      <c r="E766" s="51" cm="1">
        <f t="array" ref="E7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259.47370186536904</v>
      </c>
      <c r="F766" s="49" cm="1">
        <f t="array" ref="F7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72.737586735153641</v>
      </c>
      <c r="G766" s="20">
        <f>tbl_Monitoring[[#This Row],[Area (km2)]]/4046.8564224*1000000</f>
        <v>9545.6808860765959</v>
      </c>
      <c r="H766" s="20">
        <f>tbl_Monitoring[[#This Row],[Volume (MCM)]]/1233.4818375475*1000000</f>
        <v>210358.75354376834</v>
      </c>
      <c r="I766" s="40">
        <f>tbl_Monitoring[[#This Row],[Elevation (SRTM30-m)]]*3.280839895</f>
        <v>238.64037642671488</v>
      </c>
    </row>
    <row r="767" spans="2:9" ht="16" x14ac:dyDescent="0.2">
      <c r="B767" s="90">
        <v>763</v>
      </c>
      <c r="C767" s="91">
        <v>45310</v>
      </c>
      <c r="D767" s="92">
        <v>39.19</v>
      </c>
      <c r="E767" s="51" cm="1">
        <f t="array" ref="E7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263.51950884022705</v>
      </c>
      <c r="F767" s="49" cm="1">
        <f t="array" ref="F7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72.838514913940699</v>
      </c>
      <c r="G767" s="20">
        <f>tbl_Monitoring[[#This Row],[Area (km2)]]/4046.8564224*1000000</f>
        <v>9684.059899698208</v>
      </c>
      <c r="H767" s="20">
        <f>tbl_Monitoring[[#This Row],[Volume (MCM)]]/1233.4818375475*1000000</f>
        <v>213638.74263781303</v>
      </c>
      <c r="I767" s="40">
        <f>tbl_Monitoring[[#This Row],[Elevation (SRTM30-m)]]*3.280839895</f>
        <v>238.97150562220915</v>
      </c>
    </row>
    <row r="768" spans="2:9" ht="16" x14ac:dyDescent="0.2">
      <c r="B768" s="90">
        <v>764</v>
      </c>
      <c r="C768" s="91">
        <v>45315</v>
      </c>
      <c r="D768" s="92">
        <v>37.14</v>
      </c>
      <c r="E768" s="51" cm="1">
        <f t="array" ref="E7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248.70896545012167</v>
      </c>
      <c r="F768" s="49" cm="1">
        <f t="array" ref="F7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72.469045688023783</v>
      </c>
      <c r="G768" s="20">
        <f>tbl_Monitoring[[#This Row],[Area (km2)]]/4046.8564224*1000000</f>
        <v>9177.4938676905203</v>
      </c>
      <c r="H768" s="20">
        <f>tbl_Monitoring[[#This Row],[Volume (MCM)]]/1233.4818375475*1000000</f>
        <v>201631.63970425643</v>
      </c>
      <c r="I768" s="40">
        <f>tbl_Monitoring[[#This Row],[Elevation (SRTM30-m)]]*3.280839895</f>
        <v>237.75933624584616</v>
      </c>
    </row>
    <row r="769" spans="2:9" ht="16" x14ac:dyDescent="0.2">
      <c r="B769" s="90">
        <v>765</v>
      </c>
      <c r="C769" s="91">
        <v>45320</v>
      </c>
      <c r="D769" s="92">
        <v>37.130000000000003</v>
      </c>
      <c r="E769" s="51" cm="1">
        <f t="array" ref="E7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248.63671889699921</v>
      </c>
      <c r="F769" s="49" cm="1">
        <f t="array" ref="F7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72.467243399116882</v>
      </c>
      <c r="G769" s="20">
        <f>tbl_Monitoring[[#This Row],[Area (km2)]]/4046.8564224*1000000</f>
        <v>9175.0228138758503</v>
      </c>
      <c r="H769" s="20">
        <f>tbl_Monitoring[[#This Row],[Volume (MCM)]]/1233.4818375475*1000000</f>
        <v>201573.06847043423</v>
      </c>
      <c r="I769" s="40">
        <f>tbl_Monitoring[[#This Row],[Elevation (SRTM30-m)]]*3.280839895</f>
        <v>237.75342322449808</v>
      </c>
    </row>
    <row r="770" spans="2:9" ht="16" x14ac:dyDescent="0.2">
      <c r="B770" s="90">
        <v>766</v>
      </c>
      <c r="C770" s="91">
        <v>45325</v>
      </c>
      <c r="D770" s="92">
        <v>43.52</v>
      </c>
      <c r="E770" s="51" cm="1">
        <f t="array" ref="E7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294.05117432578214</v>
      </c>
      <c r="F770" s="49" cm="1">
        <f t="array" ref="F7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73.514503176315472</v>
      </c>
      <c r="G770" s="20">
        <f>tbl_Monitoring[[#This Row],[Area (km2)]]/4046.8564224*1000000</f>
        <v>10754.026201451035</v>
      </c>
      <c r="H770" s="20">
        <f>tbl_Monitoring[[#This Row],[Volume (MCM)]]/1233.4818375475*1000000</f>
        <v>238391.16667533305</v>
      </c>
      <c r="I770" s="40">
        <f>tbl_Monitoring[[#This Row],[Elevation (SRTM30-m)]]*3.280839895</f>
        <v>241.18931488196003</v>
      </c>
    </row>
    <row r="771" spans="2:9" ht="16" x14ac:dyDescent="0.2">
      <c r="B771" s="90">
        <v>767</v>
      </c>
      <c r="C771" s="91">
        <v>45330</v>
      </c>
      <c r="D771" s="92">
        <v>49.42</v>
      </c>
      <c r="E771" s="51" cm="1">
        <f t="array" ref="E7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335.40055628832584</v>
      </c>
      <c r="F771" s="49" cm="1">
        <f t="array" ref="F7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74.341908030904904</v>
      </c>
      <c r="G771" s="20">
        <f>tbl_Monitoring[[#This Row],[Area (km2)]]/4046.8564224*1000000</f>
        <v>12211.94795210731</v>
      </c>
      <c r="H771" s="20">
        <f>tbl_Monitoring[[#This Row],[Volume (MCM)]]/1233.4818375475*1000000</f>
        <v>271913.65618742642</v>
      </c>
      <c r="I771" s="40">
        <f>tbl_Monitoring[[#This Row],[Elevation (SRTM30-m)]]*3.280839895</f>
        <v>243.90389773821371</v>
      </c>
    </row>
    <row r="772" spans="2:9" ht="16" x14ac:dyDescent="0.2">
      <c r="B772" s="90">
        <v>768</v>
      </c>
      <c r="C772" s="91">
        <v>45335</v>
      </c>
      <c r="D772" s="92">
        <v>50.7</v>
      </c>
      <c r="E772" s="51" cm="1">
        <f t="array" ref="E7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344.37506976744191</v>
      </c>
      <c r="F772" s="49" cm="1">
        <f t="array" ref="F7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74.506459948320412</v>
      </c>
      <c r="G772" s="20">
        <f>tbl_Monitoring[[#This Row],[Area (km2)]]/4046.8564224*1000000</f>
        <v>12528.242840385283</v>
      </c>
      <c r="H772" s="20">
        <f>tbl_Monitoring[[#This Row],[Volume (MCM)]]/1233.4818375475*1000000</f>
        <v>279189.41267279134</v>
      </c>
      <c r="I772" s="40">
        <f>tbl_Monitoring[[#This Row],[Elevation (SRTM30-m)]]*3.280839895</f>
        <v>244.44376623366927</v>
      </c>
    </row>
    <row r="773" spans="2:9" ht="16" x14ac:dyDescent="0.2">
      <c r="B773" s="90">
        <v>769</v>
      </c>
      <c r="C773" s="91">
        <v>45340</v>
      </c>
      <c r="D773" s="92">
        <v>53.78</v>
      </c>
      <c r="E773" s="51" cm="1">
        <f t="array" ref="E7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365.96999282656486</v>
      </c>
      <c r="F773" s="49" cm="1">
        <f t="array" ref="F7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74.902412999601481</v>
      </c>
      <c r="G773" s="20">
        <f>tbl_Monitoring[[#This Row],[Area (km2)]]/4046.8564224*1000000</f>
        <v>13289.327415304153</v>
      </c>
      <c r="H773" s="20">
        <f>tbl_Monitoring[[#This Row],[Volume (MCM)]]/1233.4818375475*1000000</f>
        <v>296696.70171570062</v>
      </c>
      <c r="I773" s="40">
        <f>tbl_Monitoring[[#This Row],[Elevation (SRTM30-m)]]*3.280839895</f>
        <v>245.74282480085918</v>
      </c>
    </row>
    <row r="774" spans="2:9" ht="16" x14ac:dyDescent="0.2">
      <c r="B774" s="90">
        <v>770</v>
      </c>
      <c r="C774" s="91">
        <v>45345</v>
      </c>
      <c r="D774" s="92">
        <v>52.41</v>
      </c>
      <c r="E774" s="51" cm="1">
        <f t="array" ref="E7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356.36445886844842</v>
      </c>
      <c r="F774" s="49" cm="1">
        <f t="array" ref="F77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74.726291025492685</v>
      </c>
      <c r="G774" s="20">
        <f>tbl_Monitoring[[#This Row],[Area (km2)]]/4046.8564224*1000000</f>
        <v>12950.793042694135</v>
      </c>
      <c r="H774" s="20">
        <f>tbl_Monitoring[[#This Row],[Volume (MCM)]]/1233.4818375475*1000000</f>
        <v>288909.36860245839</v>
      </c>
      <c r="I774" s="40">
        <f>tbl_Monitoring[[#This Row],[Elevation (SRTM30-m)]]*3.280839895</f>
        <v>245.16499680181687</v>
      </c>
    </row>
    <row r="775" spans="2:9" ht="16" x14ac:dyDescent="0.2">
      <c r="B775" s="90">
        <v>771</v>
      </c>
      <c r="C775" s="91">
        <v>45355</v>
      </c>
      <c r="D775" s="92">
        <v>55.86</v>
      </c>
      <c r="E775" s="51" cm="1">
        <f t="array" ref="E7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381.10065828650198</v>
      </c>
      <c r="F775" s="49" cm="1">
        <f t="array" ref="F77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75.155621531827663</v>
      </c>
      <c r="G775" s="20">
        <f>tbl_Monitoring[[#This Row],[Area (km2)]]/4046.8564224*1000000</f>
        <v>13803.306608755856</v>
      </c>
      <c r="H775" s="20">
        <f>tbl_Monitoring[[#This Row],[Volume (MCM)]]/1233.4818375475*1000000</f>
        <v>308963.33183489315</v>
      </c>
      <c r="I775" s="40">
        <f>tbl_Monitoring[[#This Row],[Elevation (SRTM30-m)]]*3.280839895</f>
        <v>246.57356145514123</v>
      </c>
    </row>
    <row r="776" spans="2:9" ht="16" x14ac:dyDescent="0.2">
      <c r="B776" s="90">
        <v>772</v>
      </c>
      <c r="C776" s="91">
        <v>45360</v>
      </c>
      <c r="D776" s="92">
        <v>49.57</v>
      </c>
      <c r="E776" s="51" cm="1">
        <f t="array" ref="E7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336.45225708665976</v>
      </c>
      <c r="F776" s="49" cm="1">
        <f t="array" ref="F77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74.361191458727035</v>
      </c>
      <c r="G776" s="20">
        <f>tbl_Monitoring[[#This Row],[Area (km2)]]/4046.8564224*1000000</f>
        <v>12249.013759327385</v>
      </c>
      <c r="H776" s="20">
        <f>tbl_Monitoring[[#This Row],[Volume (MCM)]]/1233.4818375475*1000000</f>
        <v>272766.28390055511</v>
      </c>
      <c r="I776" s="40">
        <f>tbl_Monitoring[[#This Row],[Elevation (SRTM30-m)]]*3.280839895</f>
        <v>243.96716357752493</v>
      </c>
    </row>
    <row r="777" spans="2:9" ht="16" x14ac:dyDescent="0.2">
      <c r="B777" s="90">
        <v>773</v>
      </c>
      <c r="C777" s="91">
        <v>45365</v>
      </c>
      <c r="D777" s="92">
        <v>53.02</v>
      </c>
      <c r="E777" s="51" cm="1">
        <f t="array" ref="E7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360.64137544833977</v>
      </c>
      <c r="F777" s="49" cm="1">
        <f t="array" ref="F77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74.804710298636024</v>
      </c>
      <c r="G777" s="20">
        <f>tbl_Monitoring[[#This Row],[Area (km2)]]/4046.8564224*1000000</f>
        <v>13101.527325389106</v>
      </c>
      <c r="H777" s="20">
        <f>tbl_Monitoring[[#This Row],[Volume (MCM)]]/1233.4818375475*1000000</f>
        <v>292376.72130251525</v>
      </c>
      <c r="I777" s="40">
        <f>tbl_Monitoring[[#This Row],[Elevation (SRTM30-m)]]*3.280839895</f>
        <v>245.42227788168245</v>
      </c>
    </row>
    <row r="778" spans="2:9" ht="16" x14ac:dyDescent="0.2">
      <c r="B778" s="90">
        <v>774</v>
      </c>
      <c r="C778" s="91">
        <v>45370</v>
      </c>
      <c r="D778" s="92">
        <v>52.68</v>
      </c>
      <c r="E778" s="51" cm="1">
        <f t="array" ref="E7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358.25752030544953</v>
      </c>
      <c r="F778" s="49" cm="1">
        <f t="array" ref="F77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74.761001195572518</v>
      </c>
      <c r="G778" s="20">
        <f>tbl_Monitoring[[#This Row],[Area (km2)]]/4046.8564224*1000000</f>
        <v>13017.511495690269</v>
      </c>
      <c r="H778" s="20">
        <f>tbl_Monitoring[[#This Row],[Volume (MCM)]]/1233.4818375475*1000000</f>
        <v>290444.09848609014</v>
      </c>
      <c r="I778" s="40">
        <f>tbl_Monitoring[[#This Row],[Elevation (SRTM30-m)]]*3.280839895</f>
        <v>245.27887531257704</v>
      </c>
    </row>
    <row r="779" spans="2:9" ht="16" x14ac:dyDescent="0.2">
      <c r="B779" s="90">
        <v>775</v>
      </c>
      <c r="C779" s="91">
        <v>45375</v>
      </c>
      <c r="D779" s="92">
        <v>55.06</v>
      </c>
      <c r="E779" s="51" cm="1">
        <f t="array" ref="E7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375.16024899798543</v>
      </c>
      <c r="F779" s="49" cm="1">
        <f t="array" ref="F77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75.061369714534806</v>
      </c>
      <c r="G779" s="20">
        <f>tbl_Monitoring[[#This Row],[Area (km2)]]/4046.8564224*1000000</f>
        <v>13605.622303582124</v>
      </c>
      <c r="H779" s="20">
        <f>tbl_Monitoring[[#This Row],[Volume (MCM)]]/1233.4818375475*1000000</f>
        <v>304147.36364818056</v>
      </c>
      <c r="I779" s="40">
        <f>tbl_Monitoring[[#This Row],[Elevation (SRTM30-m)]]*3.280839895</f>
        <v>246.26433633279058</v>
      </c>
    </row>
    <row r="780" spans="2:9" ht="16" x14ac:dyDescent="0.2">
      <c r="B780" s="90">
        <v>776</v>
      </c>
      <c r="C780" s="91">
        <v>45380</v>
      </c>
      <c r="D780" s="92">
        <v>52.31</v>
      </c>
      <c r="E780" s="51" cm="1">
        <f t="array" ref="E7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355.66332500289258</v>
      </c>
      <c r="F780" s="49" cm="1">
        <f t="array" ref="F78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74.713435406944612</v>
      </c>
      <c r="G780" s="20">
        <f>tbl_Monitoring[[#This Row],[Area (km2)]]/4046.8564224*1000000</f>
        <v>12926.082504547419</v>
      </c>
      <c r="H780" s="20">
        <f>tbl_Monitoring[[#This Row],[Volume (MCM)]]/1233.4818375475*1000000</f>
        <v>288340.95012703934</v>
      </c>
      <c r="I780" s="40">
        <f>tbl_Monitoring[[#This Row],[Elevation (SRTM30-m)]]*3.280839895</f>
        <v>245.12281957560947</v>
      </c>
    </row>
    <row r="781" spans="2:9" ht="16" x14ac:dyDescent="0.2">
      <c r="B781" s="90">
        <v>777</v>
      </c>
      <c r="C781" s="91">
        <v>45385</v>
      </c>
      <c r="D781" s="92">
        <v>52.09</v>
      </c>
      <c r="E781" s="51" cm="1">
        <f t="array" ref="E7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354.12083049866948</v>
      </c>
      <c r="F781" s="49" cm="1">
        <f t="array" ref="F78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74.685153046138822</v>
      </c>
      <c r="G781" s="20">
        <f>tbl_Monitoring[[#This Row],[Area (km2)]]/4046.8564224*1000000</f>
        <v>12871.719320624643</v>
      </c>
      <c r="H781" s="20">
        <f>tbl_Monitoring[[#This Row],[Volume (MCM)]]/1233.4818375475*1000000</f>
        <v>287090.42948111729</v>
      </c>
      <c r="I781" s="40">
        <f>tbl_Monitoring[[#This Row],[Elevation (SRTM30-m)]]*3.280839895</f>
        <v>245.03002967795302</v>
      </c>
    </row>
    <row r="782" spans="2:9" ht="16" x14ac:dyDescent="0.2">
      <c r="B782" s="90">
        <v>778</v>
      </c>
      <c r="C782" s="91">
        <v>45390</v>
      </c>
      <c r="D782" s="92">
        <v>51.33</v>
      </c>
      <c r="E782" s="51" cm="1">
        <f t="array" ref="E7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348.79221312044433</v>
      </c>
      <c r="F782" s="49" cm="1">
        <f t="array" ref="F78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74.587450345173352</v>
      </c>
      <c r="G782" s="20">
        <f>tbl_Monitoring[[#This Row],[Area (km2)]]/4046.8564224*1000000</f>
        <v>12683.919230709596</v>
      </c>
      <c r="H782" s="20">
        <f>tbl_Monitoring[[#This Row],[Volume (MCM)]]/1233.4818375475*1000000</f>
        <v>282770.44906793186</v>
      </c>
      <c r="I782" s="40">
        <f>tbl_Monitoring[[#This Row],[Elevation (SRTM30-m)]]*3.280839895</f>
        <v>244.70948275877626</v>
      </c>
    </row>
    <row r="783" spans="2:9" ht="16" x14ac:dyDescent="0.2">
      <c r="B783" s="90">
        <v>779</v>
      </c>
      <c r="C783" s="91">
        <v>45400</v>
      </c>
      <c r="D783" s="92">
        <v>58.88</v>
      </c>
      <c r="E783" s="51" cm="1">
        <f t="array" ref="E7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403.52570335065212</v>
      </c>
      <c r="F783" s="49" cm="1">
        <f t="array" ref="F78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75.511422142108174</v>
      </c>
      <c r="G783" s="20">
        <f>tbl_Monitoring[[#This Row],[Area (km2)]]/4046.8564224*1000000</f>
        <v>14549.564860786695</v>
      </c>
      <c r="H783" s="20">
        <f>tbl_Monitoring[[#This Row],[Volume (MCM)]]/1233.4818375475*1000000</f>
        <v>327143.61173973331</v>
      </c>
      <c r="I783" s="40">
        <f>tbl_Monitoring[[#This Row],[Elevation (SRTM30-m)]]*3.280839895</f>
        <v>247.74088629201486</v>
      </c>
    </row>
    <row r="784" spans="2:9" ht="16" x14ac:dyDescent="0.2">
      <c r="B784" s="90">
        <v>780</v>
      </c>
      <c r="C784" s="91">
        <v>45405</v>
      </c>
      <c r="D784" s="92">
        <v>55.24</v>
      </c>
      <c r="E784" s="51" cm="1">
        <f t="array" ref="E7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376.49684108790166</v>
      </c>
      <c r="F784" s="49" cm="1">
        <f t="array" ref="F78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75.082576373425695</v>
      </c>
      <c r="G784" s="20">
        <f>tbl_Monitoring[[#This Row],[Area (km2)]]/4046.8564224*1000000</f>
        <v>13650.101272246213</v>
      </c>
      <c r="H784" s="20">
        <f>tbl_Monitoring[[#This Row],[Volume (MCM)]]/1233.4818375475*1000000</f>
        <v>305230.95649019087</v>
      </c>
      <c r="I784" s="40">
        <f>tbl_Monitoring[[#This Row],[Elevation (SRTM30-m)]]*3.280839895</f>
        <v>246.33391198531945</v>
      </c>
    </row>
    <row r="785" spans="2:9" ht="16" x14ac:dyDescent="0.2">
      <c r="B785" s="90">
        <v>781</v>
      </c>
      <c r="C785" s="91">
        <v>45410</v>
      </c>
      <c r="D785" s="92">
        <v>54.32</v>
      </c>
      <c r="E785" s="51" cm="1">
        <f t="array" ref="E7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369.75611570056697</v>
      </c>
      <c r="F785" s="49" cm="1">
        <f t="array" ref="F78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74.971833339761147</v>
      </c>
      <c r="G785" s="20">
        <f>tbl_Monitoring[[#This Row],[Area (km2)]]/4046.8564224*1000000</f>
        <v>13422.764321296419</v>
      </c>
      <c r="H785" s="20">
        <f>tbl_Monitoring[[#This Row],[Volume (MCM)]]/1233.4818375475*1000000</f>
        <v>299766.16148296394</v>
      </c>
      <c r="I785" s="40">
        <f>tbl_Monitoring[[#This Row],[Elevation (SRTM30-m)]]*3.280839895</f>
        <v>245.97058182237947</v>
      </c>
    </row>
    <row r="786" spans="2:9" ht="16" x14ac:dyDescent="0.2">
      <c r="B786" s="90">
        <v>782</v>
      </c>
      <c r="C786" s="91">
        <v>45415</v>
      </c>
      <c r="D786" s="92">
        <v>53.39</v>
      </c>
      <c r="E786" s="51" cm="1">
        <f t="array" ref="E7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363.23557075089673</v>
      </c>
      <c r="F786" s="49" cm="1">
        <f t="array" ref="F78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74.852276087263945</v>
      </c>
      <c r="G786" s="20">
        <f>tbl_Monitoring[[#This Row],[Area (km2)]]/4046.8564224*1000000</f>
        <v>13192.956316531958</v>
      </c>
      <c r="H786" s="20">
        <f>tbl_Monitoring[[#This Row],[Volume (MCM)]]/1233.4818375475*1000000</f>
        <v>294479.86966156604</v>
      </c>
      <c r="I786" s="40">
        <f>tbl_Monitoring[[#This Row],[Elevation (SRTM30-m)]]*3.280839895</f>
        <v>245.57833361865008</v>
      </c>
    </row>
    <row r="787" spans="2:9" ht="16" x14ac:dyDescent="0.2">
      <c r="B787" s="90">
        <v>783</v>
      </c>
      <c r="C787" s="91">
        <v>45420</v>
      </c>
      <c r="D787" s="92">
        <v>53.18</v>
      </c>
      <c r="E787" s="51" cm="1">
        <f t="array" ref="E7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361.76318963322922</v>
      </c>
      <c r="F787" s="49" cm="1">
        <f t="array" ref="F78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74.825279288312956</v>
      </c>
      <c r="G787" s="20">
        <f>tbl_Monitoring[[#This Row],[Area (km2)]]/4046.8564224*1000000</f>
        <v>13141.064186423853</v>
      </c>
      <c r="H787" s="20">
        <f>tbl_Monitoring[[#This Row],[Volume (MCM)]]/1233.4818375475*1000000</f>
        <v>293286.1908631858</v>
      </c>
      <c r="I787" s="40">
        <f>tbl_Monitoring[[#This Row],[Elevation (SRTM30-m)]]*3.280839895</f>
        <v>245.48976144361436</v>
      </c>
    </row>
    <row r="788" spans="2:9" ht="16" x14ac:dyDescent="0.2">
      <c r="B788" s="90">
        <v>784</v>
      </c>
      <c r="C788" s="91">
        <v>45425</v>
      </c>
      <c r="D788" s="92">
        <v>52.78</v>
      </c>
      <c r="E788" s="51" cm="1">
        <f t="array" ref="E7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358.95865417100549</v>
      </c>
      <c r="F788" s="49" cm="1">
        <f t="array" ref="F78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74.773856814120606</v>
      </c>
      <c r="G788" s="20">
        <f>tbl_Monitoring[[#This Row],[Area (km2)]]/4046.8564224*1000000</f>
        <v>13042.222033836986</v>
      </c>
      <c r="H788" s="20">
        <f>tbl_Monitoring[[#This Row],[Volume (MCM)]]/1233.4818375475*1000000</f>
        <v>291012.5169615093</v>
      </c>
      <c r="I788" s="40">
        <f>tbl_Monitoring[[#This Row],[Elevation (SRTM30-m)]]*3.280839895</f>
        <v>245.3210525387845</v>
      </c>
    </row>
    <row r="789" spans="2:9" ht="16" x14ac:dyDescent="0.2">
      <c r="B789" s="90">
        <v>785</v>
      </c>
      <c r="C789" s="91">
        <v>45430</v>
      </c>
      <c r="D789" s="92">
        <v>52.64</v>
      </c>
      <c r="E789" s="51" cm="1">
        <f t="array" ref="E7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357.97706675922717</v>
      </c>
      <c r="F789" s="49" cm="1">
        <f t="array" ref="F78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74.755858948153289</v>
      </c>
      <c r="G789" s="20">
        <f>tbl_Monitoring[[#This Row],[Area (km2)]]/4046.8564224*1000000</f>
        <v>13007.627280431583</v>
      </c>
      <c r="H789" s="20">
        <f>tbl_Monitoring[[#This Row],[Volume (MCM)]]/1233.4818375475*1000000</f>
        <v>290216.73109592247</v>
      </c>
      <c r="I789" s="40">
        <f>tbl_Monitoring[[#This Row],[Elevation (SRTM30-m)]]*3.280839895</f>
        <v>245.26200442209407</v>
      </c>
    </row>
    <row r="790" spans="2:9" ht="16" x14ac:dyDescent="0.2">
      <c r="B790" s="90">
        <v>786</v>
      </c>
      <c r="C790" s="91">
        <v>45435</v>
      </c>
      <c r="D790" s="92">
        <v>52.39</v>
      </c>
      <c r="E790" s="51" cm="1">
        <f t="array" ref="E7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356.2242320953373</v>
      </c>
      <c r="F790" s="49" cm="1">
        <f t="array" ref="F79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74.72371990178307</v>
      </c>
      <c r="G790" s="20">
        <f>tbl_Monitoring[[#This Row],[Area (km2)]]/4046.8564224*1000000</f>
        <v>12945.850935064791</v>
      </c>
      <c r="H790" s="20">
        <f>tbl_Monitoring[[#This Row],[Volume (MCM)]]/1233.4818375475*1000000</f>
        <v>288795.68490737467</v>
      </c>
      <c r="I790" s="40">
        <f>tbl_Monitoring[[#This Row],[Elevation (SRTM30-m)]]*3.280839895</f>
        <v>245.15656135657539</v>
      </c>
    </row>
    <row r="791" spans="2:9" ht="16" x14ac:dyDescent="0.2">
      <c r="B791" s="90">
        <v>787</v>
      </c>
      <c r="C791" s="91">
        <v>45440</v>
      </c>
      <c r="D791" s="92">
        <v>52.46</v>
      </c>
      <c r="E791" s="51" cm="1">
        <f t="array" ref="E7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356.71502580122643</v>
      </c>
      <c r="F791" s="49" cm="1">
        <f t="array" ref="F79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74.732718834766729</v>
      </c>
      <c r="G791" s="20">
        <f>tbl_Monitoring[[#This Row],[Area (km2)]]/4046.8564224*1000000</f>
        <v>12963.148311767492</v>
      </c>
      <c r="H791" s="20">
        <f>tbl_Monitoring[[#This Row],[Volume (MCM)]]/1233.4818375475*1000000</f>
        <v>289193.57784016803</v>
      </c>
      <c r="I791" s="40">
        <f>tbl_Monitoring[[#This Row],[Elevation (SRTM30-m)]]*3.280839895</f>
        <v>245.1860854149206</v>
      </c>
    </row>
    <row r="792" spans="2:9" ht="16" x14ac:dyDescent="0.2">
      <c r="B792" s="90">
        <v>788</v>
      </c>
      <c r="C792" s="91">
        <v>45450</v>
      </c>
      <c r="D792" s="92">
        <v>50.7</v>
      </c>
      <c r="E792" s="51" cm="1">
        <f t="array" ref="E7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344.37506976744191</v>
      </c>
      <c r="F792" s="49" cm="1">
        <f t="array" ref="F79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74.506459948320412</v>
      </c>
      <c r="G792" s="20">
        <f>tbl_Monitoring[[#This Row],[Area (km2)]]/4046.8564224*1000000</f>
        <v>12528.242840385283</v>
      </c>
      <c r="H792" s="20">
        <f>tbl_Monitoring[[#This Row],[Volume (MCM)]]/1233.4818375475*1000000</f>
        <v>279189.41267279134</v>
      </c>
      <c r="I792" s="40">
        <f>tbl_Monitoring[[#This Row],[Elevation (SRTM30-m)]]*3.280839895</f>
        <v>244.44376623366927</v>
      </c>
    </row>
    <row r="793" spans="2:9" ht="16" x14ac:dyDescent="0.2">
      <c r="B793" s="90">
        <v>789</v>
      </c>
      <c r="C793" s="91">
        <v>45454</v>
      </c>
      <c r="D793" s="92">
        <v>51.71</v>
      </c>
      <c r="E793" s="51" cm="1">
        <f t="array" ref="E7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351.45652180955688</v>
      </c>
      <c r="F793" s="49" cm="1">
        <f t="array" ref="F79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74.636301695656087</v>
      </c>
      <c r="G793" s="20">
        <f>tbl_Monitoring[[#This Row],[Area (km2)]]/4046.8564224*1000000</f>
        <v>12777.81927566712</v>
      </c>
      <c r="H793" s="20">
        <f>tbl_Monitoring[[#This Row],[Volume (MCM)]]/1233.4818375475*1000000</f>
        <v>284930.43927452457</v>
      </c>
      <c r="I793" s="40">
        <f>tbl_Monitoring[[#This Row],[Elevation (SRTM30-m)]]*3.280839895</f>
        <v>244.86975621836464</v>
      </c>
    </row>
    <row r="794" spans="2:9" ht="16" x14ac:dyDescent="0.2">
      <c r="B794" s="90">
        <v>790</v>
      </c>
      <c r="C794" s="91">
        <v>45455</v>
      </c>
      <c r="D794" s="92">
        <v>51.74</v>
      </c>
      <c r="E794" s="51" cm="1">
        <f t="array" ref="E7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351.6668619692237</v>
      </c>
      <c r="F794" s="49" cm="1">
        <f t="array" ref="F79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74.640158381220516</v>
      </c>
      <c r="G794" s="20">
        <f>tbl_Monitoring[[#This Row],[Area (km2)]]/4046.8564224*1000000</f>
        <v>12785.232437111134</v>
      </c>
      <c r="H794" s="20">
        <f>tbl_Monitoring[[#This Row],[Volume (MCM)]]/1233.4818375475*1000000</f>
        <v>285100.96481715032</v>
      </c>
      <c r="I794" s="40">
        <f>tbl_Monitoring[[#This Row],[Elevation (SRTM30-m)]]*3.280839895</f>
        <v>244.8824093862269</v>
      </c>
    </row>
    <row r="795" spans="2:9" ht="16" x14ac:dyDescent="0.2">
      <c r="B795" s="90">
        <v>791</v>
      </c>
      <c r="C795" s="91">
        <v>45460</v>
      </c>
      <c r="D795" s="92">
        <v>52.46</v>
      </c>
      <c r="E795" s="51" cm="1">
        <f t="array" ref="E7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356.71502580122643</v>
      </c>
      <c r="F795" s="49" cm="1">
        <f t="array" ref="F79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74.732718834766729</v>
      </c>
      <c r="G795" s="20">
        <f>tbl_Monitoring[[#This Row],[Area (km2)]]/4046.8564224*1000000</f>
        <v>12963.148311767492</v>
      </c>
      <c r="H795" s="20">
        <f>tbl_Monitoring[[#This Row],[Volume (MCM)]]/1233.4818375475*1000000</f>
        <v>289193.57784016803</v>
      </c>
      <c r="I795" s="40">
        <f>tbl_Monitoring[[#This Row],[Elevation (SRTM30-m)]]*3.280839895</f>
        <v>245.1860854149206</v>
      </c>
    </row>
    <row r="796" spans="2:9" ht="16" x14ac:dyDescent="0.2">
      <c r="B796" s="90">
        <v>792</v>
      </c>
      <c r="C796" s="91">
        <v>45465</v>
      </c>
      <c r="D796" s="92">
        <v>52</v>
      </c>
      <c r="E796" s="51" cm="1">
        <f t="array" ref="E7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353.48981001966911</v>
      </c>
      <c r="F796" s="49" cm="1">
        <f t="array" ref="F79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74.673582989445535</v>
      </c>
      <c r="G796" s="20">
        <f>tbl_Monitoring[[#This Row],[Area (km2)]]/4046.8564224*1000000</f>
        <v>12849.479836292598</v>
      </c>
      <c r="H796" s="20">
        <f>tbl_Monitoring[[#This Row],[Volume (MCM)]]/1233.4818375475*1000000</f>
        <v>286578.85285324004</v>
      </c>
      <c r="I796" s="40">
        <f>tbl_Monitoring[[#This Row],[Elevation (SRTM30-m)]]*3.280839895</f>
        <v>244.99207017436629</v>
      </c>
    </row>
    <row r="797" spans="2:9" ht="16" x14ac:dyDescent="0.2">
      <c r="B797" s="90">
        <v>793</v>
      </c>
      <c r="C797" s="91">
        <v>45470</v>
      </c>
      <c r="D797" s="92">
        <v>52.04</v>
      </c>
      <c r="E797" s="51" cm="1">
        <f t="array" ref="E7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353.77026356589147</v>
      </c>
      <c r="F797" s="49" cm="1">
        <f t="array" ref="F79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74.678725236864778</v>
      </c>
      <c r="G797" s="20">
        <f>tbl_Monitoring[[#This Row],[Area (km2)]]/4046.8564224*1000000</f>
        <v>12859.364051551283</v>
      </c>
      <c r="H797" s="20">
        <f>tbl_Monitoring[[#This Row],[Volume (MCM)]]/1233.4818375475*1000000</f>
        <v>286806.2202434077</v>
      </c>
      <c r="I797" s="40">
        <f>tbl_Monitoring[[#This Row],[Elevation (SRTM30-m)]]*3.280839895</f>
        <v>245.0089410648493</v>
      </c>
    </row>
    <row r="798" spans="2:9" ht="16" x14ac:dyDescent="0.2">
      <c r="B798" s="90">
        <v>794</v>
      </c>
      <c r="C798" s="91">
        <v>45475</v>
      </c>
      <c r="D798" s="92">
        <v>51.37</v>
      </c>
      <c r="E798" s="51" cm="1">
        <f t="array" ref="E7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349.07266666666669</v>
      </c>
      <c r="F798" s="49" cm="1">
        <f t="array" ref="F79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74.592592592592595</v>
      </c>
      <c r="G798" s="20">
        <f>tbl_Monitoring[[#This Row],[Area (km2)]]/4046.8564224*1000000</f>
        <v>12693.803445968284</v>
      </c>
      <c r="H798" s="20">
        <f>tbl_Monitoring[[#This Row],[Volume (MCM)]]/1233.4818375475*1000000</f>
        <v>282997.81645809952</v>
      </c>
      <c r="I798" s="40">
        <f>tbl_Monitoring[[#This Row],[Elevation (SRTM30-m)]]*3.280839895</f>
        <v>244.72635364925929</v>
      </c>
    </row>
    <row r="799" spans="2:9" ht="16" x14ac:dyDescent="0.2">
      <c r="B799" s="90">
        <v>795</v>
      </c>
      <c r="C799" s="91">
        <v>45480</v>
      </c>
      <c r="D799" s="92">
        <v>50.33</v>
      </c>
      <c r="E799" s="51" cm="1">
        <f t="array" ref="E7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341.7808744648849</v>
      </c>
      <c r="F799" s="49" cm="1">
        <f t="array" ref="F79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74.458894159692491</v>
      </c>
      <c r="G799" s="20">
        <f>tbl_Monitoring[[#This Row],[Area (km2)]]/4046.8564224*1000000</f>
        <v>12436.813849242431</v>
      </c>
      <c r="H799" s="20">
        <f>tbl_Monitoring[[#This Row],[Volume (MCM)]]/1233.4818375475*1000000</f>
        <v>277086.26431374048</v>
      </c>
      <c r="I799" s="40">
        <f>tbl_Monitoring[[#This Row],[Elevation (SRTM30-m)]]*3.280839895</f>
        <v>244.28771049670164</v>
      </c>
    </row>
    <row r="800" spans="2:9" ht="16" x14ac:dyDescent="0.2">
      <c r="B800" s="90">
        <v>796</v>
      </c>
      <c r="C800" s="91">
        <v>45485</v>
      </c>
      <c r="D800" s="92">
        <v>45.43</v>
      </c>
      <c r="E800" s="51" cm="1">
        <f t="array" ref="E8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307.43250658036681</v>
      </c>
      <c r="F800" s="49" cm="1">
        <f t="array" ref="F80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73.800671221383197</v>
      </c>
      <c r="G800" s="20">
        <f>tbl_Monitoring[[#This Row],[Area (km2)]]/4046.8564224*1000000</f>
        <v>11225.997480053322</v>
      </c>
      <c r="H800" s="20">
        <f>tbl_Monitoring[[#This Row],[Volume (MCM)]]/1233.4818375475*1000000</f>
        <v>249239.58928461155</v>
      </c>
      <c r="I800" s="40">
        <f>tbl_Monitoring[[#This Row],[Elevation (SRTM30-m)]]*3.280839895</f>
        <v>242.12818642089238</v>
      </c>
    </row>
    <row r="801" spans="2:9" ht="16" x14ac:dyDescent="0.2">
      <c r="B801" s="90">
        <v>797</v>
      </c>
      <c r="C801" s="91">
        <v>45486</v>
      </c>
      <c r="D801" s="92">
        <v>49.56</v>
      </c>
      <c r="E801" s="51" cm="1">
        <f t="array" ref="E8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336.38214370010417</v>
      </c>
      <c r="F801" s="49" cm="1">
        <f t="array" ref="F80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74.359905896872235</v>
      </c>
      <c r="G801" s="20">
        <f>tbl_Monitoring[[#This Row],[Area (km2)]]/4046.8564224*1000000</f>
        <v>12246.542705512715</v>
      </c>
      <c r="H801" s="20">
        <f>tbl_Monitoring[[#This Row],[Volume (MCM)]]/1233.4818375475*1000000</f>
        <v>272709.44205301319</v>
      </c>
      <c r="I801" s="40">
        <f>tbl_Monitoring[[#This Row],[Elevation (SRTM30-m)]]*3.280839895</f>
        <v>243.96294585490421</v>
      </c>
    </row>
    <row r="802" spans="2:9" ht="16" x14ac:dyDescent="0.2">
      <c r="B802" s="90">
        <v>798</v>
      </c>
      <c r="C802" s="91">
        <v>45490</v>
      </c>
      <c r="D802" s="92">
        <v>49.72</v>
      </c>
      <c r="E802" s="51" cm="1">
        <f t="array" ref="E8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337.50395788499367</v>
      </c>
      <c r="F802" s="49" cm="1">
        <f t="array" ref="F80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74.380474886549166</v>
      </c>
      <c r="G802" s="20">
        <f>tbl_Monitoring[[#This Row],[Area (km2)]]/4046.8564224*1000000</f>
        <v>12286.07956654746</v>
      </c>
      <c r="H802" s="20">
        <f>tbl_Monitoring[[#This Row],[Volume (MCM)]]/1233.4818375475*1000000</f>
        <v>273618.9116136838</v>
      </c>
      <c r="I802" s="40">
        <f>tbl_Monitoring[[#This Row],[Elevation (SRTM30-m)]]*3.280839895</f>
        <v>244.03042941683611</v>
      </c>
    </row>
    <row r="803" spans="2:9" ht="16" x14ac:dyDescent="0.2">
      <c r="B803" s="90">
        <v>799</v>
      </c>
      <c r="C803" s="91">
        <v>45495</v>
      </c>
      <c r="D803" s="92">
        <v>47.24</v>
      </c>
      <c r="E803" s="51" cm="1">
        <f t="array" ref="E8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320.11583801920631</v>
      </c>
      <c r="F803" s="49" cm="1">
        <f t="array" ref="F80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74.061655546556622</v>
      </c>
      <c r="G803" s="20">
        <f>tbl_Monitoring[[#This Row],[Area (km2)]]/4046.8564224*1000000</f>
        <v>11673.258220508891</v>
      </c>
      <c r="H803" s="20">
        <f>tbl_Monitoring[[#This Row],[Volume (MCM)]]/1233.4818375475*1000000</f>
        <v>259522.13342328928</v>
      </c>
      <c r="I803" s="40">
        <f>tbl_Monitoring[[#This Row],[Elevation (SRTM30-m)]]*3.280839895</f>
        <v>242.984434206891</v>
      </c>
    </row>
    <row r="804" spans="2:9" ht="16" x14ac:dyDescent="0.2">
      <c r="B804" s="90">
        <v>800</v>
      </c>
      <c r="C804" s="91">
        <v>45500</v>
      </c>
      <c r="D804" s="92">
        <v>45.94</v>
      </c>
      <c r="E804" s="51" cm="1">
        <f t="array" ref="E8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311.0055324703344</v>
      </c>
      <c r="F804" s="49" cm="1">
        <f t="array" ref="F80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73.877082584202327</v>
      </c>
      <c r="G804" s="20">
        <f>tbl_Monitoring[[#This Row],[Area (km2)]]/4046.8564224*1000000</f>
        <v>11352.021224601576</v>
      </c>
      <c r="H804" s="20">
        <f>tbl_Monitoring[[#This Row],[Volume (MCM)]]/1233.4818375475*1000000</f>
        <v>252136.28851536123</v>
      </c>
      <c r="I804" s="40">
        <f>tbl_Monitoring[[#This Row],[Elevation (SRTM30-m)]]*3.280839895</f>
        <v>242.3788798684607</v>
      </c>
    </row>
    <row r="805" spans="2:9" ht="16" x14ac:dyDescent="0.2">
      <c r="B805" s="90">
        <v>801</v>
      </c>
      <c r="C805" s="91">
        <v>45502</v>
      </c>
      <c r="D805" s="92">
        <v>44.99</v>
      </c>
      <c r="E805" s="51" cm="1">
        <f t="array" ref="E8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304.34989600863003</v>
      </c>
      <c r="F805" s="49" cm="1">
        <f t="array" ref="F80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73.734747692676493</v>
      </c>
      <c r="G805" s="20">
        <f>tbl_Monitoring[[#This Row],[Area (km2)]]/4046.8564224*1000000</f>
        <v>11117.271112207769</v>
      </c>
      <c r="H805" s="20">
        <f>tbl_Monitoring[[#This Row],[Volume (MCM)]]/1233.4818375475*1000000</f>
        <v>246740.47622278822</v>
      </c>
      <c r="I805" s="40">
        <f>tbl_Monitoring[[#This Row],[Elevation (SRTM30-m)]]*3.280839895</f>
        <v>241.91190187789226</v>
      </c>
    </row>
    <row r="806" spans="2:9" ht="16" x14ac:dyDescent="0.2">
      <c r="B806" s="90">
        <v>802</v>
      </c>
      <c r="C806" s="91">
        <v>45505</v>
      </c>
      <c r="D806" s="92">
        <v>45.41</v>
      </c>
      <c r="E806" s="51" cm="1">
        <f t="array" ref="E8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307.29238791801509</v>
      </c>
      <c r="F806" s="49" cm="1">
        <f t="array" ref="F80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73.79767469735107</v>
      </c>
      <c r="G806" s="20">
        <f>tbl_Monitoring[[#This Row],[Area (km2)]]/4046.8564224*1000000</f>
        <v>11221.055372423978</v>
      </c>
      <c r="H806" s="20">
        <f>tbl_Monitoring[[#This Row],[Volume (MCM)]]/1233.4818375475*1000000</f>
        <v>249125.99323634678</v>
      </c>
      <c r="I806" s="40">
        <f>tbl_Monitoring[[#This Row],[Elevation (SRTM30-m)]]*3.280839895</f>
        <v>242.11835530530146</v>
      </c>
    </row>
    <row r="807" spans="2:9" ht="16" x14ac:dyDescent="0.2">
      <c r="B807" s="90">
        <v>803</v>
      </c>
      <c r="C807" s="91">
        <v>45530</v>
      </c>
      <c r="D807" s="92">
        <v>51.69</v>
      </c>
      <c r="E807" s="51" cm="1">
        <f t="array" ref="E8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351.31629503644569</v>
      </c>
      <c r="F807" s="49" cm="1">
        <f t="array" ref="F80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74.633730571946472</v>
      </c>
      <c r="G807" s="20">
        <f>tbl_Monitoring[[#This Row],[Area (km2)]]/4046.8564224*1000000</f>
        <v>12772.877168037774</v>
      </c>
      <c r="H807" s="20">
        <f>tbl_Monitoring[[#This Row],[Volume (MCM)]]/1233.4818375475*1000000</f>
        <v>284816.75557944068</v>
      </c>
      <c r="I807" s="40">
        <f>tbl_Monitoring[[#This Row],[Elevation (SRTM30-m)]]*3.280839895</f>
        <v>244.86132077312317</v>
      </c>
    </row>
    <row r="808" spans="2:9" ht="16" x14ac:dyDescent="0.2">
      <c r="B808" s="90">
        <v>804</v>
      </c>
      <c r="C808" s="91">
        <v>45535</v>
      </c>
      <c r="D808" s="92">
        <v>49.25</v>
      </c>
      <c r="E808" s="51" cm="1">
        <f t="array" ref="E8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334.20862871688075</v>
      </c>
      <c r="F808" s="49" cm="1">
        <f t="array" ref="F80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74.320053479373158</v>
      </c>
      <c r="G808" s="20">
        <f>tbl_Monitoring[[#This Row],[Area (km2)]]/4046.8564224*1000000</f>
        <v>12169.940037257891</v>
      </c>
      <c r="H808" s="20">
        <f>tbl_Monitoring[[#This Row],[Volume (MCM)]]/1233.4818375475*1000000</f>
        <v>270947.34477921389</v>
      </c>
      <c r="I808" s="40">
        <f>tbl_Monitoring[[#This Row],[Elevation (SRTM30-m)]]*3.280839895</f>
        <v>243.83219645366103</v>
      </c>
    </row>
    <row r="809" spans="2:9" ht="16" x14ac:dyDescent="0.2">
      <c r="B809" s="90">
        <v>805</v>
      </c>
      <c r="C809" s="91">
        <v>45540</v>
      </c>
      <c r="D809" s="92">
        <v>52.04</v>
      </c>
      <c r="E809" s="51" cm="1">
        <f t="array" ref="E8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353.77026356589147</v>
      </c>
      <c r="F809" s="49" cm="1">
        <f t="array" ref="F80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74.678725236864778</v>
      </c>
      <c r="G809" s="20">
        <f>tbl_Monitoring[[#This Row],[Area (km2)]]/4046.8564224*1000000</f>
        <v>12859.364051551283</v>
      </c>
      <c r="H809" s="20">
        <f>tbl_Monitoring[[#This Row],[Volume (MCM)]]/1233.4818375475*1000000</f>
        <v>286806.2202434077</v>
      </c>
      <c r="I809" s="40">
        <f>tbl_Monitoring[[#This Row],[Elevation (SRTM30-m)]]*3.280839895</f>
        <v>245.0089410648493</v>
      </c>
    </row>
    <row r="810" spans="2:9" ht="16" x14ac:dyDescent="0.2">
      <c r="B810" s="90">
        <v>806</v>
      </c>
      <c r="C810" s="91">
        <v>45545</v>
      </c>
      <c r="D810" s="92">
        <v>50.33</v>
      </c>
      <c r="E810" s="51" cm="1">
        <f t="array" ref="E8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341.7808744648849</v>
      </c>
      <c r="F810" s="49" cm="1">
        <f t="array" ref="F81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74.458894159692491</v>
      </c>
      <c r="G810" s="20">
        <f>tbl_Monitoring[[#This Row],[Area (km2)]]/4046.8564224*1000000</f>
        <v>12436.813849242431</v>
      </c>
      <c r="H810" s="20">
        <f>tbl_Monitoring[[#This Row],[Volume (MCM)]]/1233.4818375475*1000000</f>
        <v>277086.26431374048</v>
      </c>
      <c r="I810" s="40">
        <f>tbl_Monitoring[[#This Row],[Elevation (SRTM30-m)]]*3.280839895</f>
        <v>244.28771049670164</v>
      </c>
    </row>
    <row r="811" spans="2:9" ht="16" x14ac:dyDescent="0.2">
      <c r="B811" s="90">
        <v>807</v>
      </c>
      <c r="C811" s="91">
        <v>45550</v>
      </c>
      <c r="D811" s="92">
        <v>50.2</v>
      </c>
      <c r="E811" s="51" cm="1">
        <f t="array" ref="E8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340.86940043966217</v>
      </c>
      <c r="F811" s="49" cm="1">
        <f t="array" ref="F81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74.442181855579989</v>
      </c>
      <c r="G811" s="20">
        <f>tbl_Monitoring[[#This Row],[Area (km2)]]/4046.8564224*1000000</f>
        <v>12404.6901496517</v>
      </c>
      <c r="H811" s="20">
        <f>tbl_Monitoring[[#This Row],[Volume (MCM)]]/1233.4818375475*1000000</f>
        <v>276347.32029569562</v>
      </c>
      <c r="I811" s="40">
        <f>tbl_Monitoring[[#This Row],[Elevation (SRTM30-m)]]*3.280839895</f>
        <v>244.23288010263198</v>
      </c>
    </row>
    <row r="812" spans="2:9" ht="16" x14ac:dyDescent="0.2">
      <c r="B812" s="90">
        <v>808</v>
      </c>
      <c r="C812" s="91">
        <v>45555</v>
      </c>
      <c r="D812" s="92">
        <v>49.16</v>
      </c>
      <c r="E812" s="51" cm="1">
        <f t="array" ref="E8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333.57760823788038</v>
      </c>
      <c r="F812" s="49" cm="1">
        <f t="array" ref="F81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74.308483422679885</v>
      </c>
      <c r="G812" s="20">
        <f>tbl_Monitoring[[#This Row],[Area (km2)]]/4046.8564224*1000000</f>
        <v>12147.700552925846</v>
      </c>
      <c r="H812" s="20">
        <f>tbl_Monitoring[[#This Row],[Volume (MCM)]]/1233.4818375475*1000000</f>
        <v>270435.76815133664</v>
      </c>
      <c r="I812" s="40">
        <f>tbl_Monitoring[[#This Row],[Elevation (SRTM30-m)]]*3.280839895</f>
        <v>243.79423695007432</v>
      </c>
    </row>
    <row r="813" spans="2:9" ht="16" x14ac:dyDescent="0.2">
      <c r="B813" s="90">
        <v>809</v>
      </c>
      <c r="C813" s="91">
        <v>45560</v>
      </c>
      <c r="D813" s="92">
        <v>48.23</v>
      </c>
      <c r="E813" s="51" cm="1">
        <f t="array" ref="E8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327.05706328821009</v>
      </c>
      <c r="F813" s="49" cm="1">
        <f t="array" ref="F81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74.188926170182683</v>
      </c>
      <c r="G813" s="20">
        <f>tbl_Monitoring[[#This Row],[Area (km2)]]/4046.8564224*1000000</f>
        <v>11917.892548161384</v>
      </c>
      <c r="H813" s="20">
        <f>tbl_Monitoring[[#This Row],[Volume (MCM)]]/1233.4818375475*1000000</f>
        <v>265149.47632993868</v>
      </c>
      <c r="I813" s="40">
        <f>tbl_Monitoring[[#This Row],[Elevation (SRTM30-m)]]*3.280839895</f>
        <v>243.40198874634493</v>
      </c>
    </row>
    <row r="814" spans="2:9" ht="16" x14ac:dyDescent="0.2">
      <c r="B814" s="90">
        <v>810</v>
      </c>
      <c r="C814" s="91">
        <v>45565</v>
      </c>
      <c r="D814" s="92">
        <v>47.49</v>
      </c>
      <c r="E814" s="51" cm="1">
        <f t="array" ref="E8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321.86867268309618</v>
      </c>
      <c r="F814" s="49" cm="1">
        <f t="array" ref="F81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74.093794592926841</v>
      </c>
      <c r="G814" s="20">
        <f>tbl_Monitoring[[#This Row],[Area (km2)]]/4046.8564224*1000000</f>
        <v>11735.034565875681</v>
      </c>
      <c r="H814" s="20">
        <f>tbl_Monitoring[[#This Row],[Volume (MCM)]]/1233.4818375475*1000000</f>
        <v>260943.17961183711</v>
      </c>
      <c r="I814" s="40">
        <f>tbl_Monitoring[[#This Row],[Elevation (SRTM30-m)]]*3.280839895</f>
        <v>243.08987727240967</v>
      </c>
    </row>
    <row r="815" spans="2:9" ht="16" x14ac:dyDescent="0.2">
      <c r="B815" s="90">
        <v>811</v>
      </c>
      <c r="C815" s="91">
        <v>45566</v>
      </c>
      <c r="D815" s="92">
        <v>46.62</v>
      </c>
      <c r="E815" s="51" cm="1">
        <f t="array" ref="E8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315.76956699029125</v>
      </c>
      <c r="F815" s="49" cm="1">
        <f t="array" ref="F81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73.978964401294505</v>
      </c>
      <c r="G815" s="20">
        <f>tbl_Monitoring[[#This Row],[Area (km2)]]/4046.8564224*1000000</f>
        <v>11520.052883999246</v>
      </c>
      <c r="H815" s="20">
        <f>tbl_Monitoring[[#This Row],[Volume (MCM)]]/1233.4818375475*1000000</f>
        <v>255998.55415636091</v>
      </c>
      <c r="I815" s="40">
        <f>tbl_Monitoring[[#This Row],[Elevation (SRTM30-m)]]*3.280839895</f>
        <v>242.71313779855183</v>
      </c>
    </row>
    <row r="816" spans="2:9" ht="16" x14ac:dyDescent="0.2">
      <c r="B816" s="90">
        <v>812</v>
      </c>
      <c r="C816" s="91">
        <v>45570</v>
      </c>
      <c r="D816" s="92">
        <v>46.71</v>
      </c>
      <c r="E816" s="51" cm="1">
        <f t="array" ref="E8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316.40010097087378</v>
      </c>
      <c r="F816" s="49" cm="1">
        <f t="array" ref="F81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73.992448759439057</v>
      </c>
      <c r="G816" s="20">
        <f>tbl_Monitoring[[#This Row],[Area (km2)]]/4046.8564224*1000000</f>
        <v>11542.292368331293</v>
      </c>
      <c r="H816" s="20">
        <f>tbl_Monitoring[[#This Row],[Volume (MCM)]]/1233.4818375475*1000000</f>
        <v>256509.73637355206</v>
      </c>
      <c r="I816" s="40">
        <f>tbl_Monitoring[[#This Row],[Elevation (SRTM30-m)]]*3.280839895</f>
        <v>242.75737781871092</v>
      </c>
    </row>
    <row r="817" spans="2:9" ht="16" x14ac:dyDescent="0.2">
      <c r="B817" s="90">
        <v>813</v>
      </c>
      <c r="C817" s="91">
        <v>45575</v>
      </c>
      <c r="D817" s="92">
        <v>45.93</v>
      </c>
      <c r="E817" s="51" cm="1">
        <f t="array" ref="E8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310.9354731391586</v>
      </c>
      <c r="F817" s="49" cm="1">
        <f t="array" ref="F81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73.87558432218627</v>
      </c>
      <c r="G817" s="20">
        <f>tbl_Monitoring[[#This Row],[Area (km2)]]/4046.8564224*1000000</f>
        <v>11349.550170786904</v>
      </c>
      <c r="H817" s="20">
        <f>tbl_Monitoring[[#This Row],[Volume (MCM)]]/1233.4818375475*1000000</f>
        <v>252079.49049122891</v>
      </c>
      <c r="I817" s="40">
        <f>tbl_Monitoring[[#This Row],[Elevation (SRTM30-m)]]*3.280839895</f>
        <v>242.37396431066526</v>
      </c>
    </row>
    <row r="818" spans="2:9" ht="16" x14ac:dyDescent="0.2">
      <c r="B818" s="90">
        <v>815</v>
      </c>
      <c r="C818" s="91">
        <v>45582</v>
      </c>
      <c r="D818" s="92">
        <v>43.65</v>
      </c>
      <c r="E818" s="51" cm="1">
        <f t="array" ref="E8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294.96194563106798</v>
      </c>
      <c r="F818" s="49" cm="1">
        <f t="array" ref="F81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73.533980582524265</v>
      </c>
      <c r="G818" s="20">
        <f>tbl_Monitoring[[#This Row],[Area (km2)]]/4046.8564224*1000000</f>
        <v>10786.149901041766</v>
      </c>
      <c r="H818" s="20">
        <f>tbl_Monitoring[[#This Row],[Volume (MCM)]]/1233.4818375475*1000000</f>
        <v>239129.54098905352</v>
      </c>
      <c r="I818" s="40">
        <f>tbl_Monitoring[[#This Row],[Elevation (SRTM30-m)]]*3.280839895</f>
        <v>241.25321713330095</v>
      </c>
    </row>
    <row r="819" spans="2:9" ht="16" x14ac:dyDescent="0.2">
      <c r="B819" s="90">
        <v>816</v>
      </c>
      <c r="C819" s="91">
        <v>45585</v>
      </c>
      <c r="D819" s="92">
        <v>43.34</v>
      </c>
      <c r="E819" s="51" cm="1">
        <f t="array" ref="E8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292.79010636461709</v>
      </c>
      <c r="F819" s="49" cm="1">
        <f t="array" ref="F81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73.487534460026367</v>
      </c>
      <c r="G819" s="20">
        <f>tbl_Monitoring[[#This Row],[Area (km2)]]/4046.8564224*1000000</f>
        <v>10709.547232786947</v>
      </c>
      <c r="H819" s="20">
        <f>tbl_Monitoring[[#This Row],[Volume (MCM)]]/1233.4818375475*1000000</f>
        <v>237368.80224095078</v>
      </c>
      <c r="I819" s="40">
        <f>tbl_Monitoring[[#This Row],[Elevation (SRTM30-m)]]*3.280839895</f>
        <v>241.10083484164181</v>
      </c>
    </row>
    <row r="820" spans="2:9" ht="16" x14ac:dyDescent="0.2">
      <c r="B820" s="90">
        <v>817</v>
      </c>
      <c r="C820" s="91">
        <v>45590</v>
      </c>
      <c r="D820" s="92">
        <v>42.67</v>
      </c>
      <c r="E820" s="51" cm="1">
        <f t="array" ref="E8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288.09613117583604</v>
      </c>
      <c r="F820" s="49" cm="1">
        <f t="array" ref="F82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73.387150904950261</v>
      </c>
      <c r="G820" s="20">
        <f>tbl_Monitoring[[#This Row],[Area (km2)]]/4046.8564224*1000000</f>
        <v>10543.986627203945</v>
      </c>
      <c r="H820" s="20">
        <f>tbl_Monitoring[[#This Row],[Volume (MCM)]]/1233.4818375475*1000000</f>
        <v>233563.33462408342</v>
      </c>
      <c r="I820" s="40">
        <f>tbl_Monitoring[[#This Row],[Elevation (SRTM30-m)]]*3.280839895</f>
        <v>240.77149246934619</v>
      </c>
    </row>
    <row r="821" spans="2:9" ht="16" x14ac:dyDescent="0.2">
      <c r="B821" s="90">
        <v>818</v>
      </c>
      <c r="C821" s="91">
        <v>45595</v>
      </c>
      <c r="D821" s="92">
        <v>43.06</v>
      </c>
      <c r="E821" s="51" cm="1">
        <f t="array" ref="E8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290.82844509169365</v>
      </c>
      <c r="F821" s="49" cm="1">
        <f t="array" ref="F82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73.445583123576654</v>
      </c>
      <c r="G821" s="20">
        <f>tbl_Monitoring[[#This Row],[Area (km2)]]/4046.8564224*1000000</f>
        <v>10640.357725976141</v>
      </c>
      <c r="H821" s="20">
        <f>tbl_Monitoring[[#This Row],[Volume (MCM)]]/1233.4818375475*1000000</f>
        <v>235778.45756524501</v>
      </c>
      <c r="I821" s="40">
        <f>tbl_Monitoring[[#This Row],[Elevation (SRTM30-m)]]*3.280839895</f>
        <v>240.963199223369</v>
      </c>
    </row>
    <row r="822" spans="2:9" ht="16" x14ac:dyDescent="0.2">
      <c r="B822" s="90">
        <v>819</v>
      </c>
      <c r="C822" s="91">
        <v>45598</v>
      </c>
      <c r="D822" s="92">
        <v>41.85</v>
      </c>
      <c r="E822" s="51" cm="1">
        <f t="array" ref="E8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282.35126601941749</v>
      </c>
      <c r="F822" s="49" cm="1">
        <f t="array" ref="F82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73.264293419633219</v>
      </c>
      <c r="G822" s="20">
        <f>tbl_Monitoring[[#This Row],[Area (km2)]]/4046.8564224*1000000</f>
        <v>10341.360214400869</v>
      </c>
      <c r="H822" s="20">
        <f>tbl_Monitoring[[#This Row],[Volume (MCM)]]/1233.4818375475*1000000</f>
        <v>228905.89664523088</v>
      </c>
      <c r="I822" s="40">
        <f>tbl_Monitoring[[#This Row],[Elevation (SRTM30-m)]]*3.280839895</f>
        <v>240.36841673011867</v>
      </c>
    </row>
    <row r="823" spans="2:9" ht="16" x14ac:dyDescent="0.2">
      <c r="B823" s="90">
        <v>820</v>
      </c>
      <c r="C823" s="91">
        <v>45600</v>
      </c>
      <c r="D823" s="92">
        <v>41.08</v>
      </c>
      <c r="E823" s="51" cm="1">
        <f t="array" ref="E8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276.95669751887812</v>
      </c>
      <c r="F823" s="49" cm="1">
        <f t="array" ref="F82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73.148927244396504</v>
      </c>
      <c r="G823" s="20">
        <f>tbl_Monitoring[[#This Row],[Area (km2)]]/4046.8564224*1000000</f>
        <v>10151.089070671151</v>
      </c>
      <c r="H823" s="20">
        <f>tbl_Monitoring[[#This Row],[Volume (MCM)]]/1233.4818375475*1000000</f>
        <v>224532.44878704008</v>
      </c>
      <c r="I823" s="40">
        <f>tbl_Monitoring[[#This Row],[Elevation (SRTM30-m)]]*3.280839895</f>
        <v>239.98991877986847</v>
      </c>
    </row>
    <row r="824" spans="2:9" ht="16" x14ac:dyDescent="0.2">
      <c r="B824" s="90">
        <v>821</v>
      </c>
      <c r="C824" s="91">
        <v>45610</v>
      </c>
      <c r="D824" s="92">
        <v>39.93</v>
      </c>
      <c r="E824" s="51" cm="1">
        <f t="array" ref="E8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268.86575377128952</v>
      </c>
      <c r="F824" s="49" cm="1">
        <f t="array" ref="F82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72.97188429305217</v>
      </c>
      <c r="G824" s="20">
        <f>tbl_Monitoring[[#This Row],[Area (km2)]]/4046.8564224*1000000</f>
        <v>9866.9178819839126</v>
      </c>
      <c r="H824" s="20">
        <f>tbl_Monitoring[[#This Row],[Volume (MCM)]]/1233.4818375475*1000000</f>
        <v>217973.0139406579</v>
      </c>
      <c r="I824" s="40">
        <f>tbl_Monitoring[[#This Row],[Elevation (SRTM30-m)]]*3.280839895</f>
        <v>239.40906920196943</v>
      </c>
    </row>
    <row r="825" spans="2:9" ht="16" x14ac:dyDescent="0.2">
      <c r="B825" s="90">
        <v>822</v>
      </c>
      <c r="C825" s="91">
        <v>45614</v>
      </c>
      <c r="D825" s="92">
        <v>39.53</v>
      </c>
      <c r="E825" s="51" cm="1">
        <f t="array" ref="E8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265.97589164639095</v>
      </c>
      <c r="F825" s="49" cm="1">
        <f t="array" ref="F82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72.899792736775709</v>
      </c>
      <c r="G825" s="20">
        <f>tbl_Monitoring[[#This Row],[Area (km2)]]/4046.8564224*1000000</f>
        <v>9768.0757293970455</v>
      </c>
      <c r="H825" s="20">
        <f>tbl_Monitoring[[#This Row],[Volume (MCM)]]/1233.4818375475*1000000</f>
        <v>215630.16458776881</v>
      </c>
      <c r="I825" s="40">
        <f>tbl_Monitoring[[#This Row],[Elevation (SRTM30-m)]]*3.280839895</f>
        <v>239.17254834804498</v>
      </c>
    </row>
    <row r="826" spans="2:9" ht="16" x14ac:dyDescent="0.2">
      <c r="B826" s="90">
        <v>823</v>
      </c>
      <c r="C826" s="91">
        <v>45615</v>
      </c>
      <c r="D826" s="92">
        <v>39.61</v>
      </c>
      <c r="E826" s="51" cm="1">
        <f t="array" ref="E8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266.55386407137064</v>
      </c>
      <c r="F826" s="49" cm="1">
        <f t="array" ref="F82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72.914211048031007</v>
      </c>
      <c r="G826" s="20">
        <f>tbl_Monitoring[[#This Row],[Area (km2)]]/4046.8564224*1000000</f>
        <v>9787.8441599144189</v>
      </c>
      <c r="H826" s="20">
        <f>tbl_Monitoring[[#This Row],[Volume (MCM)]]/1233.4818375475*1000000</f>
        <v>216098.73445834662</v>
      </c>
      <c r="I826" s="40">
        <f>tbl_Monitoring[[#This Row],[Elevation (SRTM30-m)]]*3.280839895</f>
        <v>239.2198525188299</v>
      </c>
    </row>
    <row r="827" spans="2:9" ht="16" x14ac:dyDescent="0.2">
      <c r="B827" s="90">
        <v>824</v>
      </c>
      <c r="C827" s="91">
        <v>45620</v>
      </c>
      <c r="D827" s="92">
        <v>38.78</v>
      </c>
      <c r="E827" s="51" cm="1">
        <f t="array" ref="E8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260.55740016220602</v>
      </c>
      <c r="F827" s="49" cm="1">
        <f t="array" ref="F82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72.764621068757322</v>
      </c>
      <c r="G827" s="20">
        <f>tbl_Monitoring[[#This Row],[Area (km2)]]/4046.8564224*1000000</f>
        <v>9582.7466932966709</v>
      </c>
      <c r="H827" s="20">
        <f>tbl_Monitoring[[#This Row],[Volume (MCM)]]/1233.4818375475*1000000</f>
        <v>211237.32205110177</v>
      </c>
      <c r="I827" s="40">
        <f>tbl_Monitoring[[#This Row],[Elevation (SRTM30-m)]]*3.280839895</f>
        <v>238.72907174693657</v>
      </c>
    </row>
    <row r="828" spans="2:9" ht="16" x14ac:dyDescent="0.2">
      <c r="B828" s="90">
        <v>825</v>
      </c>
      <c r="C828" s="91">
        <v>45625</v>
      </c>
      <c r="D828" s="92">
        <v>40.53</v>
      </c>
      <c r="E828" s="51" cm="1">
        <f t="array" ref="E8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273.10343430420716</v>
      </c>
      <c r="F828" s="49" cm="1">
        <f t="array" ref="F82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73.066522833513119</v>
      </c>
      <c r="G828" s="20">
        <f>tbl_Monitoring[[#This Row],[Area (km2)]]/4046.8564224*1000000</f>
        <v>10015.181110864212</v>
      </c>
      <c r="H828" s="20">
        <f>tbl_Monitoring[[#This Row],[Volume (MCM)]]/1233.4818375475*1000000</f>
        <v>221408.55745976095</v>
      </c>
      <c r="I828" s="40">
        <f>tbl_Monitoring[[#This Row],[Elevation (SRTM30-m)]]*3.280839895</f>
        <v>239.7195631011183</v>
      </c>
    </row>
    <row r="829" spans="2:9" ht="16" x14ac:dyDescent="0.2">
      <c r="B829" s="90">
        <v>826</v>
      </c>
      <c r="C829" s="91">
        <v>45630</v>
      </c>
      <c r="D829" s="92">
        <v>36.659999999999997</v>
      </c>
      <c r="E829" s="51" cm="1">
        <f t="array" ref="E8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245.24113090024329</v>
      </c>
      <c r="F829" s="49" cm="1">
        <f t="array" ref="F82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72.382535820492024</v>
      </c>
      <c r="G829" s="20">
        <f>tbl_Monitoring[[#This Row],[Area (km2)]]/4046.8564224*1000000</f>
        <v>9058.8832845862798</v>
      </c>
      <c r="H829" s="20">
        <f>tbl_Monitoring[[#This Row],[Volume (MCM)]]/1233.4818375475*1000000</f>
        <v>198820.22048078949</v>
      </c>
      <c r="I829" s="40">
        <f>tbl_Monitoring[[#This Row],[Elevation (SRTM30-m)]]*3.280839895</f>
        <v>237.4755112211368</v>
      </c>
    </row>
    <row r="830" spans="2:9" ht="16" x14ac:dyDescent="0.2">
      <c r="B830" s="90">
        <v>827</v>
      </c>
      <c r="C830" s="91">
        <v>45635</v>
      </c>
      <c r="D830" s="92">
        <v>36.82</v>
      </c>
      <c r="E830" s="51" cm="1">
        <f t="array" ref="E8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246.39707575020276</v>
      </c>
      <c r="F830" s="49" cm="1">
        <f t="array" ref="F83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72.41137244300262</v>
      </c>
      <c r="G830" s="20">
        <f>tbl_Monitoring[[#This Row],[Area (km2)]]/4046.8564224*1000000</f>
        <v>9098.4201456210267</v>
      </c>
      <c r="H830" s="20">
        <f>tbl_Monitoring[[#This Row],[Volume (MCM)]]/1233.4818375475*1000000</f>
        <v>199757.36022194516</v>
      </c>
      <c r="I830" s="40">
        <f>tbl_Monitoring[[#This Row],[Elevation (SRTM30-m)]]*3.280839895</f>
        <v>237.57011956270662</v>
      </c>
    </row>
    <row r="831" spans="2:9" ht="16" x14ac:dyDescent="0.2">
      <c r="B831" s="90">
        <v>828</v>
      </c>
      <c r="C831" s="91">
        <v>45640</v>
      </c>
      <c r="D831" s="92">
        <v>36.22</v>
      </c>
      <c r="E831" s="51" cm="1">
        <f t="array" ref="E8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242.06228256285482</v>
      </c>
      <c r="F831" s="49" cm="1">
        <f t="array" ref="F83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72.303235108587913</v>
      </c>
      <c r="G831" s="20">
        <f>tbl_Monitoring[[#This Row],[Area (km2)]]/4046.8564224*1000000</f>
        <v>8950.156916740727</v>
      </c>
      <c r="H831" s="20">
        <f>tbl_Monitoring[[#This Row],[Volume (MCM)]]/1233.4818375475*1000000</f>
        <v>196243.08619261146</v>
      </c>
      <c r="I831" s="40">
        <f>tbl_Monitoring[[#This Row],[Elevation (SRTM30-m)]]*3.280839895</f>
        <v>237.2153382818199</v>
      </c>
    </row>
    <row r="832" spans="2:9" ht="16" x14ac:dyDescent="0.2">
      <c r="B832" s="90">
        <v>829</v>
      </c>
      <c r="C832" s="91">
        <v>45645</v>
      </c>
      <c r="D832" s="92">
        <v>35.82</v>
      </c>
      <c r="E832" s="51" cm="1">
        <f t="array" ref="E8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239.17242043795619</v>
      </c>
      <c r="F832" s="49" cm="1">
        <f t="array" ref="F83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72.231143552311437</v>
      </c>
      <c r="G832" s="20">
        <f>tbl_Monitoring[[#This Row],[Area (km2)]]/4046.8564224*1000000</f>
        <v>8851.3147641538617</v>
      </c>
      <c r="H832" s="20">
        <f>tbl_Monitoring[[#This Row],[Volume (MCM)]]/1233.4818375475*1000000</f>
        <v>193900.23683972238</v>
      </c>
      <c r="I832" s="40">
        <f>tbl_Monitoring[[#This Row],[Elevation (SRTM30-m)]]*3.280839895</f>
        <v>236.97881742789539</v>
      </c>
    </row>
    <row r="833" spans="2:9" ht="16" x14ac:dyDescent="0.2">
      <c r="B833" s="90">
        <v>830</v>
      </c>
      <c r="C833" s="91">
        <v>45650</v>
      </c>
      <c r="D833" s="92">
        <v>35.53</v>
      </c>
      <c r="E833" s="51" cm="1">
        <f t="array" ref="E8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237.0772703974047</v>
      </c>
      <c r="F833" s="49" cm="1">
        <f t="array" ref="F83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72.178877174010992</v>
      </c>
      <c r="G833" s="20">
        <f>tbl_Monitoring[[#This Row],[Area (km2)]]/4046.8564224*1000000</f>
        <v>8779.6542035283856</v>
      </c>
      <c r="H833" s="20">
        <f>tbl_Monitoring[[#This Row],[Volume (MCM)]]/1233.4818375475*1000000</f>
        <v>192201.67105887778</v>
      </c>
      <c r="I833" s="40">
        <f>tbl_Monitoring[[#This Row],[Elevation (SRTM30-m)]]*3.280839895</f>
        <v>236.80733980880012</v>
      </c>
    </row>
    <row r="834" spans="2:9" ht="16" x14ac:dyDescent="0.2">
      <c r="B834" s="90">
        <v>831</v>
      </c>
      <c r="C834" s="91">
        <v>45655</v>
      </c>
      <c r="D834" s="92">
        <v>37.770000000000003</v>
      </c>
      <c r="E834" s="51" cm="1">
        <f t="array" ref="E8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253.260498296837</v>
      </c>
      <c r="F834" s="49" cm="1">
        <f t="array" ref="F83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72.582589889159237</v>
      </c>
      <c r="G834" s="20">
        <f>tbl_Monitoring[[#This Row],[Area (km2)]]/4046.8564224*1000000</f>
        <v>9333.1702580148358</v>
      </c>
      <c r="H834" s="20">
        <f>tbl_Monitoring[[#This Row],[Volume (MCM)]]/1233.4818375475*1000000</f>
        <v>205321.62743505678</v>
      </c>
      <c r="I834" s="40">
        <f>tbl_Monitoring[[#This Row],[Elevation (SRTM30-m)]]*3.280839895</f>
        <v>238.13185659077726</v>
      </c>
    </row>
    <row r="835" spans="2:9" ht="16" x14ac:dyDescent="0.2">
      <c r="B835" s="90">
        <v>832</v>
      </c>
      <c r="C835" s="91">
        <v>45660</v>
      </c>
      <c r="D835" s="92">
        <v>35.43</v>
      </c>
      <c r="E835" s="51" cm="1">
        <f t="array" ref="E8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236.35480486618005</v>
      </c>
      <c r="F835" s="49" cm="1">
        <f t="array" ref="F83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72.160854284941877</v>
      </c>
      <c r="G835" s="20">
        <f>tbl_Monitoring[[#This Row],[Area (km2)]]/4046.8564224*1000000</f>
        <v>8754.9436653816683</v>
      </c>
      <c r="H835" s="20">
        <f>tbl_Monitoring[[#This Row],[Volume (MCM)]]/1233.4818375475*1000000</f>
        <v>191615.9587206555</v>
      </c>
      <c r="I835" s="40">
        <f>tbl_Monitoring[[#This Row],[Elevation (SRTM30-m)]]*3.280839895</f>
        <v>236.74820959531903</v>
      </c>
    </row>
    <row r="836" spans="2:9" ht="16" x14ac:dyDescent="0.2">
      <c r="B836" s="90">
        <v>833</v>
      </c>
      <c r="C836" s="91">
        <v>45662</v>
      </c>
      <c r="D836" s="92">
        <v>35.18</v>
      </c>
      <c r="E836" s="51" cm="1">
        <f t="array" ref="E8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234.5486410381184</v>
      </c>
      <c r="F836" s="49" cm="1">
        <f t="array" ref="F83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72.115797062269081</v>
      </c>
      <c r="G836" s="20">
        <f>tbl_Monitoring[[#This Row],[Area (km2)]]/4046.8564224*1000000</f>
        <v>8693.1673200148762</v>
      </c>
      <c r="H836" s="20">
        <f>tbl_Monitoring[[#This Row],[Volume (MCM)]]/1233.4818375475*1000000</f>
        <v>190151.67787509982</v>
      </c>
      <c r="I836" s="40">
        <f>tbl_Monitoring[[#This Row],[Elevation (SRTM30-m)]]*3.280839895</f>
        <v>236.60038406161621</v>
      </c>
    </row>
    <row r="837" spans="2:9" ht="16" x14ac:dyDescent="0.2">
      <c r="B837" s="90">
        <v>834</v>
      </c>
      <c r="C837" s="91">
        <v>45665</v>
      </c>
      <c r="D837" s="92">
        <v>35.61</v>
      </c>
      <c r="E837" s="51" cm="1">
        <f t="array" ref="E8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237.65524282238442</v>
      </c>
      <c r="F837" s="49" cm="1">
        <f t="array" ref="F83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72.19329548526629</v>
      </c>
      <c r="G837" s="20">
        <f>tbl_Monitoring[[#This Row],[Area (km2)]]/4046.8564224*1000000</f>
        <v>8799.4226340457571</v>
      </c>
      <c r="H837" s="20">
        <f>tbl_Monitoring[[#This Row],[Volume (MCM)]]/1233.4818375475*1000000</f>
        <v>192670.24092945558</v>
      </c>
      <c r="I837" s="40">
        <f>tbl_Monitoring[[#This Row],[Elevation (SRTM30-m)]]*3.280839895</f>
        <v>236.85464397958503</v>
      </c>
    </row>
    <row r="838" spans="2:9" ht="16" x14ac:dyDescent="0.2">
      <c r="B838" s="90">
        <v>835</v>
      </c>
      <c r="C838" s="91">
        <v>45670</v>
      </c>
      <c r="D838" s="92">
        <v>34.54</v>
      </c>
      <c r="E838" s="51" cm="1">
        <f t="array" ref="E8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229.92486163828062</v>
      </c>
      <c r="F838" s="49" cm="1">
        <f t="array" ref="F83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72.000450572226725</v>
      </c>
      <c r="G838" s="20">
        <f>tbl_Monitoring[[#This Row],[Area (km2)]]/4046.8564224*1000000</f>
        <v>8535.0198758758906</v>
      </c>
      <c r="H838" s="20">
        <f>tbl_Monitoring[[#This Row],[Volume (MCM)]]/1233.4818375475*1000000</f>
        <v>186403.11891047726</v>
      </c>
      <c r="I838" s="40">
        <f>tbl_Monitoring[[#This Row],[Elevation (SRTM30-m)]]*3.280839895</f>
        <v>236.22195069533703</v>
      </c>
    </row>
    <row r="839" spans="2:9" ht="16" x14ac:dyDescent="0.2">
      <c r="B839" s="90">
        <v>836</v>
      </c>
      <c r="C839" s="91">
        <v>45678</v>
      </c>
      <c r="D839" s="92">
        <v>36.869999999999997</v>
      </c>
      <c r="E839" s="51" cm="1">
        <f t="array" ref="E8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246.75830851581506</v>
      </c>
      <c r="F839" s="49" cm="1">
        <f t="array" ref="F83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72.42038388753717</v>
      </c>
      <c r="G839" s="20">
        <f>tbl_Monitoring[[#This Row],[Area (km2)]]/4046.8564224*1000000</f>
        <v>9110.7754146943844</v>
      </c>
      <c r="H839" s="20">
        <f>tbl_Monitoring[[#This Row],[Volume (MCM)]]/1233.4818375475*1000000</f>
        <v>200050.21639105625</v>
      </c>
      <c r="I839" s="40">
        <f>tbl_Monitoring[[#This Row],[Elevation (SRTM30-m)]]*3.280839895</f>
        <v>237.59968466944716</v>
      </c>
    </row>
    <row r="840" spans="2:9" ht="16" x14ac:dyDescent="0.2">
      <c r="B840" s="90">
        <v>837</v>
      </c>
      <c r="C840" s="91">
        <v>45680</v>
      </c>
      <c r="D840" s="92">
        <v>34.950000000000003</v>
      </c>
      <c r="E840" s="51" cm="1">
        <f t="array" ref="E8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232.88697031630173</v>
      </c>
      <c r="F840" s="49" cm="1">
        <f t="array" ref="F84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72.074344417410117</v>
      </c>
      <c r="G840" s="20">
        <f>tbl_Monitoring[[#This Row],[Area (km2)]]/4046.8564224*1000000</f>
        <v>8636.3330822774296</v>
      </c>
      <c r="H840" s="20">
        <f>tbl_Monitoring[[#This Row],[Volume (MCM)]]/1233.4818375475*1000000</f>
        <v>188804.53949718858</v>
      </c>
      <c r="I840" s="40">
        <f>tbl_Monitoring[[#This Row],[Elevation (SRTM30-m)]]*3.280839895</f>
        <v>236.46438457060967</v>
      </c>
    </row>
    <row r="841" spans="2:9" ht="16" x14ac:dyDescent="0.2">
      <c r="B841" s="90">
        <v>838</v>
      </c>
      <c r="C841" s="91">
        <v>45690</v>
      </c>
      <c r="D841" s="92">
        <v>32.86</v>
      </c>
      <c r="E841" s="51" cm="1">
        <f t="array" ref="E8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217.66140100817955</v>
      </c>
      <c r="F841" s="49" cm="1">
        <f t="array" ref="F84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71.64544628326253</v>
      </c>
      <c r="G841" s="20">
        <f>tbl_Monitoring[[#This Row],[Area (km2)]]/4046.8564224*1000000</f>
        <v>8119.8828350110534</v>
      </c>
      <c r="H841" s="20">
        <f>tbl_Monitoring[[#This Row],[Volume (MCM)]]/1233.4818375475*1000000</f>
        <v>176460.969576131</v>
      </c>
      <c r="I841" s="40">
        <f>tbl_Monitoring[[#This Row],[Elevation (SRTM30-m)]]*3.280839895</f>
        <v>235.05723846120719</v>
      </c>
    </row>
    <row r="842" spans="2:9" ht="16" x14ac:dyDescent="0.2">
      <c r="B842" s="90">
        <v>839</v>
      </c>
      <c r="C842" s="91">
        <v>45694</v>
      </c>
      <c r="D842" s="92">
        <v>32.520000000000003</v>
      </c>
      <c r="E842" s="51" cm="1">
        <f t="array" ref="E8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215.17947215141717</v>
      </c>
      <c r="F842" s="49" cm="1">
        <f t="array" ref="F84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71.573584427113062</v>
      </c>
      <c r="G842" s="20">
        <f>tbl_Monitoring[[#This Row],[Area (km2)]]/4046.8564224*1000000</f>
        <v>8035.8670053122178</v>
      </c>
      <c r="H842" s="20">
        <f>tbl_Monitoring[[#This Row],[Volume (MCM)]]/1233.4818375475*1000000</f>
        <v>174448.83710590581</v>
      </c>
      <c r="I842" s="40">
        <f>tbl_Monitoring[[#This Row],[Elevation (SRTM30-m)]]*3.280839895</f>
        <v>234.82147121662325</v>
      </c>
    </row>
    <row r="843" spans="2:9" ht="16" x14ac:dyDescent="0.2">
      <c r="B843" s="90">
        <v>840</v>
      </c>
      <c r="C843" s="91">
        <v>45695</v>
      </c>
      <c r="D843" s="92">
        <v>36.36</v>
      </c>
      <c r="E843" s="51" cm="1">
        <f t="array" ref="E8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243.07373430656932</v>
      </c>
      <c r="F843" s="49" cm="1">
        <f t="array" ref="F84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72.328467153284677</v>
      </c>
      <c r="G843" s="20">
        <f>tbl_Monitoring[[#This Row],[Area (km2)]]/4046.8564224*1000000</f>
        <v>8984.7516701461318</v>
      </c>
      <c r="H843" s="20">
        <f>tbl_Monitoring[[#This Row],[Volume (MCM)]]/1233.4818375475*1000000</f>
        <v>197063.08346612265</v>
      </c>
      <c r="I843" s="40">
        <f>tbl_Monitoring[[#This Row],[Elevation (SRTM30-m)]]*3.280839895</f>
        <v>237.29812058069345</v>
      </c>
    </row>
    <row r="844" spans="2:9" ht="16" x14ac:dyDescent="0.2">
      <c r="B844" s="90">
        <v>841</v>
      </c>
      <c r="C844" s="91">
        <v>45700</v>
      </c>
      <c r="D844" s="92">
        <v>32.049999999999997</v>
      </c>
      <c r="E844" s="51" cm="1">
        <f t="array" ref="E8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211.74857049648085</v>
      </c>
      <c r="F844" s="49" cm="1">
        <f t="array" ref="F84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71.474245978906424</v>
      </c>
      <c r="G844" s="20">
        <f>tbl_Monitoring[[#This Row],[Area (km2)]]/4046.8564224*1000000</f>
        <v>7919.7274760226483</v>
      </c>
      <c r="H844" s="20">
        <f>tbl_Monitoring[[#This Row],[Volume (MCM)]]/1233.4818375475*1000000</f>
        <v>171667.35986765323</v>
      </c>
      <c r="I844" s="40">
        <f>tbl_Monitoring[[#This Row],[Elevation (SRTM30-m)]]*3.280839895</f>
        <v>234.49555767263953</v>
      </c>
    </row>
    <row r="845" spans="2:9" ht="16" x14ac:dyDescent="0.2">
      <c r="B845" s="90">
        <v>842</v>
      </c>
      <c r="C845" s="91">
        <v>45710</v>
      </c>
      <c r="D845" s="92">
        <v>31.16</v>
      </c>
      <c r="E845" s="51" cm="1">
        <f t="array" ref="E8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205.25175672436751</v>
      </c>
      <c r="F845" s="49" cm="1">
        <f t="array" ref="F84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71.286137002515161</v>
      </c>
      <c r="G845" s="20">
        <f>tbl_Monitoring[[#This Row],[Area (km2)]]/4046.8564224*1000000</f>
        <v>7699.8036865168715</v>
      </c>
      <c r="H845" s="20">
        <f>tbl_Monitoring[[#This Row],[Volume (MCM)]]/1233.4818375475*1000000</f>
        <v>166400.30722500486</v>
      </c>
      <c r="I845" s="40">
        <f>tbl_Monitoring[[#This Row],[Elevation (SRTM30-m)]]*3.280839895</f>
        <v>233.87840223828746</v>
      </c>
    </row>
    <row r="846" spans="2:9" ht="16" x14ac:dyDescent="0.2">
      <c r="B846" s="90">
        <v>843</v>
      </c>
      <c r="C846" s="91">
        <v>45720</v>
      </c>
      <c r="D846" s="92">
        <v>29.18</v>
      </c>
      <c r="E846" s="51" cm="1">
        <f t="array" ref="E8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191.01064266498528</v>
      </c>
      <c r="F846" s="49" cm="1">
        <f t="array" ref="F84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70.853766755406099</v>
      </c>
      <c r="G846" s="20">
        <f>tbl_Monitoring[[#This Row],[Area (km2)]]/4046.8564224*1000000</f>
        <v>7210.5350312118844</v>
      </c>
      <c r="H846" s="20">
        <f>tbl_Monitoring[[#This Row],[Volume (MCM)]]/1233.4818375475*1000000</f>
        <v>154854.84816279646</v>
      </c>
      <c r="I846" s="40">
        <f>tbl_Monitoring[[#This Row],[Elevation (SRTM30-m)]]*3.280839895</f>
        <v>232.45986468216105</v>
      </c>
    </row>
    <row r="847" spans="2:9" ht="16" x14ac:dyDescent="0.2">
      <c r="B847" s="90">
        <v>844</v>
      </c>
      <c r="C847" s="91">
        <v>45725</v>
      </c>
      <c r="D847" s="92">
        <v>31.08</v>
      </c>
      <c r="E847" s="51" cm="1">
        <f t="array" ref="E8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204.66777346395281</v>
      </c>
      <c r="F847" s="49" cm="1">
        <f t="array" ref="F84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71.26922833047999</v>
      </c>
      <c r="G847" s="20">
        <f>tbl_Monitoring[[#This Row],[Area (km2)]]/4046.8564224*1000000</f>
        <v>7680.0352559994981</v>
      </c>
      <c r="H847" s="20">
        <f>tbl_Monitoring[[#This Row],[Volume (MCM)]]/1233.4818375475*1000000</f>
        <v>165926.8642908342</v>
      </c>
      <c r="I847" s="40">
        <f>tbl_Monitoring[[#This Row],[Elevation (SRTM30-m)]]*3.280839895</f>
        <v>233.82292759250302</v>
      </c>
    </row>
    <row r="848" spans="2:9" ht="16" x14ac:dyDescent="0.2">
      <c r="B848" s="90">
        <v>845</v>
      </c>
      <c r="C848" s="91">
        <v>45730</v>
      </c>
      <c r="D848" s="92">
        <v>27.99</v>
      </c>
      <c r="E848" s="51" cm="1">
        <f t="array" ref="E8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182.72766242118536</v>
      </c>
      <c r="F848" s="49" cm="1">
        <f t="array" ref="F84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70.575872215216478</v>
      </c>
      <c r="G848" s="20">
        <f>tbl_Monitoring[[#This Row],[Area (km2)]]/4046.8564224*1000000</f>
        <v>6916.4796272659578</v>
      </c>
      <c r="H848" s="20">
        <f>tbl_Monitoring[[#This Row],[Volume (MCM)]]/1233.4818375475*1000000</f>
        <v>148139.72679524656</v>
      </c>
      <c r="I848" s="40">
        <f>tbl_Monitoring[[#This Row],[Elevation (SRTM30-m)]]*3.280839895</f>
        <v>231.54813718810425</v>
      </c>
    </row>
    <row r="849" spans="2:9" ht="16" x14ac:dyDescent="0.2">
      <c r="B849" s="90">
        <v>846</v>
      </c>
      <c r="C849" s="91">
        <v>45735</v>
      </c>
      <c r="D849" s="92">
        <v>27.17</v>
      </c>
      <c r="E849" s="51" cm="1">
        <f t="array" ref="E8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177.02006258932326</v>
      </c>
      <c r="F849" s="49" cm="1">
        <f t="array" ref="F84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70.384381859791702</v>
      </c>
      <c r="G849" s="20">
        <f>tbl_Monitoring[[#This Row],[Area (km2)]]/4046.8564224*1000000</f>
        <v>6713.8532144628825</v>
      </c>
      <c r="H849" s="20">
        <f>tbl_Monitoring[[#This Row],[Volume (MCM)]]/1233.4818375475*1000000</f>
        <v>143512.50030668281</v>
      </c>
      <c r="I849" s="40">
        <f>tbl_Monitoring[[#This Row],[Elevation (SRTM30-m)]]*3.280839895</f>
        <v>230.91988799051893</v>
      </c>
    </row>
    <row r="850" spans="2:9" ht="16" x14ac:dyDescent="0.2">
      <c r="B850" s="90">
        <v>847</v>
      </c>
      <c r="C850" s="91">
        <v>45740</v>
      </c>
      <c r="D850" s="92">
        <v>25.59</v>
      </c>
      <c r="E850" s="51" cm="1">
        <f t="array" ref="E8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166.02249218158889</v>
      </c>
      <c r="F850" s="49" cm="1">
        <f t="array" ref="F85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70.015412638363458</v>
      </c>
      <c r="G850" s="20">
        <f>tbl_Monitoring[[#This Row],[Area (km2)]]/4046.8564224*1000000</f>
        <v>6323.4267117447607</v>
      </c>
      <c r="H850" s="20">
        <f>tbl_Monitoring[[#This Row],[Volume (MCM)]]/1233.4818375475*1000000</f>
        <v>134596.62487749889</v>
      </c>
      <c r="I850" s="40">
        <f>tbl_Monitoring[[#This Row],[Elevation (SRTM30-m)]]*3.280839895</f>
        <v>229.70935904883004</v>
      </c>
    </row>
    <row r="851" spans="2:9" ht="16" x14ac:dyDescent="0.2">
      <c r="B851" s="90">
        <v>848</v>
      </c>
      <c r="C851" s="91">
        <v>45742</v>
      </c>
      <c r="D851" s="92">
        <v>26.23</v>
      </c>
      <c r="E851" s="51" cm="1">
        <f t="array" ref="E8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170.47720424548129</v>
      </c>
      <c r="F851" s="49" cm="1">
        <f t="array" ref="F85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70.16486852552427</v>
      </c>
      <c r="G851" s="20">
        <f>tbl_Monitoring[[#This Row],[Area (km2)]]/4046.8564224*1000000</f>
        <v>6481.5741558837462</v>
      </c>
      <c r="H851" s="20">
        <f>tbl_Monitoring[[#This Row],[Volume (MCM)]]/1233.4818375475*1000000</f>
        <v>138208.11872223162</v>
      </c>
      <c r="I851" s="40">
        <f>tbl_Monitoring[[#This Row],[Elevation (SRTM30-m)]]*3.280839895</f>
        <v>230.19969988596986</v>
      </c>
    </row>
    <row r="852" spans="2:9" ht="16" x14ac:dyDescent="0.2">
      <c r="B852" s="90">
        <v>849</v>
      </c>
      <c r="C852" s="91">
        <v>45745</v>
      </c>
      <c r="D852" s="92">
        <v>24.75</v>
      </c>
      <c r="E852" s="51" cm="1">
        <f t="array" ref="E8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160.05754695259591</v>
      </c>
      <c r="F852" s="49" cm="1">
        <f t="array" ref="F85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69.78429897165789</v>
      </c>
      <c r="G852" s="20">
        <f>tbl_Monitoring[[#This Row],[Area (km2)]]/4046.8564224*1000000</f>
        <v>6115.8581913123417</v>
      </c>
      <c r="H852" s="20">
        <f>tbl_Monitoring[[#This Row],[Volume (MCM)]]/1233.4818375475*1000000</f>
        <v>129760.76508012002</v>
      </c>
      <c r="I852" s="40">
        <f>tbl_Monitoring[[#This Row],[Elevation (SRTM30-m)]]*3.280839895</f>
        <v>228.95111211082269</v>
      </c>
    </row>
    <row r="853" spans="2:9" ht="16" x14ac:dyDescent="0.2">
      <c r="B853" s="90">
        <v>850</v>
      </c>
      <c r="C853" s="91">
        <v>45750</v>
      </c>
      <c r="D853" s="92">
        <v>24.43</v>
      </c>
      <c r="E853" s="51" cm="1">
        <f t="array" ref="E8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157.78134931025832</v>
      </c>
      <c r="F853" s="49" cm="1">
        <f t="array" ref="F85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69.695120251929879</v>
      </c>
      <c r="G853" s="20">
        <f>tbl_Monitoring[[#This Row],[Area (km2)]]/4046.8564224*1000000</f>
        <v>6036.7844692428489</v>
      </c>
      <c r="H853" s="20">
        <f>tbl_Monitoring[[#This Row],[Volume (MCM)]]/1233.4818375475*1000000</f>
        <v>127915.4216198034</v>
      </c>
      <c r="I853" s="40">
        <f>tbl_Monitoring[[#This Row],[Elevation (SRTM30-m)]]*3.280839895</f>
        <v>228.65853100935402</v>
      </c>
    </row>
    <row r="854" spans="2:9" ht="16" x14ac:dyDescent="0.2">
      <c r="B854" s="90">
        <v>852</v>
      </c>
      <c r="C854" s="91">
        <v>45758</v>
      </c>
      <c r="D854" s="92">
        <v>22.8</v>
      </c>
      <c r="E854" s="51" cm="1">
        <f t="array" ref="E8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146.18696756960119</v>
      </c>
      <c r="F854" s="49" cm="1">
        <f t="array" ref="F85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69.240866148315362</v>
      </c>
      <c r="G854" s="20">
        <f>tbl_Monitoring[[#This Row],[Area (km2)]]/4046.8564224*1000000</f>
        <v>5634.0026974513703</v>
      </c>
      <c r="H854" s="20">
        <f>tbl_Monitoring[[#This Row],[Volume (MCM)]]/1233.4818375475*1000000</f>
        <v>118515.70336881568</v>
      </c>
      <c r="I854" s="40">
        <f>tbl_Monitoring[[#This Row],[Elevation (SRTM30-m)]]*3.280839895</f>
        <v>227.16819602374804</v>
      </c>
    </row>
    <row r="855" spans="2:9" ht="16" x14ac:dyDescent="0.2">
      <c r="B855" s="90">
        <v>853</v>
      </c>
      <c r="C855" s="91">
        <v>45760</v>
      </c>
      <c r="D855" s="92">
        <v>22.49</v>
      </c>
      <c r="E855" s="51" cm="1">
        <f t="array" ref="E8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143.98190110358664</v>
      </c>
      <c r="F855" s="49" cm="1">
        <f t="array" ref="F85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69.154474263578848</v>
      </c>
      <c r="G855" s="20">
        <f>tbl_Monitoring[[#This Row],[Area (km2)]]/4046.8564224*1000000</f>
        <v>5557.4000291965476</v>
      </c>
      <c r="H855" s="20">
        <f>tbl_Monitoring[[#This Row],[Volume (MCM)]]/1233.4818375475*1000000</f>
        <v>116728.02689163396</v>
      </c>
      <c r="I855" s="40">
        <f>tbl_Monitoring[[#This Row],[Elevation (SRTM30-m)]]*3.280839895</f>
        <v>226.88475808170026</v>
      </c>
    </row>
    <row r="856" spans="2:9" ht="16" x14ac:dyDescent="0.2">
      <c r="B856" s="90">
        <v>854</v>
      </c>
      <c r="C856" s="91">
        <v>45762</v>
      </c>
      <c r="D856" s="92">
        <v>22.27</v>
      </c>
      <c r="E856" s="51" cm="1">
        <f t="array" ref="E8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142.41701522447954</v>
      </c>
      <c r="F856" s="49" cm="1">
        <f t="array" ref="F85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69.093163893765848</v>
      </c>
      <c r="G856" s="20">
        <f>tbl_Monitoring[[#This Row],[Area (km2)]]/4046.8564224*1000000</f>
        <v>5503.0368452737721</v>
      </c>
      <c r="H856" s="20">
        <f>tbl_Monitoring[[#This Row],[Volume (MCM)]]/1233.4818375475*1000000</f>
        <v>115459.35326266629</v>
      </c>
      <c r="I856" s="40">
        <f>tbl_Monitoring[[#This Row],[Elevation (SRTM30-m)]]*3.280839895</f>
        <v>226.68360857444054</v>
      </c>
    </row>
    <row r="857" spans="2:9" ht="16" x14ac:dyDescent="0.2">
      <c r="B857" s="90">
        <v>855</v>
      </c>
      <c r="C857" s="91">
        <v>45770</v>
      </c>
      <c r="D857" s="92">
        <v>21.41</v>
      </c>
      <c r="E857" s="51" cm="1">
        <f t="array" ref="E8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136.16813743202414</v>
      </c>
      <c r="F857" s="49" cm="1">
        <f t="array" ref="F85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68.823531386371272</v>
      </c>
      <c r="G857" s="20">
        <f>tbl_Monitoring[[#This Row],[Area (km2)]]/4046.8564224*1000000</f>
        <v>5290.5262172120101</v>
      </c>
      <c r="H857" s="20">
        <f>tbl_Monitoring[[#This Row],[Volume (MCM)]]/1233.4818375475*1000000</f>
        <v>110393.30558994183</v>
      </c>
      <c r="I857" s="40">
        <f>tbl_Monitoring[[#This Row],[Elevation (SRTM30-m)]]*3.280839895</f>
        <v>225.79898748719154</v>
      </c>
    </row>
    <row r="858" spans="2:9" ht="16" x14ac:dyDescent="0.2">
      <c r="B858" s="90">
        <v>856</v>
      </c>
      <c r="C858" s="91">
        <v>45775</v>
      </c>
      <c r="D858" s="92">
        <v>20.61</v>
      </c>
      <c r="E858" s="51" cm="1">
        <f t="array" ref="E8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130.27738214501508</v>
      </c>
      <c r="F858" s="49" cm="1">
        <f t="array" ref="F85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68.554984894259817</v>
      </c>
      <c r="G858" s="20">
        <f>tbl_Monitoring[[#This Row],[Area (km2)]]/4046.8564224*1000000</f>
        <v>5092.8419120382769</v>
      </c>
      <c r="H858" s="20">
        <f>tbl_Monitoring[[#This Row],[Volume (MCM)]]/1233.4818375475*1000000</f>
        <v>105617.59255737583</v>
      </c>
      <c r="I858" s="40">
        <f>tbl_Monitoring[[#This Row],[Elevation (SRTM30-m)]]*3.280839895</f>
        <v>224.91792944220998</v>
      </c>
    </row>
    <row r="859" spans="2:9" ht="16" x14ac:dyDescent="0.2">
      <c r="B859" s="90">
        <v>857</v>
      </c>
      <c r="C859" s="91">
        <v>45780</v>
      </c>
      <c r="D859" s="92">
        <v>20.25</v>
      </c>
      <c r="E859" s="51" cm="1">
        <f t="array" ref="E8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127.62654226586102</v>
      </c>
      <c r="F859" s="49" cm="1">
        <f t="array" ref="F85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68.434138972809663</v>
      </c>
      <c r="G859" s="20">
        <f>tbl_Monitoring[[#This Row],[Area (km2)]]/4046.8564224*1000000</f>
        <v>5003.8839747100983</v>
      </c>
      <c r="H859" s="20">
        <f>tbl_Monitoring[[#This Row],[Volume (MCM)]]/1233.4818375475*1000000</f>
        <v>103468.52169272113</v>
      </c>
      <c r="I859" s="40">
        <f>tbl_Monitoring[[#This Row],[Elevation (SRTM30-m)]]*3.280839895</f>
        <v>224.52145332196827</v>
      </c>
    </row>
    <row r="860" spans="2:9" ht="16" x14ac:dyDescent="0.2">
      <c r="B860" s="90">
        <v>858</v>
      </c>
      <c r="C860" s="91">
        <v>45782</v>
      </c>
      <c r="D860" s="92">
        <v>19.79</v>
      </c>
      <c r="E860" s="51" cm="1">
        <f t="array" ref="E8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124.2393579758308</v>
      </c>
      <c r="F860" s="49" cm="1">
        <f t="array" ref="F86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68.279724739845591</v>
      </c>
      <c r="G860" s="20">
        <f>tbl_Monitoring[[#This Row],[Area (km2)]]/4046.8564224*1000000</f>
        <v>4890.2154992352016</v>
      </c>
      <c r="H860" s="20">
        <f>tbl_Monitoring[[#This Row],[Volume (MCM)]]/1233.4818375475*1000000</f>
        <v>100722.48669899566</v>
      </c>
      <c r="I860" s="40">
        <f>tbl_Monitoring[[#This Row],[Elevation (SRTM30-m)]]*3.280839895</f>
        <v>224.01484494610392</v>
      </c>
    </row>
    <row r="861" spans="2:9" ht="16" x14ac:dyDescent="0.2">
      <c r="B861" s="90">
        <v>859</v>
      </c>
      <c r="C861" s="91">
        <v>45785</v>
      </c>
      <c r="D861" s="92">
        <v>19.920000000000002</v>
      </c>
      <c r="E861" s="51" cm="1">
        <f t="array" ref="E8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125.19660570996979</v>
      </c>
      <c r="F861" s="49" cm="1">
        <f t="array" ref="F86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68.323363544813702</v>
      </c>
      <c r="G861" s="20">
        <f>tbl_Monitoring[[#This Row],[Area (km2)]]/4046.8564224*1000000</f>
        <v>4922.3391988259336</v>
      </c>
      <c r="H861" s="20">
        <f>tbl_Monitoring[[#This Row],[Volume (MCM)]]/1233.4818375475*1000000</f>
        <v>101498.54006678765</v>
      </c>
      <c r="I861" s="40">
        <f>tbl_Monitoring[[#This Row],[Elevation (SRTM30-m)]]*3.280839895</f>
        <v>224.15801687841343</v>
      </c>
    </row>
    <row r="862" spans="2:9" ht="16" x14ac:dyDescent="0.2">
      <c r="B862" s="90">
        <v>860</v>
      </c>
      <c r="C862" s="91">
        <v>45790</v>
      </c>
      <c r="D862" s="92">
        <v>23.56</v>
      </c>
      <c r="E862" s="51" cm="1">
        <f t="array" ref="E8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151.59293697015298</v>
      </c>
      <c r="F862" s="49" cm="1">
        <f t="array" ref="F86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69.452665607669374</v>
      </c>
      <c r="G862" s="20">
        <f>tbl_Monitoring[[#This Row],[Area (km2)]]/4046.8564224*1000000</f>
        <v>5821.802787366415</v>
      </c>
      <c r="H862" s="20">
        <f>tbl_Monitoring[[#This Row],[Volume (MCM)]]/1233.4818375475*1000000</f>
        <v>122898.39408706763</v>
      </c>
      <c r="I862" s="40">
        <f>tbl_Monitoring[[#This Row],[Elevation (SRTM30-m)]]*3.280839895</f>
        <v>227.86307613973611</v>
      </c>
    </row>
    <row r="863" spans="2:9" ht="16" x14ac:dyDescent="0.2">
      <c r="B863" s="90">
        <v>861</v>
      </c>
      <c r="C863" s="91">
        <v>45795</v>
      </c>
      <c r="D863" s="92">
        <v>24.03</v>
      </c>
      <c r="E863" s="51" cm="1">
        <f t="array" ref="E8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154.93610225733633</v>
      </c>
      <c r="F863" s="49" cm="1">
        <f t="array" ref="F86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69.583646852269879</v>
      </c>
      <c r="G863" s="20">
        <f>tbl_Monitoring[[#This Row],[Area (km2)]]/4046.8564224*1000000</f>
        <v>5937.9423166559836</v>
      </c>
      <c r="H863" s="20">
        <f>tbl_Monitoring[[#This Row],[Volume (MCM)]]/1233.4818375475*1000000</f>
        <v>125608.74229440765</v>
      </c>
      <c r="I863" s="40">
        <f>tbl_Monitoring[[#This Row],[Elevation (SRTM30-m)]]*3.280839895</f>
        <v>228.2928046325182</v>
      </c>
    </row>
    <row r="864" spans="2:9" ht="16" x14ac:dyDescent="0.2">
      <c r="B864" s="90">
        <v>862</v>
      </c>
      <c r="C864" s="91">
        <v>45800</v>
      </c>
      <c r="D864" s="92">
        <v>22.43</v>
      </c>
      <c r="E864" s="51" cm="1">
        <f t="array" ref="E8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143.55511404564834</v>
      </c>
      <c r="F864" s="49" cm="1">
        <f t="array" ref="F864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69.137753253629853</v>
      </c>
      <c r="G864" s="20">
        <f>tbl_Monitoring[[#This Row],[Area (km2)]]/4046.8564224*1000000</f>
        <v>5542.573706308518</v>
      </c>
      <c r="H864" s="20">
        <f>tbl_Monitoring[[#This Row],[Volume (MCM)]]/1233.4818375475*1000000</f>
        <v>116382.02499282459</v>
      </c>
      <c r="I864" s="40">
        <f>tbl_Monitoring[[#This Row],[Elevation (SRTM30-m)]]*3.280839895</f>
        <v>226.82989912517488</v>
      </c>
    </row>
    <row r="865" spans="2:9" ht="16" x14ac:dyDescent="0.2">
      <c r="B865" s="90">
        <v>863</v>
      </c>
      <c r="C865" s="91">
        <v>45802</v>
      </c>
      <c r="D865" s="92">
        <v>22.34</v>
      </c>
      <c r="E865" s="51" cm="1">
        <f t="array" ref="E8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142.9149334587409</v>
      </c>
      <c r="F865" s="49" cm="1">
        <f t="array" ref="F86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69.112671738706354</v>
      </c>
      <c r="G865" s="20">
        <f>tbl_Monitoring[[#This Row],[Area (km2)]]/4046.8564224*1000000</f>
        <v>5520.3342219764736</v>
      </c>
      <c r="H865" s="20">
        <f>tbl_Monitoring[[#This Row],[Volume (MCM)]]/1233.4818375475*1000000</f>
        <v>115863.02214461056</v>
      </c>
      <c r="I865" s="40">
        <f>tbl_Monitoring[[#This Row],[Elevation (SRTM30-m)]]*3.280839895</f>
        <v>226.74761069038684</v>
      </c>
    </row>
    <row r="866" spans="2:9" ht="16" x14ac:dyDescent="0.2">
      <c r="B866" s="90">
        <v>864</v>
      </c>
      <c r="C866" s="91">
        <v>45805</v>
      </c>
      <c r="D866" s="92">
        <v>21.64</v>
      </c>
      <c r="E866" s="51" cm="1">
        <f t="array" ref="E8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137.86172957703926</v>
      </c>
      <c r="F866" s="49" cm="1">
        <f t="array" ref="F86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68.900738502853301</v>
      </c>
      <c r="G866" s="20">
        <f>tbl_Monitoring[[#This Row],[Area (km2)]]/4046.8564224*1000000</f>
        <v>5347.3604549494585</v>
      </c>
      <c r="H866" s="20">
        <f>tbl_Monitoring[[#This Row],[Volume (MCM)]]/1233.4818375475*1000000</f>
        <v>111766.32308680456</v>
      </c>
      <c r="I866" s="40">
        <f>tbl_Monitoring[[#This Row],[Elevation (SRTM30-m)]]*3.280839895</f>
        <v>226.05229167512368</v>
      </c>
    </row>
    <row r="867" spans="2:9" ht="16" x14ac:dyDescent="0.2">
      <c r="B867" s="90">
        <v>865</v>
      </c>
      <c r="C867" s="91">
        <v>45810</v>
      </c>
      <c r="D867" s="92">
        <v>20.16</v>
      </c>
      <c r="E867" s="51" cm="1">
        <f t="array" ref="E8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126.9638322960725</v>
      </c>
      <c r="F867" s="49" cm="1">
        <f t="array" ref="F867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68.403927492447124</v>
      </c>
      <c r="G867" s="20">
        <f>tbl_Monitoring[[#This Row],[Area (km2)]]/4046.8564224*1000000</f>
        <v>4981.644490378053</v>
      </c>
      <c r="H867" s="20">
        <f>tbl_Monitoring[[#This Row],[Volume (MCM)]]/1233.4818375475*1000000</f>
        <v>102931.25397655745</v>
      </c>
      <c r="I867" s="40">
        <f>tbl_Monitoring[[#This Row],[Elevation (SRTM30-m)]]*3.280839895</f>
        <v>224.42233429190784</v>
      </c>
    </row>
    <row r="868" spans="2:9" ht="16" x14ac:dyDescent="0.2">
      <c r="B868" s="90">
        <v>866</v>
      </c>
      <c r="C868" s="91">
        <v>45813</v>
      </c>
      <c r="D868" s="92">
        <v>24.17</v>
      </c>
      <c r="E868" s="51" cm="1">
        <f t="array" ref="E8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155.93193872585903</v>
      </c>
      <c r="F868" s="49" cm="1">
        <f t="array" ref="F868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69.622662542150877</v>
      </c>
      <c r="G868" s="20">
        <f>tbl_Monitoring[[#This Row],[Area (km2)]]/4046.8564224*1000000</f>
        <v>5972.5370700613867</v>
      </c>
      <c r="H868" s="20">
        <f>tbl_Monitoring[[#This Row],[Volume (MCM)]]/1233.4818375475*1000000</f>
        <v>126416.08005829615</v>
      </c>
      <c r="I868" s="40">
        <f>tbl_Monitoring[[#This Row],[Elevation (SRTM30-m)]]*3.280839895</f>
        <v>228.42080886441073</v>
      </c>
    </row>
    <row r="869" spans="2:9" ht="16" x14ac:dyDescent="0.2">
      <c r="B869" s="90">
        <v>867</v>
      </c>
      <c r="C869" s="91">
        <v>45815</v>
      </c>
      <c r="D869" s="92">
        <v>19.559999999999999</v>
      </c>
      <c r="E869" s="51" cm="1">
        <f t="array" ref="E8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122.54576583081568</v>
      </c>
      <c r="F869" s="49" cm="1">
        <f t="array" ref="F869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68.202517623363548</v>
      </c>
      <c r="G869" s="20">
        <f>tbl_Monitoring[[#This Row],[Area (km2)]]/4046.8564224*1000000</f>
        <v>4833.3812614977533</v>
      </c>
      <c r="H869" s="20">
        <f>tbl_Monitoring[[#This Row],[Volume (MCM)]]/1233.4818375475*1000000</f>
        <v>99349.469202132925</v>
      </c>
      <c r="I869" s="40">
        <f>tbl_Monitoring[[#This Row],[Elevation (SRTM30-m)]]*3.280839895</f>
        <v>223.76154075817172</v>
      </c>
    </row>
    <row r="870" spans="2:9" ht="16" x14ac:dyDescent="0.2">
      <c r="B870" s="90">
        <v>868</v>
      </c>
      <c r="C870" s="91">
        <v>45820</v>
      </c>
      <c r="D870" s="92">
        <v>19</v>
      </c>
      <c r="E870" s="51" cm="1">
        <f t="array" ref="E8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118.42223712990935</v>
      </c>
      <c r="F870" s="49" cm="1">
        <f t="array" ref="F870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68.01453507888553</v>
      </c>
      <c r="G870" s="20">
        <f>tbl_Monitoring[[#This Row],[Area (km2)]]/4046.8564224*1000000</f>
        <v>4695.0022478761421</v>
      </c>
      <c r="H870" s="20">
        <f>tbl_Monitoring[[#This Row],[Volume (MCM)]]/1233.4818375475*1000000</f>
        <v>96006.470079336737</v>
      </c>
      <c r="I870" s="40">
        <f>tbl_Monitoring[[#This Row],[Elevation (SRTM30-m)]]*3.280839895</f>
        <v>223.14480012668463</v>
      </c>
    </row>
    <row r="871" spans="2:9" ht="16" x14ac:dyDescent="0.2">
      <c r="B871" s="90">
        <v>869</v>
      </c>
      <c r="C871" s="91">
        <v>45822</v>
      </c>
      <c r="D871" s="92">
        <v>18.510000000000002</v>
      </c>
      <c r="E871" s="51" cm="1">
        <f t="array" ref="E8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114.55958</v>
      </c>
      <c r="F871" s="49" cm="1">
        <f t="array" ref="F87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67.813057124921528</v>
      </c>
      <c r="G871" s="20">
        <f>tbl_Monitoring[[#This Row],[Area (km2)]]/4046.8564224*1000000</f>
        <v>4573.9206109572306</v>
      </c>
      <c r="H871" s="20">
        <f>tbl_Monitoring[[#This Row],[Volume (MCM)]]/1233.4818375475*1000000</f>
        <v>92874.962981032499</v>
      </c>
      <c r="I871" s="40">
        <f>tbl_Monitoring[[#This Row],[Elevation (SRTM30-m)]]*3.280839895</f>
        <v>222.48378321735655</v>
      </c>
    </row>
    <row r="872" spans="2:9" ht="16" x14ac:dyDescent="0.2">
      <c r="B872" s="90">
        <v>870</v>
      </c>
      <c r="C872" s="91">
        <v>45825</v>
      </c>
      <c r="D872" s="92">
        <v>17.71</v>
      </c>
      <c r="E872" s="51" cm="1">
        <f t="array" ref="E8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108.21291333333333</v>
      </c>
      <c r="F872" s="49" cm="1">
        <f t="array" ref="F872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67.478259050010465</v>
      </c>
      <c r="G872" s="20">
        <f>tbl_Monitoring[[#This Row],[Area (km2)]]/4046.8564224*1000000</f>
        <v>4376.2363057834982</v>
      </c>
      <c r="H872" s="20">
        <f>tbl_Monitoring[[#This Row],[Volume (MCM)]]/1233.4818375475*1000000</f>
        <v>87729.636577779107</v>
      </c>
      <c r="I872" s="40">
        <f>tbl_Monitoring[[#This Row],[Elevation (SRTM30-m)]]*3.280839895</f>
        <v>221.38536433641914</v>
      </c>
    </row>
    <row r="873" spans="2:9" ht="16" x14ac:dyDescent="0.2">
      <c r="B873" s="90">
        <v>872</v>
      </c>
      <c r="C873" s="91">
        <v>45835</v>
      </c>
      <c r="D873" s="92">
        <v>24.86</v>
      </c>
      <c r="E873" s="51" cm="1">
        <f t="array" ref="E8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160.83998989214948</v>
      </c>
      <c r="F873" s="49" cm="1">
        <f t="array" ref="F873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69.814954156564383</v>
      </c>
      <c r="G873" s="20">
        <f>tbl_Monitoring[[#This Row],[Area (km2)]]/4046.8564224*1000000</f>
        <v>6143.0397832737299</v>
      </c>
      <c r="H873" s="20">
        <f>tbl_Monitoring[[#This Row],[Volume (MCM)]]/1233.4818375475*1000000</f>
        <v>130395.10189460388</v>
      </c>
      <c r="I873" s="40">
        <f>tbl_Monitoring[[#This Row],[Elevation (SRTM30-m)]]*3.280839895</f>
        <v>229.05168686445251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8D1D-C0F9-4CC5-9D7E-CDC4E46E6EC8}">
  <sheetPr>
    <pageSetUpPr fitToPage="1"/>
  </sheetPr>
  <dimension ref="A1:D23"/>
  <sheetViews>
    <sheetView topLeftCell="C1" zoomScaleNormal="100" workbookViewId="0">
      <selection activeCell="D30" sqref="D30"/>
    </sheetView>
  </sheetViews>
  <sheetFormatPr baseColWidth="10" defaultColWidth="8.83203125" defaultRowHeight="15" x14ac:dyDescent="0.2"/>
  <cols>
    <col min="1" max="1" width="12.1640625" bestFit="1" customWidth="1"/>
    <col min="2" max="2" width="18.5" bestFit="1" customWidth="1"/>
    <col min="3" max="3" width="21.83203125" bestFit="1" customWidth="1"/>
    <col min="4" max="4" width="18.6640625" bestFit="1" customWidth="1"/>
  </cols>
  <sheetData>
    <row r="1" spans="1:4" ht="24" x14ac:dyDescent="0.3">
      <c r="A1" s="27" t="str">
        <f>Info!C53</f>
        <v>Mirani Reservoir, Balochistan: Reservoir Capacity</v>
      </c>
    </row>
    <row r="3" spans="1:4" x14ac:dyDescent="0.2">
      <c r="A3" s="25" t="s">
        <v>45</v>
      </c>
      <c r="B3" t="s">
        <v>47</v>
      </c>
      <c r="C3" t="s">
        <v>46</v>
      </c>
      <c r="D3" t="s">
        <v>48</v>
      </c>
    </row>
    <row r="4" spans="1:4" x14ac:dyDescent="0.2">
      <c r="A4" s="95" t="s">
        <v>75</v>
      </c>
      <c r="B4" s="26">
        <v>83.250204126426681</v>
      </c>
      <c r="C4" s="26">
        <v>88.47577041264266</v>
      </c>
      <c r="D4" s="26">
        <v>92.300669446883234</v>
      </c>
    </row>
    <row r="5" spans="1:4" x14ac:dyDescent="0.2">
      <c r="A5" s="95" t="s">
        <v>1004</v>
      </c>
      <c r="B5" s="26">
        <v>207.66068767357808</v>
      </c>
      <c r="C5" s="26">
        <v>330.05463562418214</v>
      </c>
      <c r="D5" s="26">
        <v>419.26778796522109</v>
      </c>
    </row>
    <row r="6" spans="1:4" x14ac:dyDescent="0.2">
      <c r="A6" s="95" t="s">
        <v>1005</v>
      </c>
      <c r="B6" s="26">
        <v>317.66186948976053</v>
      </c>
      <c r="C6" s="26">
        <v>368.36460744413841</v>
      </c>
      <c r="D6" s="26">
        <v>418.74800215247586</v>
      </c>
    </row>
    <row r="7" spans="1:4" x14ac:dyDescent="0.2">
      <c r="A7" s="95" t="s">
        <v>1006</v>
      </c>
      <c r="B7" s="26">
        <v>225.5451750237778</v>
      </c>
      <c r="C7" s="26">
        <v>309.12854830329155</v>
      </c>
      <c r="D7" s="26">
        <v>386.22426129784753</v>
      </c>
    </row>
    <row r="8" spans="1:4" x14ac:dyDescent="0.2">
      <c r="A8" s="95" t="s">
        <v>1007</v>
      </c>
      <c r="B8" s="26">
        <v>283.82251197411006</v>
      </c>
      <c r="C8" s="26">
        <v>356.59592388784597</v>
      </c>
      <c r="D8" s="26">
        <v>402.56038684126815</v>
      </c>
    </row>
    <row r="9" spans="1:4" x14ac:dyDescent="0.2">
      <c r="A9" s="95" t="s">
        <v>1008</v>
      </c>
      <c r="B9" s="26">
        <v>283.7524526429342</v>
      </c>
      <c r="C9" s="26">
        <v>321.60695369364026</v>
      </c>
      <c r="D9" s="26">
        <v>376.42258597179517</v>
      </c>
    </row>
    <row r="10" spans="1:4" x14ac:dyDescent="0.2">
      <c r="A10" s="95" t="s">
        <v>1009</v>
      </c>
      <c r="B10" s="26">
        <v>172.14772126944092</v>
      </c>
      <c r="C10" s="26">
        <v>221.35107566015478</v>
      </c>
      <c r="D10" s="26">
        <v>264.09748126520685</v>
      </c>
    </row>
    <row r="11" spans="1:4" x14ac:dyDescent="0.2">
      <c r="A11" s="95" t="s">
        <v>1010</v>
      </c>
      <c r="B11" s="26">
        <v>251.67107412814272</v>
      </c>
      <c r="C11" s="26">
        <v>366.77441905736572</v>
      </c>
      <c r="D11" s="26">
        <v>420.67863517124374</v>
      </c>
    </row>
    <row r="12" spans="1:4" x14ac:dyDescent="0.2">
      <c r="A12" s="95" t="s">
        <v>1011</v>
      </c>
      <c r="B12" s="26">
        <v>237.22176350364961</v>
      </c>
      <c r="C12" s="26">
        <v>340.46618409247151</v>
      </c>
      <c r="D12" s="26">
        <v>409.1690921747429</v>
      </c>
    </row>
    <row r="13" spans="1:4" x14ac:dyDescent="0.2">
      <c r="A13" s="95" t="s">
        <v>1012</v>
      </c>
      <c r="B13" s="26">
        <v>152.01972402809128</v>
      </c>
      <c r="C13" s="26">
        <v>227.48247729141193</v>
      </c>
      <c r="D13" s="26">
        <v>315.6294483279396</v>
      </c>
    </row>
    <row r="14" spans="1:4" x14ac:dyDescent="0.2">
      <c r="A14" s="95" t="s">
        <v>1013</v>
      </c>
      <c r="B14" s="26">
        <v>129.98284438066463</v>
      </c>
      <c r="C14" s="26">
        <v>196.89110264742263</v>
      </c>
      <c r="D14" s="26">
        <v>291.03862308522116</v>
      </c>
    </row>
    <row r="15" spans="1:4" x14ac:dyDescent="0.2">
      <c r="A15" s="95" t="s">
        <v>1014</v>
      </c>
      <c r="B15" s="26">
        <v>87.371398156277436</v>
      </c>
      <c r="C15" s="26">
        <v>120.02240185076674</v>
      </c>
      <c r="D15" s="26">
        <v>159.06171048407322</v>
      </c>
    </row>
    <row r="16" spans="1:4" x14ac:dyDescent="0.2">
      <c r="A16" s="95" t="s">
        <v>1015</v>
      </c>
      <c r="B16" s="26">
        <v>70.377490220048898</v>
      </c>
      <c r="C16" s="26">
        <v>81.028276256891957</v>
      </c>
      <c r="D16" s="26">
        <v>93.997631694468822</v>
      </c>
    </row>
    <row r="17" spans="1:4" x14ac:dyDescent="0.2">
      <c r="A17" s="95" t="s">
        <v>1016</v>
      </c>
      <c r="B17" s="26">
        <v>69.983113691931536</v>
      </c>
      <c r="C17" s="26">
        <v>341.9153205821641</v>
      </c>
      <c r="D17" s="26">
        <v>434.193066302619</v>
      </c>
    </row>
    <row r="18" spans="1:4" x14ac:dyDescent="0.2">
      <c r="A18" s="95" t="s">
        <v>1017</v>
      </c>
      <c r="B18" s="26">
        <v>284.80334261057175</v>
      </c>
      <c r="C18" s="26">
        <v>360.4456237652609</v>
      </c>
      <c r="D18" s="26">
        <v>430.7030758456155</v>
      </c>
    </row>
    <row r="19" spans="1:4" x14ac:dyDescent="0.2">
      <c r="A19" s="95" t="s">
        <v>1018</v>
      </c>
      <c r="B19" s="26">
        <v>161.19564577376471</v>
      </c>
      <c r="C19" s="26">
        <v>269.10858295064503</v>
      </c>
      <c r="D19" s="26">
        <v>387.85787385218964</v>
      </c>
    </row>
    <row r="20" spans="1:4" x14ac:dyDescent="0.2">
      <c r="A20" s="95" t="s">
        <v>1019</v>
      </c>
      <c r="B20" s="26">
        <v>215.32546796652082</v>
      </c>
      <c r="C20" s="26">
        <v>311.86240525964882</v>
      </c>
      <c r="D20" s="26">
        <v>478.73501387929281</v>
      </c>
    </row>
    <row r="21" spans="1:4" x14ac:dyDescent="0.2">
      <c r="A21" s="95" t="s">
        <v>1020</v>
      </c>
      <c r="B21" s="26">
        <v>264.45871403081912</v>
      </c>
      <c r="C21" s="26">
        <v>320.62345834433177</v>
      </c>
      <c r="D21" s="26">
        <v>424.76266655709895</v>
      </c>
    </row>
    <row r="22" spans="1:4" x14ac:dyDescent="0.2">
      <c r="A22" s="95" t="s">
        <v>1021</v>
      </c>
      <c r="B22" s="26">
        <v>237.0772703974047</v>
      </c>
      <c r="C22" s="26">
        <v>318.41232543430823</v>
      </c>
      <c r="D22" s="26">
        <v>403.52570335065212</v>
      </c>
    </row>
    <row r="23" spans="1:4" x14ac:dyDescent="0.2">
      <c r="A23" s="95" t="s">
        <v>1022</v>
      </c>
      <c r="B23" s="26">
        <v>108.21291333333333</v>
      </c>
      <c r="C23" s="26">
        <v>170.13434565786906</v>
      </c>
      <c r="D23" s="26">
        <v>246.75830851581506</v>
      </c>
    </row>
  </sheetData>
  <pageMargins left="0.7" right="0.7" top="0.75" bottom="0.75" header="0.3" footer="0.3"/>
  <pageSetup paperSize="9" scale="82" orientation="landscape" horizontalDpi="0" verticalDpi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41FA-1D1D-48D8-9322-28442A026B44}">
  <dimension ref="B2:I873"/>
  <sheetViews>
    <sheetView zoomScaleNormal="100" workbookViewId="0">
      <selection activeCell="D21" sqref="D21"/>
    </sheetView>
  </sheetViews>
  <sheetFormatPr baseColWidth="10" defaultColWidth="8.83203125" defaultRowHeight="15" x14ac:dyDescent="0.2"/>
  <cols>
    <col min="3" max="3" width="10.1640625" bestFit="1" customWidth="1"/>
    <col min="4" max="4" width="11.6640625" customWidth="1"/>
    <col min="5" max="5" width="15" customWidth="1"/>
    <col min="6" max="6" width="20.6640625" customWidth="1"/>
    <col min="7" max="7" width="11.6640625" customWidth="1"/>
    <col min="8" max="8" width="16.1640625" customWidth="1"/>
    <col min="9" max="9" width="20.33203125" customWidth="1"/>
  </cols>
  <sheetData>
    <row r="2" spans="2:9" x14ac:dyDescent="0.2">
      <c r="B2" s="68" t="s">
        <v>76</v>
      </c>
      <c r="C2" s="69"/>
      <c r="D2" s="70"/>
      <c r="E2" s="70"/>
      <c r="F2" s="70"/>
      <c r="G2" s="70"/>
      <c r="H2" s="70"/>
      <c r="I2" s="71"/>
    </row>
    <row r="4" spans="2:9" x14ac:dyDescent="0.2">
      <c r="B4" s="1" t="s">
        <v>27</v>
      </c>
      <c r="C4" t="s">
        <v>25</v>
      </c>
      <c r="D4" t="s">
        <v>16</v>
      </c>
      <c r="E4" t="s">
        <v>17</v>
      </c>
      <c r="F4" t="s">
        <v>28</v>
      </c>
      <c r="G4" t="s">
        <v>20</v>
      </c>
      <c r="H4" t="s">
        <v>21</v>
      </c>
      <c r="I4" t="s">
        <v>34</v>
      </c>
    </row>
    <row r="5" spans="2:9" x14ac:dyDescent="0.2">
      <c r="B5" s="1">
        <v>1</v>
      </c>
      <c r="C5" s="15">
        <v>38966</v>
      </c>
      <c r="D5">
        <v>15.42</v>
      </c>
      <c r="E5">
        <v>89.876437664618081</v>
      </c>
      <c r="F5">
        <v>66.440444834650279</v>
      </c>
      <c r="G5">
        <v>3810.3649822236894</v>
      </c>
      <c r="H5">
        <v>72864.01382554369</v>
      </c>
      <c r="I5">
        <v>217.98046205506733</v>
      </c>
    </row>
    <row r="6" spans="2:9" x14ac:dyDescent="0.2">
      <c r="B6" s="1">
        <v>2</v>
      </c>
      <c r="C6" s="15">
        <v>38982</v>
      </c>
      <c r="D6">
        <v>14.6</v>
      </c>
      <c r="E6">
        <v>83.250204126426681</v>
      </c>
      <c r="F6">
        <v>66.040483855233632</v>
      </c>
      <c r="G6">
        <v>3607.7385694206137</v>
      </c>
      <c r="H6">
        <v>67492.038870998629</v>
      </c>
      <c r="I6">
        <v>216.66825411735391</v>
      </c>
    </row>
    <row r="7" spans="2:9" x14ac:dyDescent="0.2">
      <c r="B7" s="1">
        <v>3</v>
      </c>
      <c r="C7" s="15">
        <v>39014</v>
      </c>
      <c r="D7">
        <v>15.72</v>
      </c>
      <c r="E7">
        <v>92.300669446883234</v>
      </c>
      <c r="F7">
        <v>66.586772022241732</v>
      </c>
      <c r="G7">
        <v>3884.4965966638392</v>
      </c>
      <c r="H7">
        <v>74829.37051623092</v>
      </c>
      <c r="I7">
        <v>218.4605381298405</v>
      </c>
    </row>
    <row r="8" spans="2:9" x14ac:dyDescent="0.2">
      <c r="B8" s="1">
        <v>4</v>
      </c>
      <c r="C8" s="15">
        <v>39174</v>
      </c>
      <c r="D8">
        <v>32.56</v>
      </c>
      <c r="E8">
        <v>215.47146378162452</v>
      </c>
      <c r="F8">
        <v>71.58203876313064</v>
      </c>
      <c r="G8">
        <v>8045.7512205709036</v>
      </c>
      <c r="H8">
        <v>174685.55857299111</v>
      </c>
      <c r="I8">
        <v>234.84920853951547</v>
      </c>
    </row>
    <row r="9" spans="2:9" x14ac:dyDescent="0.2">
      <c r="B9" s="1">
        <v>5</v>
      </c>
      <c r="C9" s="15">
        <v>39190</v>
      </c>
      <c r="D9">
        <v>31.8</v>
      </c>
      <c r="E9">
        <v>209.92362280768501</v>
      </c>
      <c r="F9">
        <v>71.421406378796519</v>
      </c>
      <c r="G9">
        <v>7857.9511306558579</v>
      </c>
      <c r="H9">
        <v>170187.85069836999</v>
      </c>
      <c r="I9">
        <v>234.32219940456312</v>
      </c>
    </row>
    <row r="10" spans="2:9" x14ac:dyDescent="0.2">
      <c r="B10" s="1">
        <v>6</v>
      </c>
      <c r="C10" s="15">
        <v>39206</v>
      </c>
      <c r="D10">
        <v>31.49</v>
      </c>
      <c r="E10">
        <v>207.66068767357808</v>
      </c>
      <c r="F10">
        <v>71.355885274660238</v>
      </c>
      <c r="G10">
        <v>7781.3484624010362</v>
      </c>
      <c r="H10">
        <v>168353.25932845875</v>
      </c>
      <c r="I10">
        <v>234.10723515214835</v>
      </c>
    </row>
    <row r="11" spans="2:9" x14ac:dyDescent="0.2">
      <c r="B11" s="1">
        <v>7</v>
      </c>
      <c r="C11" s="15">
        <v>39286</v>
      </c>
      <c r="D11">
        <v>61</v>
      </c>
      <c r="E11">
        <v>419.26778796522109</v>
      </c>
      <c r="F11">
        <v>75.761189457934236</v>
      </c>
      <c r="G11">
        <v>15073.428269497086</v>
      </c>
      <c r="H11">
        <v>339905.92743452173</v>
      </c>
      <c r="I11">
        <v>248.56033286624407</v>
      </c>
    </row>
    <row r="12" spans="2:9" x14ac:dyDescent="0.2">
      <c r="B12" s="1">
        <v>8</v>
      </c>
      <c r="C12" s="15">
        <v>39302</v>
      </c>
      <c r="D12">
        <v>59.72</v>
      </c>
      <c r="E12">
        <v>409.76313310359455</v>
      </c>
      <c r="F12">
        <v>75.610386550265673</v>
      </c>
      <c r="G12">
        <v>14757.133381219113</v>
      </c>
      <c r="H12">
        <v>332200.37833578157</v>
      </c>
      <c r="I12">
        <v>248.06557267048305</v>
      </c>
    </row>
    <row r="13" spans="2:9" x14ac:dyDescent="0.2">
      <c r="B13" s="1">
        <v>9</v>
      </c>
      <c r="C13" s="15">
        <v>39334</v>
      </c>
      <c r="D13">
        <v>58.55</v>
      </c>
      <c r="E13">
        <v>401.07528451913902</v>
      </c>
      <c r="F13">
        <v>75.472543267474876</v>
      </c>
      <c r="G13">
        <v>14468.02008490253</v>
      </c>
      <c r="H13">
        <v>325157.02486271434</v>
      </c>
      <c r="I13">
        <v>247.61333092904525</v>
      </c>
    </row>
    <row r="14" spans="2:9" x14ac:dyDescent="0.2">
      <c r="B14" s="1">
        <v>10</v>
      </c>
      <c r="C14" s="15">
        <v>39350</v>
      </c>
      <c r="D14">
        <v>57.62</v>
      </c>
      <c r="E14">
        <v>394.16955872123845</v>
      </c>
      <c r="F14">
        <v>75.362975529871932</v>
      </c>
      <c r="G14">
        <v>14238.212080138066</v>
      </c>
      <c r="H14">
        <v>319558.46184566087</v>
      </c>
      <c r="I14">
        <v>247.25385672431261</v>
      </c>
    </row>
    <row r="15" spans="2:9" x14ac:dyDescent="0.2">
      <c r="B15" s="1">
        <v>11</v>
      </c>
      <c r="C15" s="15">
        <v>39366</v>
      </c>
      <c r="D15">
        <v>56.13</v>
      </c>
      <c r="E15">
        <v>383.10554642137635</v>
      </c>
      <c r="F15">
        <v>75.187431520163997</v>
      </c>
      <c r="G15">
        <v>13870.025061751991</v>
      </c>
      <c r="H15">
        <v>310588.72109790868</v>
      </c>
      <c r="I15">
        <v>246.67792493393455</v>
      </c>
    </row>
    <row r="16" spans="2:9" x14ac:dyDescent="0.2">
      <c r="B16" s="1">
        <v>12</v>
      </c>
      <c r="C16" s="15">
        <v>39478</v>
      </c>
      <c r="D16">
        <v>60.93</v>
      </c>
      <c r="E16">
        <v>418.74800215247586</v>
      </c>
      <c r="F16">
        <v>75.752942423921112</v>
      </c>
      <c r="G16">
        <v>15056.130892794385</v>
      </c>
      <c r="H16">
        <v>339484.5302181844</v>
      </c>
      <c r="I16">
        <v>248.53327566803841</v>
      </c>
    </row>
    <row r="17" spans="2:9" x14ac:dyDescent="0.2">
      <c r="B17" s="1">
        <v>13</v>
      </c>
      <c r="C17" s="15">
        <v>39510</v>
      </c>
      <c r="D17">
        <v>59.01</v>
      </c>
      <c r="E17">
        <v>404.49101986003603</v>
      </c>
      <c r="F17">
        <v>75.526738062418261</v>
      </c>
      <c r="G17">
        <v>14581.688560377426</v>
      </c>
      <c r="H17">
        <v>327926.20657007408</v>
      </c>
      <c r="I17">
        <v>247.79113537439684</v>
      </c>
    </row>
    <row r="18" spans="2:9" x14ac:dyDescent="0.2">
      <c r="B18" s="1">
        <v>14</v>
      </c>
      <c r="C18" s="15">
        <v>39526</v>
      </c>
      <c r="D18">
        <v>58.94</v>
      </c>
      <c r="E18">
        <v>403.97123404729086</v>
      </c>
      <c r="F18">
        <v>75.518491028405137</v>
      </c>
      <c r="G18">
        <v>14564.391183674725</v>
      </c>
      <c r="H18">
        <v>327504.80935373675</v>
      </c>
      <c r="I18">
        <v>247.76407817619116</v>
      </c>
    </row>
    <row r="19" spans="2:9" x14ac:dyDescent="0.2">
      <c r="B19" s="1">
        <v>15</v>
      </c>
      <c r="C19" s="15">
        <v>39542</v>
      </c>
      <c r="D19">
        <v>58.78</v>
      </c>
      <c r="E19">
        <v>402.78315218958755</v>
      </c>
      <c r="F19">
        <v>75.499640664946568</v>
      </c>
      <c r="G19">
        <v>14524.85432263998</v>
      </c>
      <c r="H19">
        <v>326541.61571639421</v>
      </c>
      <c r="I19">
        <v>247.70223315172103</v>
      </c>
    </row>
    <row r="20" spans="2:9" x14ac:dyDescent="0.2">
      <c r="B20" s="1">
        <v>16</v>
      </c>
      <c r="C20" s="15">
        <v>39558</v>
      </c>
      <c r="D20">
        <v>57.1</v>
      </c>
      <c r="E20">
        <v>390.30829268370269</v>
      </c>
      <c r="F20">
        <v>75.301711848631584</v>
      </c>
      <c r="G20">
        <v>14109.71728177514</v>
      </c>
      <c r="H20">
        <v>316428.0825242977</v>
      </c>
      <c r="I20">
        <v>247.05286039478472</v>
      </c>
    </row>
    <row r="21" spans="2:9" x14ac:dyDescent="0.2">
      <c r="B21" s="1">
        <v>17</v>
      </c>
      <c r="C21" s="15">
        <v>39590</v>
      </c>
      <c r="D21">
        <v>53.81</v>
      </c>
      <c r="E21">
        <v>366.18033298623169</v>
      </c>
      <c r="F21">
        <v>74.906269685165896</v>
      </c>
      <c r="G21">
        <v>13296.740576748169</v>
      </c>
      <c r="H21">
        <v>296867.22725832637</v>
      </c>
      <c r="I21">
        <v>245.75547796872138</v>
      </c>
    </row>
    <row r="22" spans="2:9" x14ac:dyDescent="0.2">
      <c r="B22" s="1">
        <v>18</v>
      </c>
      <c r="C22" s="15">
        <v>39606</v>
      </c>
      <c r="D22">
        <v>52.9</v>
      </c>
      <c r="E22">
        <v>359.80001480967258</v>
      </c>
      <c r="F22">
        <v>74.789283556378322</v>
      </c>
      <c r="G22">
        <v>13071.874679613045</v>
      </c>
      <c r="H22">
        <v>291694.61913201225</v>
      </c>
      <c r="I22">
        <v>245.37166521023349</v>
      </c>
    </row>
    <row r="23" spans="2:9" x14ac:dyDescent="0.2">
      <c r="B23" s="1">
        <v>19</v>
      </c>
      <c r="C23" s="15">
        <v>39654</v>
      </c>
      <c r="D23">
        <v>49.63</v>
      </c>
      <c r="E23">
        <v>336.8729374059933</v>
      </c>
      <c r="F23">
        <v>74.368904829855893</v>
      </c>
      <c r="G23">
        <v>12263.840082215416</v>
      </c>
      <c r="H23">
        <v>273107.33498580661</v>
      </c>
      <c r="I23">
        <v>243.99246991324941</v>
      </c>
    </row>
    <row r="24" spans="2:9" x14ac:dyDescent="0.2">
      <c r="B24" s="1">
        <v>20</v>
      </c>
      <c r="C24" s="15">
        <v>39670</v>
      </c>
      <c r="D24">
        <v>58.01</v>
      </c>
      <c r="E24">
        <v>397.06550824939029</v>
      </c>
      <c r="F24">
        <v>75.408923290802207</v>
      </c>
      <c r="G24">
        <v>14334.583178910261</v>
      </c>
      <c r="H24">
        <v>321906.24633668328</v>
      </c>
      <c r="I24">
        <v>247.40460397145858</v>
      </c>
    </row>
    <row r="25" spans="2:9" x14ac:dyDescent="0.2">
      <c r="B25" s="1">
        <v>21</v>
      </c>
      <c r="C25" s="15">
        <v>39686</v>
      </c>
      <c r="D25">
        <v>55.32</v>
      </c>
      <c r="E25">
        <v>377.09088201675331</v>
      </c>
      <c r="F25">
        <v>75.09200155515498</v>
      </c>
      <c r="G25">
        <v>13669.869702763586</v>
      </c>
      <c r="H25">
        <v>305712.55330886215</v>
      </c>
      <c r="I25">
        <v>246.36483449755451</v>
      </c>
    </row>
    <row r="26" spans="2:9" x14ac:dyDescent="0.2">
      <c r="B26" s="1">
        <v>22</v>
      </c>
      <c r="C26" s="15">
        <v>39702</v>
      </c>
      <c r="D26">
        <v>54.47</v>
      </c>
      <c r="E26">
        <v>370.80781649890088</v>
      </c>
      <c r="F26">
        <v>74.991116767583279</v>
      </c>
      <c r="G26">
        <v>13459.830128516494</v>
      </c>
      <c r="H26">
        <v>300618.78919609264</v>
      </c>
      <c r="I26">
        <v>246.03384766169069</v>
      </c>
    </row>
    <row r="27" spans="2:9" x14ac:dyDescent="0.2">
      <c r="B27" s="1">
        <v>23</v>
      </c>
      <c r="C27" s="15">
        <v>39718</v>
      </c>
      <c r="D27">
        <v>49.75</v>
      </c>
      <c r="E27">
        <v>337.71429804466044</v>
      </c>
      <c r="F27">
        <v>74.384331572113595</v>
      </c>
      <c r="G27">
        <v>12293.492727991475</v>
      </c>
      <c r="H27">
        <v>273789.43715630955</v>
      </c>
      <c r="I27">
        <v>244.04308258469837</v>
      </c>
    </row>
    <row r="28" spans="2:9" x14ac:dyDescent="0.2">
      <c r="B28" s="1">
        <v>24</v>
      </c>
      <c r="C28" s="15">
        <v>39734</v>
      </c>
      <c r="D28">
        <v>51.23</v>
      </c>
      <c r="E28">
        <v>348.09107925488837</v>
      </c>
      <c r="F28">
        <v>74.574594726625278</v>
      </c>
      <c r="G28">
        <v>12659.208692562879</v>
      </c>
      <c r="H28">
        <v>282202.03059251269</v>
      </c>
      <c r="I28">
        <v>244.66730553256883</v>
      </c>
    </row>
    <row r="29" spans="2:9" x14ac:dyDescent="0.2">
      <c r="B29" s="1">
        <v>25</v>
      </c>
      <c r="C29" s="15">
        <v>39750</v>
      </c>
      <c r="D29">
        <v>49.75</v>
      </c>
      <c r="E29">
        <v>337.71429804466044</v>
      </c>
      <c r="F29">
        <v>74.384331572113595</v>
      </c>
      <c r="G29">
        <v>12293.492727991475</v>
      </c>
      <c r="H29">
        <v>273789.43715630955</v>
      </c>
      <c r="I29">
        <v>244.04308258469837</v>
      </c>
    </row>
    <row r="30" spans="2:9" x14ac:dyDescent="0.2">
      <c r="B30" s="1">
        <v>26</v>
      </c>
      <c r="C30" s="15">
        <v>39766</v>
      </c>
      <c r="D30">
        <v>47.87</v>
      </c>
      <c r="E30">
        <v>324.53298137220872</v>
      </c>
      <c r="F30">
        <v>74.142645943409562</v>
      </c>
      <c r="G30">
        <v>11828.934610833205</v>
      </c>
      <c r="H30">
        <v>263103.1698184298</v>
      </c>
      <c r="I30">
        <v>243.25015073199802</v>
      </c>
    </row>
    <row r="31" spans="2:9" x14ac:dyDescent="0.2">
      <c r="B31" s="1">
        <v>27</v>
      </c>
      <c r="C31" s="15">
        <v>39782</v>
      </c>
      <c r="D31">
        <v>46.89</v>
      </c>
      <c r="E31">
        <v>317.66186948976053</v>
      </c>
      <c r="F31">
        <v>74.016660881638316</v>
      </c>
      <c r="G31">
        <v>11586.771336995382</v>
      </c>
      <c r="H31">
        <v>257532.66875932235</v>
      </c>
      <c r="I31">
        <v>242.83681391516487</v>
      </c>
    </row>
    <row r="32" spans="2:9" x14ac:dyDescent="0.2">
      <c r="B32" s="1">
        <v>28</v>
      </c>
      <c r="C32" s="15">
        <v>39878</v>
      </c>
      <c r="D32">
        <v>54.84</v>
      </c>
      <c r="E32">
        <v>373.52663644364338</v>
      </c>
      <c r="F32">
        <v>75.035450464779274</v>
      </c>
      <c r="G32">
        <v>13551.259119659348</v>
      </c>
      <c r="H32">
        <v>302822.97239683458</v>
      </c>
      <c r="I32">
        <v>246.17929942414415</v>
      </c>
    </row>
    <row r="33" spans="2:9" x14ac:dyDescent="0.2">
      <c r="B33" s="1">
        <v>29</v>
      </c>
      <c r="C33" s="15">
        <v>39926</v>
      </c>
      <c r="D33">
        <v>56.55</v>
      </c>
      <c r="E33">
        <v>386.22426129784753</v>
      </c>
      <c r="F33">
        <v>75.23691372424274</v>
      </c>
      <c r="G33">
        <v>13973.8093219682</v>
      </c>
      <c r="H33">
        <v>313117.10439593275</v>
      </c>
      <c r="I33">
        <v>246.84026812316861</v>
      </c>
    </row>
    <row r="34" spans="2:9" x14ac:dyDescent="0.2">
      <c r="B34" s="1">
        <v>30</v>
      </c>
      <c r="C34" s="15">
        <v>39942</v>
      </c>
      <c r="D34">
        <v>56.51</v>
      </c>
      <c r="E34">
        <v>385.92724083342171</v>
      </c>
      <c r="F34">
        <v>75.232201133378098</v>
      </c>
      <c r="G34">
        <v>13963.925106709514</v>
      </c>
      <c r="H34">
        <v>312876.30598659714</v>
      </c>
      <c r="I34">
        <v>246.82480686705108</v>
      </c>
    </row>
    <row r="35" spans="2:9" x14ac:dyDescent="0.2">
      <c r="B35" s="1">
        <v>31</v>
      </c>
      <c r="C35" s="15">
        <v>39958</v>
      </c>
      <c r="D35">
        <v>54.1</v>
      </c>
      <c r="E35">
        <v>368.21362119634387</v>
      </c>
      <c r="F35">
        <v>74.943550978955358</v>
      </c>
      <c r="G35">
        <v>13368.401137373645</v>
      </c>
      <c r="H35">
        <v>298515.64083704184</v>
      </c>
      <c r="I35">
        <v>245.87779192472306</v>
      </c>
    </row>
    <row r="36" spans="2:9" x14ac:dyDescent="0.2">
      <c r="B36" s="1">
        <v>32</v>
      </c>
      <c r="C36" s="15">
        <v>39974</v>
      </c>
      <c r="D36">
        <v>52.22</v>
      </c>
      <c r="E36">
        <v>355.03230452389221</v>
      </c>
      <c r="F36">
        <v>74.701865350251325</v>
      </c>
      <c r="G36">
        <v>12903.843020215372</v>
      </c>
      <c r="H36">
        <v>287829.37349916215</v>
      </c>
      <c r="I36">
        <v>245.08486007202271</v>
      </c>
    </row>
    <row r="37" spans="2:9" x14ac:dyDescent="0.2">
      <c r="B37" s="1">
        <v>33</v>
      </c>
      <c r="C37" s="15">
        <v>39990</v>
      </c>
      <c r="D37">
        <v>49.16</v>
      </c>
      <c r="E37">
        <v>333.57760823788038</v>
      </c>
      <c r="F37">
        <v>74.308483422679885</v>
      </c>
      <c r="G37">
        <v>12147.700552925846</v>
      </c>
      <c r="H37">
        <v>270435.76815133664</v>
      </c>
      <c r="I37">
        <v>243.79423695007432</v>
      </c>
    </row>
    <row r="38" spans="2:9" x14ac:dyDescent="0.2">
      <c r="B38" s="1">
        <v>34</v>
      </c>
      <c r="C38" s="15">
        <v>40070</v>
      </c>
      <c r="D38">
        <v>36.68</v>
      </c>
      <c r="E38">
        <v>245.38562400648823</v>
      </c>
      <c r="F38">
        <v>72.386140398305855</v>
      </c>
      <c r="G38">
        <v>9063.8253922156237</v>
      </c>
      <c r="H38">
        <v>198937.36294843396</v>
      </c>
      <c r="I38">
        <v>237.48733726383304</v>
      </c>
    </row>
    <row r="39" spans="2:9" x14ac:dyDescent="0.2">
      <c r="B39" s="1">
        <v>35</v>
      </c>
      <c r="C39" s="15">
        <v>40086</v>
      </c>
      <c r="D39">
        <v>36.64</v>
      </c>
      <c r="E39">
        <v>245.09663779399838</v>
      </c>
      <c r="F39">
        <v>72.378931242678206</v>
      </c>
      <c r="G39">
        <v>9053.9411769569379</v>
      </c>
      <c r="H39">
        <v>198703.07801314504</v>
      </c>
      <c r="I39">
        <v>237.46368517844058</v>
      </c>
    </row>
    <row r="40" spans="2:9" x14ac:dyDescent="0.2">
      <c r="B40" s="1">
        <v>36</v>
      </c>
      <c r="C40" s="15">
        <v>40102</v>
      </c>
      <c r="D40">
        <v>36.67</v>
      </c>
      <c r="E40">
        <v>245.31337745336577</v>
      </c>
      <c r="F40">
        <v>72.384338109398939</v>
      </c>
      <c r="G40">
        <v>9061.3543384009536</v>
      </c>
      <c r="H40">
        <v>198878.79171461173</v>
      </c>
      <c r="I40">
        <v>237.48142424248493</v>
      </c>
    </row>
    <row r="41" spans="2:9" x14ac:dyDescent="0.2">
      <c r="B41" s="1">
        <v>37</v>
      </c>
      <c r="C41" s="15">
        <v>40118</v>
      </c>
      <c r="D41">
        <v>35.46</v>
      </c>
      <c r="E41">
        <v>236.57154452554744</v>
      </c>
      <c r="F41">
        <v>72.16626115166261</v>
      </c>
      <c r="G41">
        <v>8762.356826825684</v>
      </c>
      <c r="H41">
        <v>191791.67242212218</v>
      </c>
      <c r="I41">
        <v>236.76594865936335</v>
      </c>
    </row>
    <row r="42" spans="2:9" x14ac:dyDescent="0.2">
      <c r="B42" s="1">
        <v>38</v>
      </c>
      <c r="C42" s="15">
        <v>40134</v>
      </c>
      <c r="D42">
        <v>33.94</v>
      </c>
      <c r="E42">
        <v>225.5451750237778</v>
      </c>
      <c r="F42">
        <v>71.873713355737323</v>
      </c>
      <c r="G42">
        <v>8386.7566469955909</v>
      </c>
      <c r="H42">
        <v>182852.44918743469</v>
      </c>
      <c r="I42">
        <v>235.80614617929734</v>
      </c>
    </row>
    <row r="43" spans="2:9" x14ac:dyDescent="0.2">
      <c r="B43" s="1">
        <v>39</v>
      </c>
      <c r="C43" s="15">
        <v>40246</v>
      </c>
      <c r="D43">
        <v>58.75</v>
      </c>
      <c r="E43">
        <v>402.56038684126815</v>
      </c>
      <c r="F43">
        <v>75.496106221798087</v>
      </c>
      <c r="G43">
        <v>14517.441161195964</v>
      </c>
      <c r="H43">
        <v>326361.01690939249</v>
      </c>
      <c r="I43">
        <v>247.69063720963288</v>
      </c>
    </row>
    <row r="44" spans="2:9" x14ac:dyDescent="0.2">
      <c r="B44" s="1">
        <v>40</v>
      </c>
      <c r="C44" s="15">
        <v>40262</v>
      </c>
      <c r="D44">
        <v>57.31</v>
      </c>
      <c r="E44">
        <v>391.86765012193831</v>
      </c>
      <c r="F44">
        <v>75.326452950670955</v>
      </c>
      <c r="G44">
        <v>14161.609411883246</v>
      </c>
      <c r="H44">
        <v>317692.27417330979</v>
      </c>
      <c r="I44">
        <v>247.13403198940176</v>
      </c>
    </row>
    <row r="45" spans="2:9" x14ac:dyDescent="0.2">
      <c r="B45" s="1">
        <v>41</v>
      </c>
      <c r="C45" s="15">
        <v>40310</v>
      </c>
      <c r="D45">
        <v>54.29</v>
      </c>
      <c r="E45">
        <v>369.54577554090019</v>
      </c>
      <c r="F45">
        <v>74.967976654196718</v>
      </c>
      <c r="G45">
        <v>13415.351159852406</v>
      </c>
      <c r="H45">
        <v>299595.63594033819</v>
      </c>
      <c r="I45">
        <v>245.95792865451722</v>
      </c>
    </row>
    <row r="46" spans="2:9" x14ac:dyDescent="0.2">
      <c r="B46" s="1">
        <v>42</v>
      </c>
      <c r="C46" s="15">
        <v>40326</v>
      </c>
      <c r="D46">
        <v>52.69</v>
      </c>
      <c r="E46">
        <v>358.32763369200512</v>
      </c>
      <c r="F46">
        <v>74.762286757427333</v>
      </c>
      <c r="G46">
        <v>13019.982549504941</v>
      </c>
      <c r="H46">
        <v>290500.94033363205</v>
      </c>
      <c r="I46">
        <v>245.28309303519779</v>
      </c>
    </row>
    <row r="47" spans="2:9" x14ac:dyDescent="0.2">
      <c r="B47" s="1">
        <v>43</v>
      </c>
      <c r="C47" s="15">
        <v>40342</v>
      </c>
      <c r="D47">
        <v>55.99</v>
      </c>
      <c r="E47">
        <v>382.06597479588595</v>
      </c>
      <c r="F47">
        <v>75.17093745213775</v>
      </c>
      <c r="G47">
        <v>13835.430308346587</v>
      </c>
      <c r="H47">
        <v>309745.92666523397</v>
      </c>
      <c r="I47">
        <v>246.62381053752318</v>
      </c>
    </row>
    <row r="48" spans="2:9" x14ac:dyDescent="0.2">
      <c r="B48" s="1">
        <v>44</v>
      </c>
      <c r="C48" s="15">
        <v>40358</v>
      </c>
      <c r="D48">
        <v>55.37</v>
      </c>
      <c r="E48">
        <v>377.46215759728557</v>
      </c>
      <c r="F48">
        <v>75.097892293735782</v>
      </c>
      <c r="G48">
        <v>13682.224971836944</v>
      </c>
      <c r="H48">
        <v>306013.55132053164</v>
      </c>
      <c r="I48">
        <v>246.38416106770143</v>
      </c>
    </row>
    <row r="49" spans="2:9" x14ac:dyDescent="0.2">
      <c r="B49" s="1">
        <v>45</v>
      </c>
      <c r="C49" s="15">
        <v>40470</v>
      </c>
      <c r="D49">
        <v>42.53</v>
      </c>
      <c r="E49">
        <v>287.11530053937435</v>
      </c>
      <c r="F49">
        <v>73.366175236725397</v>
      </c>
      <c r="G49">
        <v>10509.391873798542</v>
      </c>
      <c r="H49">
        <v>232768.16228623057</v>
      </c>
      <c r="I49">
        <v>240.70267466020977</v>
      </c>
    </row>
    <row r="50" spans="2:9" x14ac:dyDescent="0.2">
      <c r="B50" s="1">
        <v>46</v>
      </c>
      <c r="C50" s="15">
        <v>40486</v>
      </c>
      <c r="D50">
        <v>42.06</v>
      </c>
      <c r="E50">
        <v>283.82251197411006</v>
      </c>
      <c r="F50">
        <v>73.295756921970508</v>
      </c>
      <c r="G50">
        <v>10393.252344508974</v>
      </c>
      <c r="H50">
        <v>230098.65515201021</v>
      </c>
      <c r="I50">
        <v>240.47164344382327</v>
      </c>
    </row>
    <row r="51" spans="2:9" x14ac:dyDescent="0.2">
      <c r="B51" s="1">
        <v>47</v>
      </c>
      <c r="C51" s="15">
        <v>40662</v>
      </c>
      <c r="D51">
        <v>54.51</v>
      </c>
      <c r="E51">
        <v>371.08827004512324</v>
      </c>
      <c r="F51">
        <v>74.996259015002508</v>
      </c>
      <c r="G51">
        <v>13469.714343775182</v>
      </c>
      <c r="H51">
        <v>300846.1565862603</v>
      </c>
      <c r="I51">
        <v>246.05071855217363</v>
      </c>
    </row>
    <row r="52" spans="2:9" x14ac:dyDescent="0.2">
      <c r="B52" s="1">
        <v>48</v>
      </c>
      <c r="C52" s="15">
        <v>40678</v>
      </c>
      <c r="D52">
        <v>55.23</v>
      </c>
      <c r="E52">
        <v>376.42258597179517</v>
      </c>
      <c r="F52">
        <v>75.081398225709535</v>
      </c>
      <c r="G52">
        <v>13647.630218431541</v>
      </c>
      <c r="H52">
        <v>305170.75688785693</v>
      </c>
      <c r="I52">
        <v>246.33004667129006</v>
      </c>
    </row>
    <row r="53" spans="2:9" x14ac:dyDescent="0.2">
      <c r="B53" s="1">
        <v>49</v>
      </c>
      <c r="C53" s="15">
        <v>40726</v>
      </c>
      <c r="D53">
        <v>48.72</v>
      </c>
      <c r="E53">
        <v>330.49261922943424</v>
      </c>
      <c r="F53">
        <v>74.251918701068305</v>
      </c>
      <c r="G53">
        <v>12038.974185080295</v>
      </c>
      <c r="H53">
        <v>267934.72685949242</v>
      </c>
      <c r="I53">
        <v>243.60865715476149</v>
      </c>
    </row>
    <row r="54" spans="2:9" x14ac:dyDescent="0.2">
      <c r="B54" s="1">
        <v>50</v>
      </c>
      <c r="C54" s="15">
        <v>40742</v>
      </c>
      <c r="D54">
        <v>46.22</v>
      </c>
      <c r="E54">
        <v>312.96719374325784</v>
      </c>
      <c r="F54">
        <v>73.919033920652041</v>
      </c>
      <c r="G54">
        <v>11421.210731412382</v>
      </c>
      <c r="H54">
        <v>253726.63319106703</v>
      </c>
      <c r="I54">
        <v>242.51651548673348</v>
      </c>
    </row>
    <row r="55" spans="2:9" x14ac:dyDescent="0.2">
      <c r="B55" s="1">
        <v>51</v>
      </c>
      <c r="C55" s="15">
        <v>40758</v>
      </c>
      <c r="D55">
        <v>42.34</v>
      </c>
      <c r="E55">
        <v>285.78417324703349</v>
      </c>
      <c r="F55">
        <v>73.337708258420236</v>
      </c>
      <c r="G55">
        <v>10462.441851319782</v>
      </c>
      <c r="H55">
        <v>231688.99982771598</v>
      </c>
      <c r="I55">
        <v>240.60927906209608</v>
      </c>
    </row>
    <row r="56" spans="2:9" x14ac:dyDescent="0.2">
      <c r="B56" s="1">
        <v>52</v>
      </c>
      <c r="C56" s="15">
        <v>40806</v>
      </c>
      <c r="D56">
        <v>47.77</v>
      </c>
      <c r="E56">
        <v>323.83184750665282</v>
      </c>
      <c r="F56">
        <v>74.129790324861474</v>
      </c>
      <c r="G56">
        <v>11804.224072686489</v>
      </c>
      <c r="H56">
        <v>262534.75134301069</v>
      </c>
      <c r="I56">
        <v>243.20797350579056</v>
      </c>
    </row>
    <row r="57" spans="2:9" x14ac:dyDescent="0.2">
      <c r="B57" s="1">
        <v>53</v>
      </c>
      <c r="C57" s="15">
        <v>40838</v>
      </c>
      <c r="D57">
        <v>42.73</v>
      </c>
      <c r="E57">
        <v>288.51648716289105</v>
      </c>
      <c r="F57">
        <v>73.396140477046629</v>
      </c>
      <c r="G57">
        <v>10558.812950091975</v>
      </c>
      <c r="H57">
        <v>233904.12276887751</v>
      </c>
      <c r="I57">
        <v>240.80098581611892</v>
      </c>
    </row>
    <row r="58" spans="2:9" x14ac:dyDescent="0.2">
      <c r="B58" s="1">
        <v>54</v>
      </c>
      <c r="C58" s="15">
        <v>40854</v>
      </c>
      <c r="D58">
        <v>42.05</v>
      </c>
      <c r="E58">
        <v>283.7524526429342</v>
      </c>
      <c r="F58">
        <v>73.294258659954451</v>
      </c>
      <c r="G58">
        <v>10390.781290694302</v>
      </c>
      <c r="H58">
        <v>230041.85712787783</v>
      </c>
      <c r="I58">
        <v>240.46672788602783</v>
      </c>
    </row>
    <row r="59" spans="2:9" x14ac:dyDescent="0.2">
      <c r="B59" s="1">
        <v>55</v>
      </c>
      <c r="C59" s="15">
        <v>40998</v>
      </c>
      <c r="D59">
        <v>38.799999999999997</v>
      </c>
      <c r="E59">
        <v>260.70189326845093</v>
      </c>
      <c r="F59">
        <v>72.768225646571139</v>
      </c>
      <c r="G59">
        <v>9587.6888009260128</v>
      </c>
      <c r="H59">
        <v>211354.46451874622</v>
      </c>
      <c r="I59">
        <v>238.74089778963278</v>
      </c>
    </row>
    <row r="60" spans="2:9" x14ac:dyDescent="0.2">
      <c r="B60" s="1">
        <v>56</v>
      </c>
      <c r="C60" s="15">
        <v>41014</v>
      </c>
      <c r="D60">
        <v>39.270000000000003</v>
      </c>
      <c r="E60">
        <v>264.09748126520685</v>
      </c>
      <c r="F60">
        <v>72.852933225195997</v>
      </c>
      <c r="G60">
        <v>9703.8283302155833</v>
      </c>
      <c r="H60">
        <v>214107.31250839093</v>
      </c>
      <c r="I60">
        <v>239.01880979299406</v>
      </c>
    </row>
    <row r="61" spans="2:9" x14ac:dyDescent="0.2">
      <c r="B61" s="1">
        <v>57</v>
      </c>
      <c r="C61" s="15">
        <v>41030</v>
      </c>
      <c r="D61">
        <v>36.380000000000003</v>
      </c>
      <c r="E61">
        <v>243.21822741281429</v>
      </c>
      <c r="F61">
        <v>72.332071731098495</v>
      </c>
      <c r="G61">
        <v>8989.6937777754756</v>
      </c>
      <c r="H61">
        <v>197180.22593376713</v>
      </c>
      <c r="I61">
        <v>237.30994662338966</v>
      </c>
    </row>
    <row r="62" spans="2:9" x14ac:dyDescent="0.2">
      <c r="B62" s="1">
        <v>58</v>
      </c>
      <c r="C62" s="15">
        <v>41046</v>
      </c>
      <c r="D62">
        <v>37.42</v>
      </c>
      <c r="E62">
        <v>250.7318689375507</v>
      </c>
      <c r="F62">
        <v>72.519509777417326</v>
      </c>
      <c r="G62">
        <v>9246.6833745013282</v>
      </c>
      <c r="H62">
        <v>203271.6342512788</v>
      </c>
      <c r="I62">
        <v>237.92490084359335</v>
      </c>
    </row>
    <row r="63" spans="2:9" x14ac:dyDescent="0.2">
      <c r="B63" s="1">
        <v>59</v>
      </c>
      <c r="C63" s="15">
        <v>41078</v>
      </c>
      <c r="D63">
        <v>36.380000000000003</v>
      </c>
      <c r="E63">
        <v>243.21822741281429</v>
      </c>
      <c r="F63">
        <v>72.332071731098495</v>
      </c>
      <c r="G63">
        <v>8989.6937777754756</v>
      </c>
      <c r="H63">
        <v>197180.22593376713</v>
      </c>
      <c r="I63">
        <v>237.30994662338966</v>
      </c>
    </row>
    <row r="64" spans="2:9" x14ac:dyDescent="0.2">
      <c r="B64" s="1">
        <v>60</v>
      </c>
      <c r="C64" s="15">
        <v>41094</v>
      </c>
      <c r="D64">
        <v>34.03</v>
      </c>
      <c r="E64">
        <v>226.20215619174434</v>
      </c>
      <c r="F64">
        <v>71.892735611776885</v>
      </c>
      <c r="G64">
        <v>8408.9961313276362</v>
      </c>
      <c r="H64">
        <v>183385.0724883767</v>
      </c>
      <c r="I64">
        <v>235.86855515580484</v>
      </c>
    </row>
    <row r="65" spans="2:9" x14ac:dyDescent="0.2">
      <c r="B65" s="1">
        <v>61</v>
      </c>
      <c r="C65" s="15">
        <v>41110</v>
      </c>
      <c r="D65">
        <v>32.76</v>
      </c>
      <c r="E65">
        <v>216.93142193266121</v>
      </c>
      <c r="F65">
        <v>71.624310443218562</v>
      </c>
      <c r="G65">
        <v>8095.1722968643362</v>
      </c>
      <c r="H65">
        <v>175869.16590841772</v>
      </c>
      <c r="I65">
        <v>234.98789515397661</v>
      </c>
    </row>
    <row r="66" spans="2:9" x14ac:dyDescent="0.2">
      <c r="B66" s="1">
        <v>62</v>
      </c>
      <c r="C66" s="15">
        <v>41126</v>
      </c>
      <c r="D66">
        <v>31.34</v>
      </c>
      <c r="E66">
        <v>206.56571906030055</v>
      </c>
      <c r="F66">
        <v>71.324181514594301</v>
      </c>
      <c r="G66">
        <v>7744.2826551809612</v>
      </c>
      <c r="H66">
        <v>167465.55382688879</v>
      </c>
      <c r="I66">
        <v>234.00322019130252</v>
      </c>
    </row>
    <row r="67" spans="2:9" x14ac:dyDescent="0.2">
      <c r="B67" s="1">
        <v>63</v>
      </c>
      <c r="C67" s="15">
        <v>41174</v>
      </c>
      <c r="D67">
        <v>27.03</v>
      </c>
      <c r="E67">
        <v>176.04559432534677</v>
      </c>
      <c r="F67">
        <v>70.351688384475267</v>
      </c>
      <c r="G67">
        <v>6679.2584610574795</v>
      </c>
      <c r="H67">
        <v>142722.48602814748</v>
      </c>
      <c r="I67">
        <v>230.81262593239455</v>
      </c>
    </row>
    <row r="68" spans="2:9" x14ac:dyDescent="0.2">
      <c r="B68" s="1">
        <v>64</v>
      </c>
      <c r="C68" s="15">
        <v>41190</v>
      </c>
      <c r="D68">
        <v>26.88</v>
      </c>
      <c r="E68">
        <v>175.00152118537198</v>
      </c>
      <c r="F68">
        <v>70.316659660921957</v>
      </c>
      <c r="G68">
        <v>6642.1926538374046</v>
      </c>
      <c r="H68">
        <v>141876.04215828827</v>
      </c>
      <c r="I68">
        <v>230.69770229868993</v>
      </c>
    </row>
    <row r="69" spans="2:9" x14ac:dyDescent="0.2">
      <c r="B69" s="1">
        <v>65</v>
      </c>
      <c r="C69" s="15">
        <v>41206</v>
      </c>
      <c r="D69">
        <v>26.47</v>
      </c>
      <c r="E69">
        <v>172.14772126944092</v>
      </c>
      <c r="F69">
        <v>70.220914483209569</v>
      </c>
      <c r="G69">
        <v>6540.8794474358665</v>
      </c>
      <c r="H69">
        <v>139562.42891400639</v>
      </c>
      <c r="I69">
        <v>230.38357769989727</v>
      </c>
    </row>
    <row r="70" spans="2:9" x14ac:dyDescent="0.2">
      <c r="B70" s="1">
        <v>66</v>
      </c>
      <c r="C70" s="15">
        <v>41350</v>
      </c>
      <c r="D70">
        <v>38.61</v>
      </c>
      <c r="E70">
        <v>259.32920875912407</v>
      </c>
      <c r="F70">
        <v>72.733982157339824</v>
      </c>
      <c r="G70">
        <v>9540.7387784472521</v>
      </c>
      <c r="H70">
        <v>210241.61107612384</v>
      </c>
      <c r="I70">
        <v>238.62855038401867</v>
      </c>
    </row>
    <row r="71" spans="2:9" x14ac:dyDescent="0.2">
      <c r="B71" s="1">
        <v>67</v>
      </c>
      <c r="C71" s="15">
        <v>41366</v>
      </c>
      <c r="D71">
        <v>38.130000000000003</v>
      </c>
      <c r="E71">
        <v>255.86137420924575</v>
      </c>
      <c r="F71">
        <v>72.64747228980805</v>
      </c>
      <c r="G71">
        <v>9422.1281953430152</v>
      </c>
      <c r="H71">
        <v>207430.19185265695</v>
      </c>
      <c r="I71">
        <v>238.34472535930925</v>
      </c>
    </row>
    <row r="72" spans="2:9" x14ac:dyDescent="0.2">
      <c r="B72" s="1">
        <v>68</v>
      </c>
      <c r="C72" s="15">
        <v>41369</v>
      </c>
      <c r="D72">
        <v>37.549999999999997</v>
      </c>
      <c r="E72">
        <v>251.67107412814272</v>
      </c>
      <c r="F72">
        <v>72.542939533207175</v>
      </c>
      <c r="G72">
        <v>9278.8070740920575</v>
      </c>
      <c r="H72">
        <v>204033.06029096773</v>
      </c>
      <c r="I72">
        <v>238.0017701211188</v>
      </c>
    </row>
    <row r="73" spans="2:9" x14ac:dyDescent="0.2">
      <c r="B73" s="1">
        <v>69</v>
      </c>
      <c r="C73" s="15">
        <v>41374</v>
      </c>
      <c r="D73">
        <v>61.19</v>
      </c>
      <c r="E73">
        <v>420.67863517124374</v>
      </c>
      <c r="F73">
        <v>75.783574264541286</v>
      </c>
      <c r="G73">
        <v>15120.378291975847</v>
      </c>
      <c r="H73">
        <v>341049.71987886599</v>
      </c>
      <c r="I73">
        <v>248.63377383280235</v>
      </c>
    </row>
    <row r="74" spans="2:9" x14ac:dyDescent="0.2">
      <c r="B74" s="1">
        <v>70</v>
      </c>
      <c r="C74" s="15">
        <v>41382</v>
      </c>
      <c r="D74">
        <v>58.23</v>
      </c>
      <c r="E74">
        <v>398.69912080373234</v>
      </c>
      <c r="F74">
        <v>75.434842540557739</v>
      </c>
      <c r="G74">
        <v>14388.946362833036</v>
      </c>
      <c r="H74">
        <v>323230.63758802926</v>
      </c>
      <c r="I74">
        <v>247.48964088010499</v>
      </c>
    </row>
    <row r="75" spans="2:9" x14ac:dyDescent="0.2">
      <c r="B75" s="1">
        <v>71</v>
      </c>
      <c r="C75" s="15">
        <v>41398</v>
      </c>
      <c r="D75">
        <v>58.08</v>
      </c>
      <c r="E75">
        <v>397.58529406213552</v>
      </c>
      <c r="F75">
        <v>75.417170324815331</v>
      </c>
      <c r="G75">
        <v>14351.880555612963</v>
      </c>
      <c r="H75">
        <v>322327.64355302067</v>
      </c>
      <c r="I75">
        <v>247.43166116966427</v>
      </c>
    </row>
    <row r="76" spans="2:9" x14ac:dyDescent="0.2">
      <c r="B76" s="1">
        <v>72</v>
      </c>
      <c r="C76" s="15">
        <v>41414</v>
      </c>
      <c r="D76">
        <v>56.6</v>
      </c>
      <c r="E76">
        <v>386.59553687837985</v>
      </c>
      <c r="F76">
        <v>75.242804462823543</v>
      </c>
      <c r="G76">
        <v>13986.164591041559</v>
      </c>
      <c r="H76">
        <v>313418.1024076023</v>
      </c>
      <c r="I76">
        <v>246.85959469331553</v>
      </c>
    </row>
    <row r="77" spans="2:9" x14ac:dyDescent="0.2">
      <c r="B77" s="1">
        <v>73</v>
      </c>
      <c r="C77" s="15">
        <v>41422</v>
      </c>
      <c r="D77">
        <v>56.34</v>
      </c>
      <c r="E77">
        <v>384.66490385961197</v>
      </c>
      <c r="F77">
        <v>75.212172622203369</v>
      </c>
      <c r="G77">
        <v>13921.917191860097</v>
      </c>
      <c r="H77">
        <v>311852.91274692072</v>
      </c>
      <c r="I77">
        <v>246.75909652855159</v>
      </c>
    </row>
    <row r="78" spans="2:9" x14ac:dyDescent="0.2">
      <c r="B78" s="1">
        <v>74</v>
      </c>
      <c r="C78" s="15">
        <v>41486</v>
      </c>
      <c r="D78">
        <v>53.37</v>
      </c>
      <c r="E78">
        <v>363.09534397778549</v>
      </c>
      <c r="F78">
        <v>74.849704963554316</v>
      </c>
      <c r="G78">
        <v>13188.014208902614</v>
      </c>
      <c r="H78">
        <v>294366.18596648215</v>
      </c>
      <c r="I78">
        <v>245.56989817340855</v>
      </c>
    </row>
    <row r="79" spans="2:9" x14ac:dyDescent="0.2">
      <c r="B79" s="1">
        <v>75</v>
      </c>
      <c r="C79" s="15">
        <v>41502</v>
      </c>
      <c r="D79">
        <v>59.08</v>
      </c>
      <c r="E79">
        <v>405.01080567278126</v>
      </c>
      <c r="F79">
        <v>75.534985096431384</v>
      </c>
      <c r="G79">
        <v>14598.985937080128</v>
      </c>
      <c r="H79">
        <v>328347.60378641146</v>
      </c>
      <c r="I79">
        <v>247.81819257260253</v>
      </c>
    </row>
    <row r="80" spans="2:9" x14ac:dyDescent="0.2">
      <c r="B80" s="1">
        <v>76</v>
      </c>
      <c r="C80" s="15">
        <v>41526</v>
      </c>
      <c r="D80">
        <v>56.9</v>
      </c>
      <c r="E80">
        <v>388.82319036157355</v>
      </c>
      <c r="F80">
        <v>75.278148894308373</v>
      </c>
      <c r="G80">
        <v>14060.296205481707</v>
      </c>
      <c r="H80">
        <v>315224.09047761955</v>
      </c>
      <c r="I80">
        <v>246.97555411419705</v>
      </c>
    </row>
    <row r="81" spans="2:9" x14ac:dyDescent="0.2">
      <c r="B81" s="1">
        <v>77</v>
      </c>
      <c r="C81" s="15">
        <v>41534</v>
      </c>
      <c r="D81">
        <v>56.76</v>
      </c>
      <c r="E81">
        <v>387.78361873608316</v>
      </c>
      <c r="F81">
        <v>75.261654826282125</v>
      </c>
      <c r="G81">
        <v>14025.701452076304</v>
      </c>
      <c r="H81">
        <v>314381.29604494484</v>
      </c>
      <c r="I81">
        <v>246.92143971778572</v>
      </c>
    </row>
    <row r="82" spans="2:9" x14ac:dyDescent="0.2">
      <c r="B82" s="1">
        <v>78</v>
      </c>
      <c r="C82" s="15">
        <v>41558</v>
      </c>
      <c r="D82">
        <v>55.4</v>
      </c>
      <c r="E82">
        <v>377.68492294560491</v>
      </c>
      <c r="F82">
        <v>75.101426736884264</v>
      </c>
      <c r="G82">
        <v>13689.63813328096</v>
      </c>
      <c r="H82">
        <v>306194.15012753336</v>
      </c>
      <c r="I82">
        <v>246.39575700978958</v>
      </c>
    </row>
    <row r="83" spans="2:9" x14ac:dyDescent="0.2">
      <c r="B83" s="1">
        <v>79</v>
      </c>
      <c r="C83" s="15">
        <v>41566</v>
      </c>
      <c r="D83">
        <v>53.1</v>
      </c>
      <c r="E83">
        <v>361.20228254078449</v>
      </c>
      <c r="F83">
        <v>74.814994793474483</v>
      </c>
      <c r="G83">
        <v>13121.29575590648</v>
      </c>
      <c r="H83">
        <v>292831.45608285058</v>
      </c>
      <c r="I83">
        <v>245.45601966264837</v>
      </c>
    </row>
    <row r="84" spans="2:9" x14ac:dyDescent="0.2">
      <c r="B84" s="1">
        <v>80</v>
      </c>
      <c r="C84" s="15">
        <v>41574</v>
      </c>
      <c r="D84">
        <v>52.71</v>
      </c>
      <c r="E84">
        <v>358.4678604651163</v>
      </c>
      <c r="F84">
        <v>74.764857881136948</v>
      </c>
      <c r="G84">
        <v>13024.924657134285</v>
      </c>
      <c r="H84">
        <v>290614.62402871589</v>
      </c>
      <c r="I84">
        <v>245.29152848043927</v>
      </c>
    </row>
    <row r="85" spans="2:9" x14ac:dyDescent="0.2">
      <c r="B85" s="1">
        <v>81</v>
      </c>
      <c r="C85" s="15">
        <v>41582</v>
      </c>
      <c r="D85">
        <v>51.99</v>
      </c>
      <c r="E85">
        <v>353.41969663311352</v>
      </c>
      <c r="F85">
        <v>74.672297427590735</v>
      </c>
      <c r="G85">
        <v>12847.008782477926</v>
      </c>
      <c r="H85">
        <v>286522.01100569812</v>
      </c>
      <c r="I85">
        <v>244.98785245174557</v>
      </c>
    </row>
    <row r="86" spans="2:9" x14ac:dyDescent="0.2">
      <c r="B86" s="1">
        <v>82</v>
      </c>
      <c r="C86" s="15">
        <v>41598</v>
      </c>
      <c r="D86">
        <v>51.3</v>
      </c>
      <c r="E86">
        <v>348.5818729607775</v>
      </c>
      <c r="F86">
        <v>74.583593659608937</v>
      </c>
      <c r="G86">
        <v>12676.506069265582</v>
      </c>
      <c r="H86">
        <v>282599.92352530611</v>
      </c>
      <c r="I86">
        <v>244.69682959091406</v>
      </c>
    </row>
    <row r="87" spans="2:9" x14ac:dyDescent="0.2">
      <c r="B87" s="1">
        <v>83</v>
      </c>
      <c r="C87" s="15">
        <v>41606</v>
      </c>
      <c r="D87">
        <v>58.96</v>
      </c>
      <c r="E87">
        <v>404.11974427950378</v>
      </c>
      <c r="F87">
        <v>75.520847323837458</v>
      </c>
      <c r="G87">
        <v>14569.333291304069</v>
      </c>
      <c r="H87">
        <v>327625.20855840459</v>
      </c>
      <c r="I87">
        <v>247.77180880424993</v>
      </c>
    </row>
    <row r="88" spans="2:9" x14ac:dyDescent="0.2">
      <c r="B88" s="1">
        <v>84</v>
      </c>
      <c r="C88" s="15">
        <v>41614</v>
      </c>
      <c r="D88">
        <v>58.28</v>
      </c>
      <c r="E88">
        <v>399.07039638426465</v>
      </c>
      <c r="F88">
        <v>75.440733279138541</v>
      </c>
      <c r="G88">
        <v>14401.301631906395</v>
      </c>
      <c r="H88">
        <v>323531.63559969881</v>
      </c>
      <c r="I88">
        <v>247.5089674502519</v>
      </c>
    </row>
    <row r="89" spans="2:9" x14ac:dyDescent="0.2">
      <c r="B89" s="1">
        <v>85</v>
      </c>
      <c r="C89" s="15">
        <v>41622</v>
      </c>
      <c r="D89">
        <v>57.36</v>
      </c>
      <c r="E89">
        <v>392.23892570247057</v>
      </c>
      <c r="F89">
        <v>75.332343689251758</v>
      </c>
      <c r="G89">
        <v>14173.964680956602</v>
      </c>
      <c r="H89">
        <v>317993.27218497929</v>
      </c>
      <c r="I89">
        <v>247.15335855954865</v>
      </c>
    </row>
    <row r="90" spans="2:9" x14ac:dyDescent="0.2">
      <c r="B90" s="1">
        <v>86</v>
      </c>
      <c r="C90" s="15">
        <v>41630</v>
      </c>
      <c r="D90">
        <v>57.07</v>
      </c>
      <c r="E90">
        <v>390.08552733538335</v>
      </c>
      <c r="F90">
        <v>75.298177405483102</v>
      </c>
      <c r="G90">
        <v>14102.304120331124</v>
      </c>
      <c r="H90">
        <v>316247.48371729598</v>
      </c>
      <c r="I90">
        <v>247.04126445269657</v>
      </c>
    </row>
    <row r="91" spans="2:9" x14ac:dyDescent="0.2">
      <c r="B91" s="1">
        <v>87</v>
      </c>
      <c r="C91" s="15">
        <v>41638</v>
      </c>
      <c r="D91">
        <v>56.3</v>
      </c>
      <c r="E91">
        <v>384.36788339518608</v>
      </c>
      <c r="F91">
        <v>75.207460031338726</v>
      </c>
      <c r="G91">
        <v>13912.032976601407</v>
      </c>
      <c r="H91">
        <v>311612.11433758505</v>
      </c>
      <c r="I91">
        <v>246.74363527243406</v>
      </c>
    </row>
    <row r="92" spans="2:9" x14ac:dyDescent="0.2">
      <c r="B92" s="1">
        <v>88</v>
      </c>
      <c r="C92" s="15">
        <v>41646</v>
      </c>
      <c r="D92">
        <v>52.41</v>
      </c>
      <c r="E92">
        <v>356.36445886844842</v>
      </c>
      <c r="F92">
        <v>74.726291025492685</v>
      </c>
      <c r="G92">
        <v>12950.793042694135</v>
      </c>
      <c r="H92">
        <v>288909.36860245839</v>
      </c>
      <c r="I92">
        <v>245.16499680181687</v>
      </c>
    </row>
    <row r="93" spans="2:9" x14ac:dyDescent="0.2">
      <c r="B93" s="1">
        <v>89</v>
      </c>
      <c r="C93" s="15">
        <v>41654</v>
      </c>
      <c r="D93">
        <v>57.3</v>
      </c>
      <c r="E93">
        <v>391.79339500583183</v>
      </c>
      <c r="F93">
        <v>75.325274802954794</v>
      </c>
      <c r="G93">
        <v>14159.138358068572</v>
      </c>
      <c r="H93">
        <v>317632.07457097585</v>
      </c>
      <c r="I93">
        <v>247.13016667537238</v>
      </c>
    </row>
    <row r="94" spans="2:9" x14ac:dyDescent="0.2">
      <c r="B94" s="1">
        <v>90</v>
      </c>
      <c r="C94" s="15">
        <v>41662</v>
      </c>
      <c r="D94">
        <v>57.83</v>
      </c>
      <c r="E94">
        <v>395.72891615947407</v>
      </c>
      <c r="F94">
        <v>75.387716631911303</v>
      </c>
      <c r="G94">
        <v>14290.104210246171</v>
      </c>
      <c r="H94">
        <v>320822.65349467297</v>
      </c>
      <c r="I94">
        <v>247.33502831892966</v>
      </c>
    </row>
    <row r="95" spans="2:9" x14ac:dyDescent="0.2">
      <c r="B95" s="1">
        <v>91</v>
      </c>
      <c r="C95" s="15">
        <v>41670</v>
      </c>
      <c r="D95">
        <v>57.51</v>
      </c>
      <c r="E95">
        <v>393.35275244406745</v>
      </c>
      <c r="F95">
        <v>75.350015904994166</v>
      </c>
      <c r="G95">
        <v>14211.030488176677</v>
      </c>
      <c r="H95">
        <v>318896.26621998794</v>
      </c>
      <c r="I95">
        <v>247.2113382699894</v>
      </c>
    </row>
    <row r="96" spans="2:9" x14ac:dyDescent="0.2">
      <c r="B96" s="1">
        <v>92</v>
      </c>
      <c r="C96" s="15">
        <v>41678</v>
      </c>
      <c r="D96">
        <v>59.64</v>
      </c>
      <c r="E96">
        <v>409.1690921747429</v>
      </c>
      <c r="F96">
        <v>75.600961368536389</v>
      </c>
      <c r="G96">
        <v>14737.36495070174</v>
      </c>
      <c r="H96">
        <v>331718.7815171103</v>
      </c>
      <c r="I96">
        <v>248.03465015824798</v>
      </c>
    </row>
    <row r="97" spans="2:9" x14ac:dyDescent="0.2">
      <c r="B97" s="1">
        <v>93</v>
      </c>
      <c r="C97" s="15">
        <v>41686</v>
      </c>
      <c r="D97">
        <v>57.79</v>
      </c>
      <c r="E97">
        <v>395.43189569504824</v>
      </c>
      <c r="F97">
        <v>75.383004041046661</v>
      </c>
      <c r="G97">
        <v>14280.219994987485</v>
      </c>
      <c r="H97">
        <v>320581.8550853373</v>
      </c>
      <c r="I97">
        <v>247.31956706281213</v>
      </c>
    </row>
    <row r="98" spans="2:9" x14ac:dyDescent="0.2">
      <c r="B98" s="1">
        <v>94</v>
      </c>
      <c r="C98" s="15">
        <v>41694</v>
      </c>
      <c r="D98">
        <v>57.98</v>
      </c>
      <c r="E98">
        <v>396.84274290107095</v>
      </c>
      <c r="F98">
        <v>75.405388847653725</v>
      </c>
      <c r="G98">
        <v>14327.170017466246</v>
      </c>
      <c r="H98">
        <v>321725.64752968156</v>
      </c>
      <c r="I98">
        <v>247.39300802937043</v>
      </c>
    </row>
    <row r="99" spans="2:9" x14ac:dyDescent="0.2">
      <c r="B99" s="1">
        <v>95</v>
      </c>
      <c r="C99" s="15">
        <v>41702</v>
      </c>
      <c r="D99">
        <v>59.4</v>
      </c>
      <c r="E99">
        <v>407.38696938818788</v>
      </c>
      <c r="F99">
        <v>75.572685823348536</v>
      </c>
      <c r="G99">
        <v>14678.059659149621</v>
      </c>
      <c r="H99">
        <v>330273.99106109649</v>
      </c>
      <c r="I99">
        <v>247.94188262154282</v>
      </c>
    </row>
    <row r="100" spans="2:9" x14ac:dyDescent="0.2">
      <c r="B100" s="1">
        <v>96</v>
      </c>
      <c r="C100" s="15">
        <v>41718</v>
      </c>
      <c r="D100">
        <v>59.51</v>
      </c>
      <c r="E100">
        <v>408.20377566535893</v>
      </c>
      <c r="F100">
        <v>75.585645448226302</v>
      </c>
      <c r="G100">
        <v>14705.241251111007</v>
      </c>
      <c r="H100">
        <v>330936.18668676948</v>
      </c>
      <c r="I100">
        <v>247.98440107586603</v>
      </c>
    </row>
    <row r="101" spans="2:9" x14ac:dyDescent="0.2">
      <c r="B101" s="1">
        <v>97</v>
      </c>
      <c r="C101" s="15">
        <v>41726</v>
      </c>
      <c r="D101">
        <v>58.28</v>
      </c>
      <c r="E101">
        <v>399.07039638426465</v>
      </c>
      <c r="F101">
        <v>75.440733279138541</v>
      </c>
      <c r="G101">
        <v>14401.301631906395</v>
      </c>
      <c r="H101">
        <v>323531.63559969881</v>
      </c>
      <c r="I101">
        <v>247.5089674502519</v>
      </c>
    </row>
    <row r="102" spans="2:9" x14ac:dyDescent="0.2">
      <c r="B102" s="1">
        <v>98</v>
      </c>
      <c r="C102" s="15">
        <v>41734</v>
      </c>
      <c r="D102">
        <v>57.65</v>
      </c>
      <c r="E102">
        <v>394.39232406955784</v>
      </c>
      <c r="F102">
        <v>75.366509973020413</v>
      </c>
      <c r="G102">
        <v>14245.62524158208</v>
      </c>
      <c r="H102">
        <v>319739.06065266259</v>
      </c>
      <c r="I102">
        <v>247.26545266640076</v>
      </c>
    </row>
    <row r="103" spans="2:9" x14ac:dyDescent="0.2">
      <c r="B103" s="1">
        <v>99</v>
      </c>
      <c r="C103" s="15">
        <v>41742</v>
      </c>
      <c r="D103">
        <v>57.71</v>
      </c>
      <c r="E103">
        <v>394.83785476619659</v>
      </c>
      <c r="F103">
        <v>75.373578859317377</v>
      </c>
      <c r="G103">
        <v>14260.451564470111</v>
      </c>
      <c r="H103">
        <v>320100.25826666609</v>
      </c>
      <c r="I103">
        <v>247.28864455057706</v>
      </c>
    </row>
    <row r="104" spans="2:9" x14ac:dyDescent="0.2">
      <c r="B104" s="1">
        <v>100</v>
      </c>
      <c r="C104" s="15">
        <v>41750</v>
      </c>
      <c r="D104">
        <v>57.35</v>
      </c>
      <c r="E104">
        <v>392.16467058636414</v>
      </c>
      <c r="F104">
        <v>75.331165541535597</v>
      </c>
      <c r="G104">
        <v>14171.493627141932</v>
      </c>
      <c r="H104">
        <v>317933.0725826454</v>
      </c>
      <c r="I104">
        <v>247.14949324551927</v>
      </c>
    </row>
    <row r="105" spans="2:9" x14ac:dyDescent="0.2">
      <c r="B105" s="1">
        <v>101</v>
      </c>
      <c r="C105" s="15">
        <v>41766</v>
      </c>
      <c r="D105">
        <v>56.75</v>
      </c>
      <c r="E105">
        <v>387.70936361997667</v>
      </c>
      <c r="F105">
        <v>75.260476678565965</v>
      </c>
      <c r="G105">
        <v>14023.230398261632</v>
      </c>
      <c r="H105">
        <v>314321.0964426109</v>
      </c>
      <c r="I105">
        <v>246.91757440375633</v>
      </c>
    </row>
    <row r="106" spans="2:9" x14ac:dyDescent="0.2">
      <c r="B106" s="1">
        <v>102</v>
      </c>
      <c r="C106" s="15">
        <v>41782</v>
      </c>
      <c r="D106">
        <v>58.44</v>
      </c>
      <c r="E106">
        <v>400.25847824196796</v>
      </c>
      <c r="F106">
        <v>75.45958364259711</v>
      </c>
      <c r="G106">
        <v>14440.838492941142</v>
      </c>
      <c r="H106">
        <v>324494.82923704135</v>
      </c>
      <c r="I106">
        <v>247.57081247472203</v>
      </c>
    </row>
    <row r="107" spans="2:9" x14ac:dyDescent="0.2">
      <c r="B107" s="1">
        <v>103</v>
      </c>
      <c r="C107" s="15">
        <v>41790</v>
      </c>
      <c r="D107">
        <v>58.27</v>
      </c>
      <c r="E107">
        <v>398.99614126815823</v>
      </c>
      <c r="F107">
        <v>75.439555131422381</v>
      </c>
      <c r="G107">
        <v>14398.830578091725</v>
      </c>
      <c r="H107">
        <v>323471.43599736493</v>
      </c>
      <c r="I107">
        <v>247.50510213622252</v>
      </c>
    </row>
    <row r="108" spans="2:9" x14ac:dyDescent="0.2">
      <c r="B108" s="1">
        <v>104</v>
      </c>
      <c r="C108" s="15">
        <v>41798</v>
      </c>
      <c r="D108">
        <v>56.47</v>
      </c>
      <c r="E108">
        <v>385.63022036899588</v>
      </c>
      <c r="F108">
        <v>75.227488542513456</v>
      </c>
      <c r="G108">
        <v>13954.040891450826</v>
      </c>
      <c r="H108">
        <v>312635.50757726148</v>
      </c>
      <c r="I108">
        <v>246.80934561093355</v>
      </c>
    </row>
    <row r="109" spans="2:9" x14ac:dyDescent="0.2">
      <c r="B109" s="1">
        <v>105</v>
      </c>
      <c r="C109" s="15">
        <v>41806</v>
      </c>
      <c r="D109">
        <v>58.18</v>
      </c>
      <c r="E109">
        <v>398.32784522320009</v>
      </c>
      <c r="F109">
        <v>75.428951801976936</v>
      </c>
      <c r="G109">
        <v>14376.591093759678</v>
      </c>
      <c r="H109">
        <v>322929.63957635971</v>
      </c>
      <c r="I109">
        <v>247.4703143099581</v>
      </c>
    </row>
    <row r="110" spans="2:9" x14ac:dyDescent="0.2">
      <c r="B110" s="1">
        <v>106</v>
      </c>
      <c r="C110" s="15">
        <v>41814</v>
      </c>
      <c r="D110">
        <v>56.08</v>
      </c>
      <c r="E110">
        <v>382.73427084084403</v>
      </c>
      <c r="F110">
        <v>75.181540781583195</v>
      </c>
      <c r="G110">
        <v>13857.669792678631</v>
      </c>
      <c r="H110">
        <v>310287.72308623907</v>
      </c>
      <c r="I110">
        <v>246.65859836378763</v>
      </c>
    </row>
    <row r="111" spans="2:9" x14ac:dyDescent="0.2">
      <c r="B111" s="1">
        <v>107</v>
      </c>
      <c r="C111" s="15">
        <v>41830</v>
      </c>
      <c r="D111">
        <v>54.16</v>
      </c>
      <c r="E111">
        <v>368.63430151567741</v>
      </c>
      <c r="F111">
        <v>74.951264350084202</v>
      </c>
      <c r="G111">
        <v>13383.227460261674</v>
      </c>
      <c r="H111">
        <v>298856.69192229328</v>
      </c>
      <c r="I111">
        <v>245.90309826044751</v>
      </c>
    </row>
    <row r="112" spans="2:9" x14ac:dyDescent="0.2">
      <c r="B112" s="1">
        <v>108</v>
      </c>
      <c r="C112" s="15">
        <v>41838</v>
      </c>
      <c r="D112">
        <v>54.2</v>
      </c>
      <c r="E112">
        <v>368.91475506189983</v>
      </c>
      <c r="F112">
        <v>74.956406597503445</v>
      </c>
      <c r="G112">
        <v>13393.11167552036</v>
      </c>
      <c r="H112">
        <v>299084.05931246094</v>
      </c>
      <c r="I112">
        <v>245.91996915093051</v>
      </c>
    </row>
    <row r="113" spans="2:9" x14ac:dyDescent="0.2">
      <c r="B113" s="1">
        <v>109</v>
      </c>
      <c r="C113" s="15">
        <v>41862</v>
      </c>
      <c r="D113">
        <v>50.32</v>
      </c>
      <c r="E113">
        <v>341.71076107832931</v>
      </c>
      <c r="F113">
        <v>74.457608597837691</v>
      </c>
      <c r="G113">
        <v>12434.342795427759</v>
      </c>
      <c r="H113">
        <v>277029.42246619862</v>
      </c>
      <c r="I113">
        <v>244.28349277408091</v>
      </c>
    </row>
    <row r="114" spans="2:9" x14ac:dyDescent="0.2">
      <c r="B114" s="1">
        <v>110</v>
      </c>
      <c r="C114" s="15">
        <v>41870</v>
      </c>
      <c r="D114">
        <v>48.95</v>
      </c>
      <c r="E114">
        <v>332.10522712021293</v>
      </c>
      <c r="F114">
        <v>74.281486623728895</v>
      </c>
      <c r="G114">
        <v>12095.808422817743</v>
      </c>
      <c r="H114">
        <v>269242.08935295645</v>
      </c>
      <c r="I114">
        <v>243.70566477503863</v>
      </c>
    </row>
    <row r="115" spans="2:9" x14ac:dyDescent="0.2">
      <c r="B115" s="1">
        <v>111</v>
      </c>
      <c r="C115" s="15">
        <v>41878</v>
      </c>
      <c r="D115">
        <v>46.41</v>
      </c>
      <c r="E115">
        <v>314.29832103559869</v>
      </c>
      <c r="F115">
        <v>73.947500898957216</v>
      </c>
      <c r="G115">
        <v>11468.160753891141</v>
      </c>
      <c r="H115">
        <v>254805.79564958162</v>
      </c>
      <c r="I115">
        <v>242.6099110848472</v>
      </c>
    </row>
    <row r="116" spans="2:9" x14ac:dyDescent="0.2">
      <c r="B116" s="1">
        <v>112</v>
      </c>
      <c r="C116" s="15">
        <v>41886</v>
      </c>
      <c r="D116">
        <v>46.54</v>
      </c>
      <c r="E116">
        <v>315.20909234088458</v>
      </c>
      <c r="F116">
        <v>73.966978305166009</v>
      </c>
      <c r="G116">
        <v>11500.284453481874</v>
      </c>
      <c r="H116">
        <v>255544.16996330215</v>
      </c>
      <c r="I116">
        <v>242.67381333618815</v>
      </c>
    </row>
    <row r="117" spans="2:9" x14ac:dyDescent="0.2">
      <c r="B117" s="1">
        <v>113</v>
      </c>
      <c r="C117" s="15">
        <v>41894</v>
      </c>
      <c r="D117">
        <v>43.54</v>
      </c>
      <c r="E117">
        <v>294.1912929881338</v>
      </c>
      <c r="F117">
        <v>73.517499700347599</v>
      </c>
      <c r="G117">
        <v>10758.968309080379</v>
      </c>
      <c r="H117">
        <v>238504.76272359773</v>
      </c>
      <c r="I117">
        <v>241.19914599755097</v>
      </c>
    </row>
    <row r="118" spans="2:9" x14ac:dyDescent="0.2">
      <c r="B118" s="1">
        <v>114</v>
      </c>
      <c r="C118" s="15">
        <v>41902</v>
      </c>
      <c r="D118">
        <v>43.79</v>
      </c>
      <c r="E118">
        <v>295.94277626752967</v>
      </c>
      <c r="F118">
        <v>73.554956250749129</v>
      </c>
      <c r="G118">
        <v>10820.74465444717</v>
      </c>
      <c r="H118">
        <v>239924.71332690641</v>
      </c>
      <c r="I118">
        <v>241.32203494243737</v>
      </c>
    </row>
    <row r="119" spans="2:9" x14ac:dyDescent="0.2">
      <c r="B119" s="1">
        <v>115</v>
      </c>
      <c r="C119" s="15">
        <v>41918</v>
      </c>
      <c r="D119">
        <v>41.09</v>
      </c>
      <c r="E119">
        <v>277.02675685005397</v>
      </c>
      <c r="F119">
        <v>73.15042550641256</v>
      </c>
      <c r="G119">
        <v>10153.560124485824</v>
      </c>
      <c r="H119">
        <v>224589.24681117243</v>
      </c>
      <c r="I119">
        <v>239.99483433766392</v>
      </c>
    </row>
    <row r="120" spans="2:9" x14ac:dyDescent="0.2">
      <c r="B120" s="1">
        <v>116</v>
      </c>
      <c r="C120" s="15">
        <v>41926</v>
      </c>
      <c r="D120">
        <v>40.64</v>
      </c>
      <c r="E120">
        <v>273.87408694714134</v>
      </c>
      <c r="F120">
        <v>73.083003715689799</v>
      </c>
      <c r="G120">
        <v>10042.3627028256</v>
      </c>
      <c r="H120">
        <v>222033.33572521678</v>
      </c>
      <c r="I120">
        <v>239.77363423686833</v>
      </c>
    </row>
    <row r="121" spans="2:9" x14ac:dyDescent="0.2">
      <c r="B121" s="1">
        <v>117</v>
      </c>
      <c r="C121" s="15">
        <v>41934</v>
      </c>
      <c r="D121">
        <v>40.47</v>
      </c>
      <c r="E121">
        <v>272.68307831715208</v>
      </c>
      <c r="F121">
        <v>73.057533261416751</v>
      </c>
      <c r="G121">
        <v>10000.354787976181</v>
      </c>
      <c r="H121">
        <v>221067.7693149668</v>
      </c>
      <c r="I121">
        <v>239.69006975434556</v>
      </c>
    </row>
    <row r="122" spans="2:9" x14ac:dyDescent="0.2">
      <c r="B122" s="1">
        <v>118</v>
      </c>
      <c r="C122" s="15">
        <v>41942</v>
      </c>
      <c r="D122">
        <v>39.65</v>
      </c>
      <c r="E122">
        <v>266.84285028386051</v>
      </c>
      <c r="F122">
        <v>72.921420203658641</v>
      </c>
      <c r="G122">
        <v>9797.7283751731047</v>
      </c>
      <c r="H122">
        <v>216333.01939363556</v>
      </c>
      <c r="I122">
        <v>239.2435046042223</v>
      </c>
    </row>
    <row r="123" spans="2:9" x14ac:dyDescent="0.2">
      <c r="B123" s="1">
        <v>119</v>
      </c>
      <c r="C123" s="15">
        <v>41950</v>
      </c>
      <c r="D123">
        <v>39.880000000000003</v>
      </c>
      <c r="E123">
        <v>268.50452100567725</v>
      </c>
      <c r="F123">
        <v>72.96287284851762</v>
      </c>
      <c r="G123">
        <v>9854.5626129105549</v>
      </c>
      <c r="H123">
        <v>217680.1577715468</v>
      </c>
      <c r="I123">
        <v>239.37950409522892</v>
      </c>
    </row>
    <row r="124" spans="2:9" x14ac:dyDescent="0.2">
      <c r="B124" s="1">
        <v>120</v>
      </c>
      <c r="C124" s="15">
        <v>41958</v>
      </c>
      <c r="D124">
        <v>37.159999999999997</v>
      </c>
      <c r="E124">
        <v>248.85345855636655</v>
      </c>
      <c r="F124">
        <v>72.472650265837615</v>
      </c>
      <c r="G124">
        <v>9182.4359753198623</v>
      </c>
      <c r="H124">
        <v>201748.78217190085</v>
      </c>
      <c r="I124">
        <v>237.77116228854243</v>
      </c>
    </row>
    <row r="125" spans="2:9" x14ac:dyDescent="0.2">
      <c r="B125" s="1">
        <v>121</v>
      </c>
      <c r="C125" s="15">
        <v>41966</v>
      </c>
      <c r="D125">
        <v>37.25</v>
      </c>
      <c r="E125">
        <v>249.50367753446878</v>
      </c>
      <c r="F125">
        <v>72.488870865999814</v>
      </c>
      <c r="G125">
        <v>9204.6754596519095</v>
      </c>
      <c r="H125">
        <v>202275.92327630092</v>
      </c>
      <c r="I125">
        <v>237.82437948067539</v>
      </c>
    </row>
    <row r="126" spans="2:9" x14ac:dyDescent="0.2">
      <c r="B126" s="1">
        <v>122</v>
      </c>
      <c r="C126" s="15">
        <v>41974</v>
      </c>
      <c r="D126">
        <v>36.39</v>
      </c>
      <c r="E126">
        <v>243.29047396593674</v>
      </c>
      <c r="F126">
        <v>72.33387402000541</v>
      </c>
      <c r="G126">
        <v>8992.1648315901457</v>
      </c>
      <c r="H126">
        <v>197238.79716758936</v>
      </c>
      <c r="I126">
        <v>237.3158596447378</v>
      </c>
    </row>
    <row r="127" spans="2:9" x14ac:dyDescent="0.2">
      <c r="B127" s="1">
        <v>123</v>
      </c>
      <c r="C127" s="15">
        <v>41982</v>
      </c>
      <c r="D127">
        <v>35.75</v>
      </c>
      <c r="E127">
        <v>238.66669456609895</v>
      </c>
      <c r="F127">
        <v>72.218527529963055</v>
      </c>
      <c r="G127">
        <v>8834.0173874511602</v>
      </c>
      <c r="H127">
        <v>193490.23820296678</v>
      </c>
      <c r="I127">
        <v>236.93742627845862</v>
      </c>
    </row>
    <row r="128" spans="2:9" x14ac:dyDescent="0.2">
      <c r="B128" s="1">
        <v>124</v>
      </c>
      <c r="C128" s="15">
        <v>41990</v>
      </c>
      <c r="D128">
        <v>36.19</v>
      </c>
      <c r="E128">
        <v>241.8455429034874</v>
      </c>
      <c r="F128">
        <v>72.297828241867165</v>
      </c>
      <c r="G128">
        <v>8942.7437552967131</v>
      </c>
      <c r="H128">
        <v>196067.37249114478</v>
      </c>
      <c r="I128">
        <v>237.19759921777552</v>
      </c>
    </row>
    <row r="129" spans="2:9" x14ac:dyDescent="0.2">
      <c r="B129" s="1">
        <v>125</v>
      </c>
      <c r="C129" s="15">
        <v>41998</v>
      </c>
      <c r="D129">
        <v>35.549999999999997</v>
      </c>
      <c r="E129">
        <v>237.22176350364961</v>
      </c>
      <c r="F129">
        <v>72.182481751824824</v>
      </c>
      <c r="G129">
        <v>8784.5963111577275</v>
      </c>
      <c r="H129">
        <v>192318.81352652222</v>
      </c>
      <c r="I129">
        <v>236.81916585149639</v>
      </c>
    </row>
    <row r="130" spans="2:9" x14ac:dyDescent="0.2">
      <c r="B130" s="1">
        <v>126</v>
      </c>
      <c r="C130" s="15">
        <v>42022</v>
      </c>
      <c r="D130">
        <v>33.68</v>
      </c>
      <c r="E130">
        <v>223.64722942743009</v>
      </c>
      <c r="F130">
        <v>71.818760171623026</v>
      </c>
      <c r="G130">
        <v>8322.5092478141287</v>
      </c>
      <c r="H130">
        <v>181313.7596513801</v>
      </c>
      <c r="I130">
        <v>235.62585358049787</v>
      </c>
    </row>
    <row r="131" spans="2:9" x14ac:dyDescent="0.2">
      <c r="B131" s="1">
        <v>127</v>
      </c>
      <c r="C131" s="15">
        <v>42030</v>
      </c>
      <c r="D131">
        <v>40.6</v>
      </c>
      <c r="E131">
        <v>273.59384962243797</v>
      </c>
      <c r="F131">
        <v>73.077010667625558</v>
      </c>
      <c r="G131">
        <v>10032.478487566914</v>
      </c>
      <c r="H131">
        <v>221806.14362868736</v>
      </c>
      <c r="I131">
        <v>239.75397200568653</v>
      </c>
    </row>
    <row r="132" spans="2:9" x14ac:dyDescent="0.2">
      <c r="B132" s="1">
        <v>128</v>
      </c>
      <c r="C132" s="15">
        <v>42054</v>
      </c>
      <c r="D132">
        <v>40.69</v>
      </c>
      <c r="E132">
        <v>274.2243836030205</v>
      </c>
      <c r="F132">
        <v>73.09049502577011</v>
      </c>
      <c r="G132">
        <v>10054.717971898957</v>
      </c>
      <c r="H132">
        <v>222317.32584587848</v>
      </c>
      <c r="I132">
        <v>239.79821202584566</v>
      </c>
    </row>
    <row r="133" spans="2:9" x14ac:dyDescent="0.2">
      <c r="B133" s="1">
        <v>129</v>
      </c>
      <c r="C133" s="15">
        <v>42062</v>
      </c>
      <c r="D133">
        <v>40.53</v>
      </c>
      <c r="E133">
        <v>273.10343430420716</v>
      </c>
      <c r="F133">
        <v>73.066522833513119</v>
      </c>
      <c r="G133">
        <v>10015.181110864212</v>
      </c>
      <c r="H133">
        <v>221408.55745976095</v>
      </c>
      <c r="I133">
        <v>239.7195631011183</v>
      </c>
    </row>
    <row r="134" spans="2:9" x14ac:dyDescent="0.2">
      <c r="B134" s="1">
        <v>130</v>
      </c>
      <c r="C134" s="15">
        <v>42078</v>
      </c>
      <c r="D134">
        <v>46.45</v>
      </c>
      <c r="E134">
        <v>314.57855836030205</v>
      </c>
      <c r="F134">
        <v>73.953493947021457</v>
      </c>
      <c r="G134">
        <v>11478.044969149829</v>
      </c>
      <c r="H134">
        <v>255032.987746111</v>
      </c>
      <c r="I134">
        <v>242.62957331602902</v>
      </c>
    </row>
    <row r="135" spans="2:9" x14ac:dyDescent="0.2">
      <c r="B135" s="1">
        <v>131</v>
      </c>
      <c r="C135" s="15">
        <v>42086</v>
      </c>
      <c r="D135">
        <v>46.07</v>
      </c>
      <c r="E135">
        <v>311.91630377562029</v>
      </c>
      <c r="F135">
        <v>73.89655999041112</v>
      </c>
      <c r="G135">
        <v>11384.144924192307</v>
      </c>
      <c r="H135">
        <v>252874.66282908179</v>
      </c>
      <c r="I135">
        <v>242.44278211980162</v>
      </c>
    </row>
    <row r="136" spans="2:9" x14ac:dyDescent="0.2">
      <c r="B136" s="1">
        <v>132</v>
      </c>
      <c r="C136" s="15">
        <v>42094</v>
      </c>
      <c r="D136">
        <v>46.6</v>
      </c>
      <c r="E136">
        <v>315.6294483279396</v>
      </c>
      <c r="F136">
        <v>73.975967877262377</v>
      </c>
      <c r="G136">
        <v>11515.110776369904</v>
      </c>
      <c r="H136">
        <v>255884.95810809624</v>
      </c>
      <c r="I136">
        <v>242.70330668296089</v>
      </c>
    </row>
    <row r="137" spans="2:9" x14ac:dyDescent="0.2">
      <c r="B137" s="1">
        <v>133</v>
      </c>
      <c r="C137" s="15">
        <v>42102</v>
      </c>
      <c r="D137">
        <v>45.95</v>
      </c>
      <c r="E137">
        <v>311.07559180151026</v>
      </c>
      <c r="F137">
        <v>73.878580846218384</v>
      </c>
      <c r="G137">
        <v>11354.492278416248</v>
      </c>
      <c r="H137">
        <v>252193.08653949364</v>
      </c>
      <c r="I137">
        <v>242.38379542625614</v>
      </c>
    </row>
    <row r="138" spans="2:9" x14ac:dyDescent="0.2">
      <c r="B138" s="1">
        <v>134</v>
      </c>
      <c r="C138" s="15">
        <v>42110</v>
      </c>
      <c r="D138">
        <v>46.09</v>
      </c>
      <c r="E138">
        <v>312.056422437972</v>
      </c>
      <c r="F138">
        <v>73.899556514443248</v>
      </c>
      <c r="G138">
        <v>11389.087031821651</v>
      </c>
      <c r="H138">
        <v>252988.25887734655</v>
      </c>
      <c r="I138">
        <v>242.45261323539256</v>
      </c>
    </row>
    <row r="139" spans="2:9" x14ac:dyDescent="0.2">
      <c r="B139" s="1">
        <v>135</v>
      </c>
      <c r="C139" s="15">
        <v>42126</v>
      </c>
      <c r="D139">
        <v>43.18</v>
      </c>
      <c r="E139">
        <v>291.66915706580369</v>
      </c>
      <c r="F139">
        <v>73.46356226776939</v>
      </c>
      <c r="G139">
        <v>10670.0103717522</v>
      </c>
      <c r="H139">
        <v>236460.03385483319</v>
      </c>
      <c r="I139">
        <v>241.02218591691451</v>
      </c>
    </row>
    <row r="140" spans="2:9" x14ac:dyDescent="0.2">
      <c r="B140" s="1">
        <v>136</v>
      </c>
      <c r="C140" s="15">
        <v>42142</v>
      </c>
      <c r="D140">
        <v>40.770000000000003</v>
      </c>
      <c r="E140">
        <v>274.78485825242723</v>
      </c>
      <c r="F140">
        <v>73.102481121898592</v>
      </c>
      <c r="G140">
        <v>10074.486402416333</v>
      </c>
      <c r="H140">
        <v>222771.71003893731</v>
      </c>
      <c r="I140">
        <v>239.83753648820928</v>
      </c>
    </row>
    <row r="141" spans="2:9" x14ac:dyDescent="0.2">
      <c r="B141" s="1">
        <v>137</v>
      </c>
      <c r="C141" s="15">
        <v>42150</v>
      </c>
      <c r="D141">
        <v>39.67</v>
      </c>
      <c r="E141">
        <v>266.98734339010542</v>
      </c>
      <c r="F141">
        <v>72.925024781472473</v>
      </c>
      <c r="G141">
        <v>9802.6704828024485</v>
      </c>
      <c r="H141">
        <v>216450.16186127998</v>
      </c>
      <c r="I141">
        <v>239.25533064691857</v>
      </c>
    </row>
    <row r="142" spans="2:9" x14ac:dyDescent="0.2">
      <c r="B142" s="1">
        <v>138</v>
      </c>
      <c r="C142" s="15">
        <v>42158</v>
      </c>
      <c r="D142">
        <v>38.159999999999997</v>
      </c>
      <c r="E142">
        <v>256.07811386861312</v>
      </c>
      <c r="F142">
        <v>72.652879156528797</v>
      </c>
      <c r="G142">
        <v>9429.5413567870291</v>
      </c>
      <c r="H142">
        <v>207605.9055541236</v>
      </c>
      <c r="I142">
        <v>238.36246442335363</v>
      </c>
    </row>
    <row r="143" spans="2:9" x14ac:dyDescent="0.2">
      <c r="B143" s="1">
        <v>139</v>
      </c>
      <c r="C143" s="15">
        <v>42174</v>
      </c>
      <c r="D143">
        <v>36.520000000000003</v>
      </c>
      <c r="E143">
        <v>244.22967915652882</v>
      </c>
      <c r="F143">
        <v>72.357303775795259</v>
      </c>
      <c r="G143">
        <v>9024.2885311808786</v>
      </c>
      <c r="H143">
        <v>198000.22320727832</v>
      </c>
      <c r="I143">
        <v>237.39272892226325</v>
      </c>
    </row>
    <row r="144" spans="2:9" x14ac:dyDescent="0.2">
      <c r="B144" s="1">
        <v>140</v>
      </c>
      <c r="C144" s="15">
        <v>42182</v>
      </c>
      <c r="D144">
        <v>36.380000000000003</v>
      </c>
      <c r="E144">
        <v>243.21822741281429</v>
      </c>
      <c r="F144">
        <v>72.332071731098495</v>
      </c>
      <c r="G144">
        <v>8989.6937777754756</v>
      </c>
      <c r="H144">
        <v>197180.22593376713</v>
      </c>
      <c r="I144">
        <v>237.30994662338966</v>
      </c>
    </row>
    <row r="145" spans="2:9" x14ac:dyDescent="0.2">
      <c r="B145" s="1">
        <v>141</v>
      </c>
      <c r="C145" s="15">
        <v>42190</v>
      </c>
      <c r="D145">
        <v>35.229999999999997</v>
      </c>
      <c r="E145">
        <v>234.9098738037307</v>
      </c>
      <c r="F145">
        <v>72.124808506803646</v>
      </c>
      <c r="G145">
        <v>8705.5225890882339</v>
      </c>
      <c r="H145">
        <v>190444.53404421094</v>
      </c>
      <c r="I145">
        <v>236.6299491683568</v>
      </c>
    </row>
    <row r="146" spans="2:9" x14ac:dyDescent="0.2">
      <c r="B146" s="1">
        <v>142</v>
      </c>
      <c r="C146" s="15">
        <v>42206</v>
      </c>
      <c r="D146">
        <v>33.090000000000003</v>
      </c>
      <c r="E146">
        <v>219.34035288187181</v>
      </c>
      <c r="F146">
        <v>71.694058715363639</v>
      </c>
      <c r="G146">
        <v>8176.7170727485018</v>
      </c>
      <c r="H146">
        <v>177822.11801187164</v>
      </c>
      <c r="I146">
        <v>235.21672806783749</v>
      </c>
    </row>
    <row r="147" spans="2:9" x14ac:dyDescent="0.2">
      <c r="B147" s="1">
        <v>143</v>
      </c>
      <c r="C147" s="15">
        <v>42238</v>
      </c>
      <c r="D147">
        <v>30.67</v>
      </c>
      <c r="E147">
        <v>201.67485925432757</v>
      </c>
      <c r="F147">
        <v>71.182571386299742</v>
      </c>
      <c r="G147">
        <v>7578.7220495979618</v>
      </c>
      <c r="H147">
        <v>163500.46925320965</v>
      </c>
      <c r="I147">
        <v>233.53862003285766</v>
      </c>
    </row>
    <row r="148" spans="2:9" x14ac:dyDescent="0.2">
      <c r="B148" s="1">
        <v>144</v>
      </c>
      <c r="C148" s="15">
        <v>42246</v>
      </c>
      <c r="D148">
        <v>29.53</v>
      </c>
      <c r="E148">
        <v>193.44681332492644</v>
      </c>
      <c r="F148">
        <v>70.935500443697165</v>
      </c>
      <c r="G148">
        <v>7297.0219147253929</v>
      </c>
      <c r="H148">
        <v>156829.88385913469</v>
      </c>
      <c r="I148">
        <v>232.72801982747188</v>
      </c>
    </row>
    <row r="149" spans="2:9" x14ac:dyDescent="0.2">
      <c r="B149" s="1">
        <v>145</v>
      </c>
      <c r="C149" s="15">
        <v>42254</v>
      </c>
      <c r="D149">
        <v>30</v>
      </c>
      <c r="E149">
        <v>196.78399944835459</v>
      </c>
      <c r="F149">
        <v>71.040961258005197</v>
      </c>
      <c r="G149">
        <v>7413.1614440149597</v>
      </c>
      <c r="H149">
        <v>159535.38467953054</v>
      </c>
      <c r="I149">
        <v>233.07401987441284</v>
      </c>
    </row>
    <row r="150" spans="2:9" x14ac:dyDescent="0.2">
      <c r="B150" s="1">
        <v>146</v>
      </c>
      <c r="C150" s="15">
        <v>42262</v>
      </c>
      <c r="D150">
        <v>28.94</v>
      </c>
      <c r="E150">
        <v>189.34012564102565</v>
      </c>
      <c r="F150">
        <v>70.7977207977208</v>
      </c>
      <c r="G150">
        <v>7151.2297396597651</v>
      </c>
      <c r="H150">
        <v>153500.53797102169</v>
      </c>
      <c r="I150">
        <v>232.27598686823364</v>
      </c>
    </row>
    <row r="151" spans="2:9" x14ac:dyDescent="0.2">
      <c r="B151" s="1">
        <v>147</v>
      </c>
      <c r="C151" s="15">
        <v>42270</v>
      </c>
      <c r="D151">
        <v>27.82</v>
      </c>
      <c r="E151">
        <v>181.54437952921396</v>
      </c>
      <c r="F151">
        <v>70.536172995189389</v>
      </c>
      <c r="G151">
        <v>6874.47171241654</v>
      </c>
      <c r="H151">
        <v>147180.42374273945</v>
      </c>
      <c r="I151">
        <v>231.417890403239</v>
      </c>
    </row>
    <row r="152" spans="2:9" x14ac:dyDescent="0.2">
      <c r="B152" s="1">
        <v>148</v>
      </c>
      <c r="C152" s="15">
        <v>42278</v>
      </c>
      <c r="D152">
        <v>26.54</v>
      </c>
      <c r="E152">
        <v>172.63495540142915</v>
      </c>
      <c r="F152">
        <v>70.237261220867779</v>
      </c>
      <c r="G152">
        <v>6558.176824138568</v>
      </c>
      <c r="H152">
        <v>139957.43605327402</v>
      </c>
      <c r="I152">
        <v>230.43720872895943</v>
      </c>
    </row>
    <row r="153" spans="2:9" x14ac:dyDescent="0.2">
      <c r="B153" s="1">
        <v>149</v>
      </c>
      <c r="C153" s="15">
        <v>42286</v>
      </c>
      <c r="D153">
        <v>25.94</v>
      </c>
      <c r="E153">
        <v>168.45866284153004</v>
      </c>
      <c r="F153">
        <v>70.097146326654524</v>
      </c>
      <c r="G153">
        <v>6409.9135952582683</v>
      </c>
      <c r="H153">
        <v>136571.66057383711</v>
      </c>
      <c r="I153">
        <v>229.97751419414087</v>
      </c>
    </row>
    <row r="154" spans="2:9" x14ac:dyDescent="0.2">
      <c r="B154" s="1">
        <v>150</v>
      </c>
      <c r="C154" s="15">
        <v>42294</v>
      </c>
      <c r="D154">
        <v>25.19</v>
      </c>
      <c r="E154">
        <v>163.18731871081013</v>
      </c>
      <c r="F154">
        <v>69.906919711283891</v>
      </c>
      <c r="G154">
        <v>6224.5845591578955</v>
      </c>
      <c r="H154">
        <v>132298.11233805539</v>
      </c>
      <c r="I154">
        <v>229.35341112534209</v>
      </c>
    </row>
    <row r="155" spans="2:9" x14ac:dyDescent="0.2">
      <c r="B155" s="1">
        <v>151</v>
      </c>
      <c r="C155" s="15">
        <v>42302</v>
      </c>
      <c r="D155">
        <v>25.99</v>
      </c>
      <c r="E155">
        <v>168.80668722152163</v>
      </c>
      <c r="F155">
        <v>70.108822567838956</v>
      </c>
      <c r="G155">
        <v>6422.268864331626</v>
      </c>
      <c r="H155">
        <v>136853.80853045685</v>
      </c>
      <c r="I155">
        <v>230.0158220720424</v>
      </c>
    </row>
    <row r="156" spans="2:9" x14ac:dyDescent="0.2">
      <c r="B156" s="1">
        <v>152</v>
      </c>
      <c r="C156" s="15">
        <v>42310</v>
      </c>
      <c r="D156">
        <v>25.18</v>
      </c>
      <c r="E156">
        <v>163.11618753448707</v>
      </c>
      <c r="F156">
        <v>69.904132876292394</v>
      </c>
      <c r="G156">
        <v>6222.1135053432226</v>
      </c>
      <c r="H156">
        <v>132240.44535492049</v>
      </c>
      <c r="I156">
        <v>229.3442679659212</v>
      </c>
    </row>
    <row r="157" spans="2:9" x14ac:dyDescent="0.2">
      <c r="B157" s="1">
        <v>153</v>
      </c>
      <c r="C157" s="15">
        <v>42326</v>
      </c>
      <c r="D157">
        <v>23.9</v>
      </c>
      <c r="E157">
        <v>154.01139696513667</v>
      </c>
      <c r="F157">
        <v>69.547417997380379</v>
      </c>
      <c r="G157">
        <v>5905.8186170652516</v>
      </c>
      <c r="H157">
        <v>124859.07151365402</v>
      </c>
      <c r="I157">
        <v>228.17394356004655</v>
      </c>
    </row>
    <row r="158" spans="2:9" x14ac:dyDescent="0.2">
      <c r="B158" s="1">
        <v>154</v>
      </c>
      <c r="C158" s="15">
        <v>42334</v>
      </c>
      <c r="D158">
        <v>23.83</v>
      </c>
      <c r="E158">
        <v>153.51347873087531</v>
      </c>
      <c r="F158">
        <v>69.527910152439873</v>
      </c>
      <c r="G158">
        <v>5888.5212403625492</v>
      </c>
      <c r="H158">
        <v>124455.40263170975</v>
      </c>
      <c r="I158">
        <v>228.10994144410029</v>
      </c>
    </row>
    <row r="159" spans="2:9" x14ac:dyDescent="0.2">
      <c r="B159" s="1">
        <v>155</v>
      </c>
      <c r="C159" s="15">
        <v>42350</v>
      </c>
      <c r="D159">
        <v>23.67</v>
      </c>
      <c r="E159">
        <v>152.37537990970654</v>
      </c>
      <c r="F159">
        <v>69.483320792575867</v>
      </c>
      <c r="G159">
        <v>5848.9843793278042</v>
      </c>
      <c r="H159">
        <v>123532.73090155146</v>
      </c>
      <c r="I159">
        <v>227.96365089336592</v>
      </c>
    </row>
    <row r="160" spans="2:9" x14ac:dyDescent="0.2">
      <c r="B160" s="1">
        <v>156</v>
      </c>
      <c r="C160" s="15">
        <v>42358</v>
      </c>
      <c r="D160">
        <v>23.62</v>
      </c>
      <c r="E160">
        <v>152.01972402809128</v>
      </c>
      <c r="F160">
        <v>69.469386617618369</v>
      </c>
      <c r="G160">
        <v>5836.6291102544455</v>
      </c>
      <c r="H160">
        <v>123244.39598587698</v>
      </c>
      <c r="I160">
        <v>227.91793509626146</v>
      </c>
    </row>
    <row r="161" spans="2:9" x14ac:dyDescent="0.2">
      <c r="B161" s="1">
        <v>157</v>
      </c>
      <c r="C161" s="15">
        <v>42382</v>
      </c>
      <c r="D161">
        <v>22.17</v>
      </c>
      <c r="E161">
        <v>141.70570346124904</v>
      </c>
      <c r="F161">
        <v>69.065295543850851</v>
      </c>
      <c r="G161">
        <v>5478.3263071270558</v>
      </c>
      <c r="H161">
        <v>114882.68343131735</v>
      </c>
      <c r="I161">
        <v>226.59217698023161</v>
      </c>
    </row>
    <row r="162" spans="2:9" x14ac:dyDescent="0.2">
      <c r="B162" s="1">
        <v>158</v>
      </c>
      <c r="C162" s="15">
        <v>42390</v>
      </c>
      <c r="D162">
        <v>22.06</v>
      </c>
      <c r="E162">
        <v>140.92326052169548</v>
      </c>
      <c r="F162">
        <v>69.034640358944344</v>
      </c>
      <c r="G162">
        <v>5451.1447151656666</v>
      </c>
      <c r="H162">
        <v>114248.3466168335</v>
      </c>
      <c r="I162">
        <v>226.49160222660174</v>
      </c>
    </row>
    <row r="163" spans="2:9" x14ac:dyDescent="0.2">
      <c r="B163" s="1">
        <v>159</v>
      </c>
      <c r="C163" s="15">
        <v>42406</v>
      </c>
      <c r="D163">
        <v>21.88</v>
      </c>
      <c r="E163">
        <v>139.62895616314196</v>
      </c>
      <c r="F163">
        <v>68.981302450486737</v>
      </c>
      <c r="G163">
        <v>5406.6657465015769</v>
      </c>
      <c r="H163">
        <v>113199.03699657436</v>
      </c>
      <c r="I163">
        <v>226.31660908861815</v>
      </c>
    </row>
    <row r="164" spans="2:9" x14ac:dyDescent="0.2">
      <c r="B164" s="1">
        <v>160</v>
      </c>
      <c r="C164" s="15">
        <v>42414</v>
      </c>
      <c r="D164">
        <v>20.57</v>
      </c>
      <c r="E164">
        <v>129.98284438066463</v>
      </c>
      <c r="F164">
        <v>68.541557569654245</v>
      </c>
      <c r="G164">
        <v>5082.9576967795902</v>
      </c>
      <c r="H164">
        <v>105378.80690574752</v>
      </c>
      <c r="I164">
        <v>224.87387653996089</v>
      </c>
    </row>
    <row r="165" spans="2:9" x14ac:dyDescent="0.2">
      <c r="B165" s="1">
        <v>161</v>
      </c>
      <c r="C165" s="15">
        <v>42422</v>
      </c>
      <c r="D165">
        <v>20.99</v>
      </c>
      <c r="E165">
        <v>133.07549090634438</v>
      </c>
      <c r="F165">
        <v>68.682544478012758</v>
      </c>
      <c r="G165">
        <v>5186.7419569958001</v>
      </c>
      <c r="H165">
        <v>107886.05624784467</v>
      </c>
      <c r="I165">
        <v>225.33643201357623</v>
      </c>
    </row>
    <row r="166" spans="2:9" x14ac:dyDescent="0.2">
      <c r="B166" s="1">
        <v>162</v>
      </c>
      <c r="C166" s="15">
        <v>42440</v>
      </c>
      <c r="D166">
        <v>31.81</v>
      </c>
      <c r="E166">
        <v>209.99662071523682</v>
      </c>
      <c r="F166">
        <v>71.423519962800924</v>
      </c>
      <c r="G166">
        <v>7860.4221844705298</v>
      </c>
      <c r="H166">
        <v>170247.03106514132</v>
      </c>
      <c r="I166">
        <v>234.32913373528621</v>
      </c>
    </row>
    <row r="167" spans="2:9" x14ac:dyDescent="0.2">
      <c r="B167" s="1">
        <v>163</v>
      </c>
      <c r="C167" s="15">
        <v>42446</v>
      </c>
      <c r="D167">
        <v>43.09</v>
      </c>
      <c r="E167">
        <v>291.03862308522116</v>
      </c>
      <c r="F167">
        <v>73.450077909624838</v>
      </c>
      <c r="G167">
        <v>10647.770887420156</v>
      </c>
      <c r="H167">
        <v>235948.85163764207</v>
      </c>
      <c r="I167">
        <v>240.97794589675539</v>
      </c>
    </row>
    <row r="168" spans="2:9" x14ac:dyDescent="0.2">
      <c r="B168" s="1">
        <v>164</v>
      </c>
      <c r="C168" s="15">
        <v>42454</v>
      </c>
      <c r="D168">
        <v>42.1</v>
      </c>
      <c r="E168">
        <v>284.10274929881336</v>
      </c>
      <c r="F168">
        <v>73.301749970034763</v>
      </c>
      <c r="G168">
        <v>10403.136559767661</v>
      </c>
      <c r="H168">
        <v>230325.84724853959</v>
      </c>
      <c r="I168">
        <v>240.49130567500512</v>
      </c>
    </row>
    <row r="169" spans="2:9" x14ac:dyDescent="0.2">
      <c r="B169" s="1">
        <v>165</v>
      </c>
      <c r="C169" s="15">
        <v>42470</v>
      </c>
      <c r="D169">
        <v>40.33</v>
      </c>
      <c r="E169">
        <v>271.70224768069039</v>
      </c>
      <c r="F169">
        <v>73.036557593191901</v>
      </c>
      <c r="G169">
        <v>9965.7600345707779</v>
      </c>
      <c r="H169">
        <v>220272.59697711395</v>
      </c>
      <c r="I169">
        <v>239.6212519452092</v>
      </c>
    </row>
    <row r="170" spans="2:9" x14ac:dyDescent="0.2">
      <c r="B170" s="1">
        <v>166</v>
      </c>
      <c r="C170" s="15">
        <v>42470</v>
      </c>
      <c r="D170">
        <v>40.74</v>
      </c>
      <c r="E170">
        <v>274.57468025889966</v>
      </c>
      <c r="F170">
        <v>73.097986335850408</v>
      </c>
      <c r="G170">
        <v>10067.073240972317</v>
      </c>
      <c r="H170">
        <v>222601.31596654019</v>
      </c>
      <c r="I170">
        <v>239.8227898148229</v>
      </c>
    </row>
    <row r="171" spans="2:9" x14ac:dyDescent="0.2">
      <c r="B171" s="1">
        <v>167</v>
      </c>
      <c r="C171" s="15">
        <v>42478</v>
      </c>
      <c r="D171">
        <v>40.28</v>
      </c>
      <c r="E171">
        <v>271.35195102481123</v>
      </c>
      <c r="F171">
        <v>73.02906628311159</v>
      </c>
      <c r="G171">
        <v>9953.4047654974202</v>
      </c>
      <c r="H171">
        <v>219988.60685645221</v>
      </c>
      <c r="I171">
        <v>239.59667415623187</v>
      </c>
    </row>
    <row r="172" spans="2:9" x14ac:dyDescent="0.2">
      <c r="B172" s="1">
        <v>168</v>
      </c>
      <c r="C172" s="15">
        <v>42486</v>
      </c>
      <c r="D172">
        <v>38.76</v>
      </c>
      <c r="E172">
        <v>260.41290705596106</v>
      </c>
      <c r="F172">
        <v>72.761016490943504</v>
      </c>
      <c r="G172">
        <v>9577.804585667327</v>
      </c>
      <c r="H172">
        <v>211120.17958345727</v>
      </c>
      <c r="I172">
        <v>238.71724570424036</v>
      </c>
    </row>
    <row r="173" spans="2:9" x14ac:dyDescent="0.2">
      <c r="B173" s="1">
        <v>169</v>
      </c>
      <c r="C173" s="15">
        <v>42494</v>
      </c>
      <c r="D173">
        <v>37.799999999999997</v>
      </c>
      <c r="E173">
        <v>253.47723795620436</v>
      </c>
      <c r="F173">
        <v>72.587996755879971</v>
      </c>
      <c r="G173">
        <v>9340.5834194588497</v>
      </c>
      <c r="H173">
        <v>205497.34113652344</v>
      </c>
      <c r="I173">
        <v>238.14959565482161</v>
      </c>
    </row>
    <row r="174" spans="2:9" x14ac:dyDescent="0.2">
      <c r="B174" s="1">
        <v>170</v>
      </c>
      <c r="C174" s="15">
        <v>42502</v>
      </c>
      <c r="D174">
        <v>36.340000000000003</v>
      </c>
      <c r="E174">
        <v>242.92924120032444</v>
      </c>
      <c r="F174">
        <v>72.324862575470846</v>
      </c>
      <c r="G174">
        <v>8979.809562516788</v>
      </c>
      <c r="H174">
        <v>196945.94099847824</v>
      </c>
      <c r="I174">
        <v>237.28629453799721</v>
      </c>
    </row>
    <row r="175" spans="2:9" x14ac:dyDescent="0.2">
      <c r="B175" s="1">
        <v>171</v>
      </c>
      <c r="C175" s="15">
        <v>42510</v>
      </c>
      <c r="D175">
        <v>35.67</v>
      </c>
      <c r="E175">
        <v>238.08872214111923</v>
      </c>
      <c r="F175">
        <v>72.204109218707757</v>
      </c>
      <c r="G175">
        <v>8814.2489569337868</v>
      </c>
      <c r="H175">
        <v>193021.66833238897</v>
      </c>
      <c r="I175">
        <v>236.8901221076737</v>
      </c>
    </row>
    <row r="176" spans="2:9" x14ac:dyDescent="0.2">
      <c r="B176" s="1">
        <v>172</v>
      </c>
      <c r="C176" s="15">
        <v>42510</v>
      </c>
      <c r="D176">
        <v>36.18</v>
      </c>
      <c r="E176">
        <v>241.77329635036494</v>
      </c>
      <c r="F176">
        <v>72.296025952960264</v>
      </c>
      <c r="G176">
        <v>8940.2727014820412</v>
      </c>
      <c r="H176">
        <v>196008.80125732257</v>
      </c>
      <c r="I176">
        <v>237.19168619642744</v>
      </c>
    </row>
    <row r="177" spans="2:9" x14ac:dyDescent="0.2">
      <c r="B177" s="1">
        <v>173</v>
      </c>
      <c r="C177" s="15">
        <v>42518</v>
      </c>
      <c r="D177">
        <v>35.99</v>
      </c>
      <c r="E177">
        <v>240.40061184103814</v>
      </c>
      <c r="F177">
        <v>72.261782463728935</v>
      </c>
      <c r="G177">
        <v>8893.3226790032804</v>
      </c>
      <c r="H177">
        <v>194895.94781470025</v>
      </c>
      <c r="I177">
        <v>237.0793387908133</v>
      </c>
    </row>
    <row r="178" spans="2:9" x14ac:dyDescent="0.2">
      <c r="B178" s="1">
        <v>174</v>
      </c>
      <c r="C178" s="15">
        <v>42526</v>
      </c>
      <c r="D178">
        <v>33.950000000000003</v>
      </c>
      <c r="E178">
        <v>225.61817293132967</v>
      </c>
      <c r="F178">
        <v>71.875826939741714</v>
      </c>
      <c r="G178">
        <v>8389.2277008102628</v>
      </c>
      <c r="H178">
        <v>182911.62955420604</v>
      </c>
      <c r="I178">
        <v>235.8130805100204</v>
      </c>
    </row>
    <row r="179" spans="2:9" x14ac:dyDescent="0.2">
      <c r="B179" s="1">
        <v>175</v>
      </c>
      <c r="C179" s="15">
        <v>42530</v>
      </c>
      <c r="D179">
        <v>33.29</v>
      </c>
      <c r="E179">
        <v>220.8003110329085</v>
      </c>
      <c r="F179">
        <v>71.73633039545156</v>
      </c>
      <c r="G179">
        <v>8226.1381490419335</v>
      </c>
      <c r="H179">
        <v>179005.72534729823</v>
      </c>
      <c r="I179">
        <v>235.35541468229863</v>
      </c>
    </row>
    <row r="180" spans="2:9" x14ac:dyDescent="0.2">
      <c r="B180" s="1">
        <v>176</v>
      </c>
      <c r="C180" s="15">
        <v>42534</v>
      </c>
      <c r="D180">
        <v>32.83</v>
      </c>
      <c r="E180">
        <v>217.44240728552404</v>
      </c>
      <c r="F180">
        <v>71.639105531249342</v>
      </c>
      <c r="G180">
        <v>8112.4696735670377</v>
      </c>
      <c r="H180">
        <v>176283.42847581703</v>
      </c>
      <c r="I180">
        <v>235.03643546903803</v>
      </c>
    </row>
    <row r="181" spans="2:9" x14ac:dyDescent="0.2">
      <c r="B181" s="1">
        <v>177</v>
      </c>
      <c r="C181" s="15">
        <v>42542</v>
      </c>
      <c r="D181">
        <v>32.58</v>
      </c>
      <c r="E181">
        <v>215.61745959672817</v>
      </c>
      <c r="F181">
        <v>71.586265931139437</v>
      </c>
      <c r="G181">
        <v>8050.6933282002456</v>
      </c>
      <c r="H181">
        <v>174803.91930653376</v>
      </c>
      <c r="I181">
        <v>234.86307720096161</v>
      </c>
    </row>
    <row r="182" spans="2:9" x14ac:dyDescent="0.2">
      <c r="B182" s="1">
        <v>178</v>
      </c>
      <c r="C182" s="15">
        <v>42558</v>
      </c>
      <c r="D182">
        <v>35.729999999999997</v>
      </c>
      <c r="E182">
        <v>238.52220145985399</v>
      </c>
      <c r="F182">
        <v>72.214922952149223</v>
      </c>
      <c r="G182">
        <v>8829.0752798218164</v>
      </c>
      <c r="H182">
        <v>193373.09573532233</v>
      </c>
      <c r="I182">
        <v>236.92560023576235</v>
      </c>
    </row>
    <row r="183" spans="2:9" x14ac:dyDescent="0.2">
      <c r="B183" s="1">
        <v>179</v>
      </c>
      <c r="C183" s="15">
        <v>42566</v>
      </c>
      <c r="D183">
        <v>35.64</v>
      </c>
      <c r="E183">
        <v>237.87198248175181</v>
      </c>
      <c r="F183">
        <v>72.198702351987023</v>
      </c>
      <c r="G183">
        <v>8806.8357954897729</v>
      </c>
      <c r="H183">
        <v>192845.95463092226</v>
      </c>
      <c r="I183">
        <v>236.87238304362938</v>
      </c>
    </row>
    <row r="184" spans="2:9" x14ac:dyDescent="0.2">
      <c r="B184" s="1">
        <v>180</v>
      </c>
      <c r="C184" s="15">
        <v>42582</v>
      </c>
      <c r="D184">
        <v>32.78</v>
      </c>
      <c r="E184">
        <v>217.07741774776488</v>
      </c>
      <c r="F184">
        <v>71.628537611227358</v>
      </c>
      <c r="G184">
        <v>8100.11440449368</v>
      </c>
      <c r="H184">
        <v>175987.52664196037</v>
      </c>
      <c r="I184">
        <v>235.00176381542272</v>
      </c>
    </row>
    <row r="185" spans="2:9" x14ac:dyDescent="0.2">
      <c r="B185" s="1">
        <v>181</v>
      </c>
      <c r="C185" s="15">
        <v>42598</v>
      </c>
      <c r="D185">
        <v>30.91</v>
      </c>
      <c r="E185">
        <v>203.42680903557164</v>
      </c>
      <c r="F185">
        <v>71.233297402405256</v>
      </c>
      <c r="G185">
        <v>7638.0273411500812</v>
      </c>
      <c r="H185">
        <v>164920.79805572159</v>
      </c>
      <c r="I185">
        <v>233.70504397021105</v>
      </c>
    </row>
    <row r="186" spans="2:9" x14ac:dyDescent="0.2">
      <c r="B186" s="1">
        <v>182</v>
      </c>
      <c r="C186" s="15">
        <v>42606</v>
      </c>
      <c r="D186">
        <v>30.82</v>
      </c>
      <c r="E186">
        <v>202.7698278676051</v>
      </c>
      <c r="F186">
        <v>71.214275146365694</v>
      </c>
      <c r="G186">
        <v>7615.7878568180358</v>
      </c>
      <c r="H186">
        <v>164388.17475477961</v>
      </c>
      <c r="I186">
        <v>233.64263499370355</v>
      </c>
    </row>
    <row r="187" spans="2:9" x14ac:dyDescent="0.2">
      <c r="B187" s="1">
        <v>183</v>
      </c>
      <c r="C187" s="15">
        <v>42610</v>
      </c>
      <c r="D187">
        <v>30.13</v>
      </c>
      <c r="E187">
        <v>197.73297224652845</v>
      </c>
      <c r="F187">
        <v>71.068437850062352</v>
      </c>
      <c r="G187">
        <v>7445.2851436056908</v>
      </c>
      <c r="H187">
        <v>160304.72944755782</v>
      </c>
      <c r="I187">
        <v>233.16416617381262</v>
      </c>
    </row>
    <row r="188" spans="2:9" x14ac:dyDescent="0.2">
      <c r="B188" s="1">
        <v>184</v>
      </c>
      <c r="C188" s="15">
        <v>42614</v>
      </c>
      <c r="D188">
        <v>29.9</v>
      </c>
      <c r="E188">
        <v>196.05402037283622</v>
      </c>
      <c r="F188">
        <v>71.019825417961243</v>
      </c>
      <c r="G188">
        <v>7388.4509058682424</v>
      </c>
      <c r="H188">
        <v>158943.58101181721</v>
      </c>
      <c r="I188">
        <v>233.00467656718232</v>
      </c>
    </row>
    <row r="189" spans="2:9" x14ac:dyDescent="0.2">
      <c r="B189" s="1">
        <v>185</v>
      </c>
      <c r="C189" s="15">
        <v>42622</v>
      </c>
      <c r="D189">
        <v>29.67</v>
      </c>
      <c r="E189">
        <v>194.42128158890293</v>
      </c>
      <c r="F189">
        <v>70.968193919013586</v>
      </c>
      <c r="G189">
        <v>7331.6166681307959</v>
      </c>
      <c r="H189">
        <v>157619.89813766998</v>
      </c>
      <c r="I189">
        <v>232.83528188559617</v>
      </c>
    </row>
    <row r="190" spans="2:9" x14ac:dyDescent="0.2">
      <c r="B190" s="1">
        <v>186</v>
      </c>
      <c r="C190" s="15">
        <v>42638</v>
      </c>
      <c r="D190">
        <v>28.05</v>
      </c>
      <c r="E190">
        <v>183.14529167717529</v>
      </c>
      <c r="F190">
        <v>70.589883704637799</v>
      </c>
      <c r="G190">
        <v>6931.3059501539883</v>
      </c>
      <c r="H190">
        <v>148478.30434319028</v>
      </c>
      <c r="I190">
        <v>231.59410664158611</v>
      </c>
    </row>
    <row r="191" spans="2:9" x14ac:dyDescent="0.2">
      <c r="B191" s="1">
        <v>187</v>
      </c>
      <c r="C191" s="15">
        <v>42650</v>
      </c>
      <c r="D191">
        <v>27.02</v>
      </c>
      <c r="E191">
        <v>175.97598944934845</v>
      </c>
      <c r="F191">
        <v>70.349353136238378</v>
      </c>
      <c r="G191">
        <v>6676.7874072428076</v>
      </c>
      <c r="H191">
        <v>142666.05643682356</v>
      </c>
      <c r="I191">
        <v>230.80496435681425</v>
      </c>
    </row>
    <row r="192" spans="2:9" x14ac:dyDescent="0.2">
      <c r="B192" s="1">
        <v>188</v>
      </c>
      <c r="C192" s="15">
        <v>42654</v>
      </c>
      <c r="D192">
        <v>26.68</v>
      </c>
      <c r="E192">
        <v>173.60942366540561</v>
      </c>
      <c r="F192">
        <v>70.2699546961842</v>
      </c>
      <c r="G192">
        <v>6592.771577543971</v>
      </c>
      <c r="H192">
        <v>140747.45033180929</v>
      </c>
      <c r="I192">
        <v>230.54447078708375</v>
      </c>
    </row>
    <row r="193" spans="2:9" x14ac:dyDescent="0.2">
      <c r="B193" s="1">
        <v>189</v>
      </c>
      <c r="C193" s="15">
        <v>42662</v>
      </c>
      <c r="D193">
        <v>26.09</v>
      </c>
      <c r="E193">
        <v>169.50273598150483</v>
      </c>
      <c r="F193">
        <v>70.132175050207834</v>
      </c>
      <c r="G193">
        <v>6446.9794024783432</v>
      </c>
      <c r="H193">
        <v>137418.10444369636</v>
      </c>
      <c r="I193">
        <v>230.09243782784552</v>
      </c>
    </row>
    <row r="194" spans="2:9" x14ac:dyDescent="0.2">
      <c r="B194" s="1">
        <v>190</v>
      </c>
      <c r="C194" s="15">
        <v>42670</v>
      </c>
      <c r="D194">
        <v>25.93</v>
      </c>
      <c r="E194">
        <v>168.38905796553172</v>
      </c>
      <c r="F194">
        <v>70.094811078417635</v>
      </c>
      <c r="G194">
        <v>6407.4425414435964</v>
      </c>
      <c r="H194">
        <v>136515.23098251314</v>
      </c>
      <c r="I194">
        <v>229.96985261856057</v>
      </c>
    </row>
    <row r="195" spans="2:9" x14ac:dyDescent="0.2">
      <c r="B195" s="1">
        <v>191</v>
      </c>
      <c r="C195" s="15">
        <v>42670</v>
      </c>
      <c r="D195">
        <v>25.94</v>
      </c>
      <c r="E195">
        <v>168.45866284153004</v>
      </c>
      <c r="F195">
        <v>70.097146326654524</v>
      </c>
      <c r="G195">
        <v>6409.9135952582683</v>
      </c>
      <c r="H195">
        <v>136571.66057383711</v>
      </c>
      <c r="I195">
        <v>229.97751419414087</v>
      </c>
    </row>
    <row r="196" spans="2:9" x14ac:dyDescent="0.2">
      <c r="B196" s="1">
        <v>192</v>
      </c>
      <c r="C196" s="15">
        <v>42678</v>
      </c>
      <c r="D196">
        <v>26.45</v>
      </c>
      <c r="E196">
        <v>172.00851151744428</v>
      </c>
      <c r="F196">
        <v>70.21624398673579</v>
      </c>
      <c r="G196">
        <v>6535.9373398065227</v>
      </c>
      <c r="H196">
        <v>139449.56973135847</v>
      </c>
      <c r="I196">
        <v>230.36825454873664</v>
      </c>
    </row>
    <row r="197" spans="2:9" x14ac:dyDescent="0.2">
      <c r="B197" s="1">
        <v>193</v>
      </c>
      <c r="C197" s="15">
        <v>42686</v>
      </c>
      <c r="D197">
        <v>24.73</v>
      </c>
      <c r="E197">
        <v>159.91528459994981</v>
      </c>
      <c r="F197">
        <v>69.778725301674882</v>
      </c>
      <c r="G197">
        <v>6110.9160836829988</v>
      </c>
      <c r="H197">
        <v>129645.43111385024</v>
      </c>
      <c r="I197">
        <v>228.93282579198089</v>
      </c>
    </row>
    <row r="198" spans="2:9" x14ac:dyDescent="0.2">
      <c r="B198" s="1">
        <v>194</v>
      </c>
      <c r="C198" s="15">
        <v>42690</v>
      </c>
      <c r="D198">
        <v>24.14</v>
      </c>
      <c r="E198">
        <v>155.71854519688989</v>
      </c>
      <c r="F198">
        <v>69.614302037176373</v>
      </c>
      <c r="G198">
        <v>5965.1239086173719</v>
      </c>
      <c r="H198">
        <v>126243.07910889151</v>
      </c>
      <c r="I198">
        <v>228.39337938614804</v>
      </c>
    </row>
    <row r="199" spans="2:9" x14ac:dyDescent="0.2">
      <c r="B199" s="1">
        <v>195</v>
      </c>
      <c r="C199" s="15">
        <v>42694</v>
      </c>
      <c r="D199">
        <v>24.48</v>
      </c>
      <c r="E199">
        <v>158.13700519187358</v>
      </c>
      <c r="F199">
        <v>69.709054426887377</v>
      </c>
      <c r="G199">
        <v>6049.1397383162066</v>
      </c>
      <c r="H199">
        <v>128203.75653547789</v>
      </c>
      <c r="I199">
        <v>228.70424680645849</v>
      </c>
    </row>
    <row r="200" spans="2:9" x14ac:dyDescent="0.2">
      <c r="B200" s="1">
        <v>196</v>
      </c>
      <c r="C200" s="15">
        <v>42700</v>
      </c>
      <c r="D200">
        <v>23.98</v>
      </c>
      <c r="E200">
        <v>154.5804463757211</v>
      </c>
      <c r="F200">
        <v>69.569712677312381</v>
      </c>
      <c r="G200">
        <v>5925.587047582625</v>
      </c>
      <c r="H200">
        <v>125320.4073787332</v>
      </c>
      <c r="I200">
        <v>228.24708883541373</v>
      </c>
    </row>
    <row r="201" spans="2:9" x14ac:dyDescent="0.2">
      <c r="B201" s="1">
        <v>197</v>
      </c>
      <c r="C201" s="15">
        <v>42702</v>
      </c>
      <c r="D201">
        <v>23.96</v>
      </c>
      <c r="E201">
        <v>154.438184023075</v>
      </c>
      <c r="F201">
        <v>69.564139007329373</v>
      </c>
      <c r="G201">
        <v>5920.6449399532821</v>
      </c>
      <c r="H201">
        <v>125205.0734124634</v>
      </c>
      <c r="I201">
        <v>228.22880251657193</v>
      </c>
    </row>
    <row r="202" spans="2:9" x14ac:dyDescent="0.2">
      <c r="B202" s="1">
        <v>198</v>
      </c>
      <c r="C202" s="15">
        <v>42710</v>
      </c>
      <c r="D202">
        <v>24.44</v>
      </c>
      <c r="E202">
        <v>157.85248048658138</v>
      </c>
      <c r="F202">
        <v>69.69790708692139</v>
      </c>
      <c r="G202">
        <v>6039.2555230575208</v>
      </c>
      <c r="H202">
        <v>127973.08860293833</v>
      </c>
      <c r="I202">
        <v>228.66767416877494</v>
      </c>
    </row>
    <row r="203" spans="2:9" x14ac:dyDescent="0.2">
      <c r="B203" s="1">
        <v>199</v>
      </c>
      <c r="C203" s="15">
        <v>42710</v>
      </c>
      <c r="D203">
        <v>23.9</v>
      </c>
      <c r="E203">
        <v>154.01139696513667</v>
      </c>
      <c r="F203">
        <v>69.547417997380379</v>
      </c>
      <c r="G203">
        <v>5905.8186170652516</v>
      </c>
      <c r="H203">
        <v>124859.07151365402</v>
      </c>
      <c r="I203">
        <v>228.17394356004655</v>
      </c>
    </row>
    <row r="204" spans="2:9" x14ac:dyDescent="0.2">
      <c r="B204" s="1">
        <v>200</v>
      </c>
      <c r="C204" s="15">
        <v>42718</v>
      </c>
      <c r="D204">
        <v>23.83</v>
      </c>
      <c r="E204">
        <v>153.51347873087531</v>
      </c>
      <c r="F204">
        <v>69.527910152439873</v>
      </c>
      <c r="G204">
        <v>5888.5212403625492</v>
      </c>
      <c r="H204">
        <v>124455.40263170975</v>
      </c>
      <c r="I204">
        <v>228.10994144410029</v>
      </c>
    </row>
    <row r="205" spans="2:9" x14ac:dyDescent="0.2">
      <c r="B205" s="1">
        <v>201</v>
      </c>
      <c r="C205" s="15">
        <v>42726</v>
      </c>
      <c r="D205">
        <v>24.39</v>
      </c>
      <c r="E205">
        <v>157.49682460496612</v>
      </c>
      <c r="F205">
        <v>69.683972911963878</v>
      </c>
      <c r="G205">
        <v>6026.9002539841631</v>
      </c>
      <c r="H205">
        <v>127684.75368726384</v>
      </c>
      <c r="I205">
        <v>228.62195837167042</v>
      </c>
    </row>
    <row r="206" spans="2:9" x14ac:dyDescent="0.2">
      <c r="B206" s="1">
        <v>202</v>
      </c>
      <c r="C206" s="15">
        <v>42730</v>
      </c>
      <c r="D206">
        <v>23.63</v>
      </c>
      <c r="E206">
        <v>152.09085520441434</v>
      </c>
      <c r="F206">
        <v>69.472173452609866</v>
      </c>
      <c r="G206">
        <v>5839.1001640691165</v>
      </c>
      <c r="H206">
        <v>123302.06296901191</v>
      </c>
      <c r="I206">
        <v>227.92707825568235</v>
      </c>
    </row>
    <row r="207" spans="2:9" x14ac:dyDescent="0.2">
      <c r="B207" s="1">
        <v>203</v>
      </c>
      <c r="C207" s="15">
        <v>42734</v>
      </c>
      <c r="D207">
        <v>23.69</v>
      </c>
      <c r="E207">
        <v>152.51764226235264</v>
      </c>
      <c r="F207">
        <v>69.488894462558875</v>
      </c>
      <c r="G207">
        <v>5853.9264869571471</v>
      </c>
      <c r="H207">
        <v>123648.06486782126</v>
      </c>
      <c r="I207">
        <v>227.98193721220775</v>
      </c>
    </row>
    <row r="208" spans="2:9" x14ac:dyDescent="0.2">
      <c r="B208" s="1">
        <v>204</v>
      </c>
      <c r="C208" s="15">
        <v>42740</v>
      </c>
      <c r="D208">
        <v>24.61</v>
      </c>
      <c r="E208">
        <v>159.06171048407322</v>
      </c>
      <c r="F208">
        <v>69.745283281776892</v>
      </c>
      <c r="G208">
        <v>6081.2634379069386</v>
      </c>
      <c r="H208">
        <v>128953.42731623152</v>
      </c>
      <c r="I208">
        <v>228.82310787893016</v>
      </c>
    </row>
    <row r="209" spans="2:9" x14ac:dyDescent="0.2">
      <c r="B209" s="1">
        <v>205</v>
      </c>
      <c r="C209" s="15">
        <v>42742</v>
      </c>
      <c r="D209">
        <v>23.48</v>
      </c>
      <c r="E209">
        <v>151.02388755956858</v>
      </c>
      <c r="F209">
        <v>69.430370927737371</v>
      </c>
      <c r="G209">
        <v>5802.0343568490416</v>
      </c>
      <c r="H209">
        <v>122437.05822198847</v>
      </c>
      <c r="I209">
        <v>227.78993086436896</v>
      </c>
    </row>
    <row r="210" spans="2:9" x14ac:dyDescent="0.2">
      <c r="B210" s="1">
        <v>206</v>
      </c>
      <c r="C210" s="15">
        <v>42750</v>
      </c>
      <c r="D210">
        <v>23.67</v>
      </c>
      <c r="E210">
        <v>152.37537990970654</v>
      </c>
      <c r="F210">
        <v>69.483320792575867</v>
      </c>
      <c r="G210">
        <v>5848.9843793278042</v>
      </c>
      <c r="H210">
        <v>123532.73090155146</v>
      </c>
      <c r="I210">
        <v>227.96365089336592</v>
      </c>
    </row>
    <row r="211" spans="2:9" x14ac:dyDescent="0.2">
      <c r="B211" s="1">
        <v>207</v>
      </c>
      <c r="C211" s="15">
        <v>42750</v>
      </c>
      <c r="D211">
        <v>22.45</v>
      </c>
      <c r="E211">
        <v>143.69737639829444</v>
      </c>
      <c r="F211">
        <v>69.143326923612847</v>
      </c>
      <c r="G211">
        <v>5547.5158139378618</v>
      </c>
      <c r="H211">
        <v>116497.35895909439</v>
      </c>
      <c r="I211">
        <v>226.84818544401665</v>
      </c>
    </row>
    <row r="212" spans="2:9" x14ac:dyDescent="0.2">
      <c r="B212" s="1">
        <v>208</v>
      </c>
      <c r="C212" s="15">
        <v>42766</v>
      </c>
      <c r="D212">
        <v>23.88</v>
      </c>
      <c r="E212">
        <v>153.86913461249057</v>
      </c>
      <c r="F212">
        <v>69.541844327397371</v>
      </c>
      <c r="G212">
        <v>5900.8765094359078</v>
      </c>
      <c r="H212">
        <v>124743.73754738423</v>
      </c>
      <c r="I212">
        <v>228.15565724120475</v>
      </c>
    </row>
    <row r="213" spans="2:9" x14ac:dyDescent="0.2">
      <c r="B213" s="1">
        <v>209</v>
      </c>
      <c r="C213" s="15">
        <v>42770</v>
      </c>
      <c r="D213">
        <v>23.79</v>
      </c>
      <c r="E213">
        <v>153.22895402558314</v>
      </c>
      <c r="F213">
        <v>69.516762812473871</v>
      </c>
      <c r="G213">
        <v>5878.6370251038634</v>
      </c>
      <c r="H213">
        <v>124224.73469917019</v>
      </c>
      <c r="I213">
        <v>228.07336880641668</v>
      </c>
    </row>
    <row r="214" spans="2:9" x14ac:dyDescent="0.2">
      <c r="B214" s="1">
        <v>210</v>
      </c>
      <c r="C214" s="15">
        <v>42782</v>
      </c>
      <c r="D214">
        <v>23.54</v>
      </c>
      <c r="E214">
        <v>151.45067461750688</v>
      </c>
      <c r="F214">
        <v>69.447091937686366</v>
      </c>
      <c r="G214">
        <v>5816.8606797370712</v>
      </c>
      <c r="H214">
        <v>122783.06012079785</v>
      </c>
      <c r="I214">
        <v>227.84478982089431</v>
      </c>
    </row>
    <row r="215" spans="2:9" x14ac:dyDescent="0.2">
      <c r="B215" s="1">
        <v>211</v>
      </c>
      <c r="C215" s="15">
        <v>42790</v>
      </c>
      <c r="D215">
        <v>22.06</v>
      </c>
      <c r="E215">
        <v>140.92326052169548</v>
      </c>
      <c r="F215">
        <v>69.034640358944344</v>
      </c>
      <c r="G215">
        <v>5451.1447151656666</v>
      </c>
      <c r="H215">
        <v>114248.3466168335</v>
      </c>
      <c r="I215">
        <v>226.49160222660174</v>
      </c>
    </row>
    <row r="216" spans="2:9" x14ac:dyDescent="0.2">
      <c r="B216" s="1">
        <v>212</v>
      </c>
      <c r="C216" s="15">
        <v>42798</v>
      </c>
      <c r="D216">
        <v>22.03</v>
      </c>
      <c r="E216">
        <v>140.70986699272635</v>
      </c>
      <c r="F216">
        <v>69.026279853969854</v>
      </c>
      <c r="G216">
        <v>5443.7315537216518</v>
      </c>
      <c r="H216">
        <v>114075.34566742883</v>
      </c>
      <c r="I216">
        <v>226.46417274833908</v>
      </c>
    </row>
    <row r="217" spans="2:9" x14ac:dyDescent="0.2">
      <c r="B217" s="1">
        <v>213</v>
      </c>
      <c r="C217" s="15">
        <v>42800</v>
      </c>
      <c r="D217">
        <v>22.06</v>
      </c>
      <c r="E217">
        <v>140.92326052169548</v>
      </c>
      <c r="F217">
        <v>69.034640358944344</v>
      </c>
      <c r="G217">
        <v>5451.1447151656666</v>
      </c>
      <c r="H217">
        <v>114248.3466168335</v>
      </c>
      <c r="I217">
        <v>226.49160222660174</v>
      </c>
    </row>
    <row r="218" spans="2:9" x14ac:dyDescent="0.2">
      <c r="B218" s="1">
        <v>214</v>
      </c>
      <c r="C218" s="15">
        <v>42814</v>
      </c>
      <c r="D218">
        <v>23.89</v>
      </c>
      <c r="E218">
        <v>153.94026578881363</v>
      </c>
      <c r="F218">
        <v>69.544631162388882</v>
      </c>
      <c r="G218">
        <v>5903.3475632505797</v>
      </c>
      <c r="H218">
        <v>124801.40453051915</v>
      </c>
      <c r="I218">
        <v>228.16480040062567</v>
      </c>
    </row>
    <row r="219" spans="2:9" x14ac:dyDescent="0.2">
      <c r="B219" s="1">
        <v>215</v>
      </c>
      <c r="C219" s="15">
        <v>42820</v>
      </c>
      <c r="D219">
        <v>23.77</v>
      </c>
      <c r="E219">
        <v>153.08669167293704</v>
      </c>
      <c r="F219">
        <v>69.511189142490878</v>
      </c>
      <c r="G219">
        <v>5873.6949174745196</v>
      </c>
      <c r="H219">
        <v>124109.40073290041</v>
      </c>
      <c r="I219">
        <v>228.05508248757494</v>
      </c>
    </row>
    <row r="220" spans="2:9" x14ac:dyDescent="0.2">
      <c r="B220" s="1">
        <v>216</v>
      </c>
      <c r="C220" s="15">
        <v>42822</v>
      </c>
      <c r="D220">
        <v>23.44</v>
      </c>
      <c r="E220">
        <v>150.73936285427638</v>
      </c>
      <c r="F220">
        <v>69.41922358777137</v>
      </c>
      <c r="G220">
        <v>5792.1501415903558</v>
      </c>
      <c r="H220">
        <v>122206.3902894489</v>
      </c>
      <c r="I220">
        <v>227.75335822668535</v>
      </c>
    </row>
    <row r="221" spans="2:9" x14ac:dyDescent="0.2">
      <c r="B221" s="1">
        <v>217</v>
      </c>
      <c r="C221" s="15">
        <v>42830</v>
      </c>
      <c r="D221">
        <v>22.2</v>
      </c>
      <c r="E221">
        <v>141.91909699021818</v>
      </c>
      <c r="F221">
        <v>69.073656048825342</v>
      </c>
      <c r="G221">
        <v>5485.7394685710697</v>
      </c>
      <c r="H221">
        <v>115055.68438072201</v>
      </c>
      <c r="I221">
        <v>226.61960645849427</v>
      </c>
    </row>
    <row r="222" spans="2:9" x14ac:dyDescent="0.2">
      <c r="B222" s="1">
        <v>218</v>
      </c>
      <c r="C222" s="15">
        <v>42838</v>
      </c>
      <c r="D222">
        <v>21.93</v>
      </c>
      <c r="E222">
        <v>139.99712836858004</v>
      </c>
      <c r="F222">
        <v>68.998086606243703</v>
      </c>
      <c r="G222">
        <v>5419.0210155749355</v>
      </c>
      <c r="H222">
        <v>113497.51906110974</v>
      </c>
      <c r="I222">
        <v>226.37167521642951</v>
      </c>
    </row>
    <row r="223" spans="2:9" x14ac:dyDescent="0.2">
      <c r="B223" s="1">
        <v>219</v>
      </c>
      <c r="C223" s="15">
        <v>42840</v>
      </c>
      <c r="D223">
        <v>22.06</v>
      </c>
      <c r="E223">
        <v>140.92326052169548</v>
      </c>
      <c r="F223">
        <v>69.034640358944344</v>
      </c>
      <c r="G223">
        <v>5451.1447151656666</v>
      </c>
      <c r="H223">
        <v>114248.3466168335</v>
      </c>
      <c r="I223">
        <v>226.49160222660174</v>
      </c>
    </row>
    <row r="224" spans="2:9" x14ac:dyDescent="0.2">
      <c r="B224" s="1">
        <v>220</v>
      </c>
      <c r="C224" s="15">
        <v>42846</v>
      </c>
      <c r="D224">
        <v>21.94</v>
      </c>
      <c r="E224">
        <v>140.06968640581891</v>
      </c>
      <c r="F224">
        <v>69.00119833904634</v>
      </c>
      <c r="G224">
        <v>5421.4920693896074</v>
      </c>
      <c r="H224">
        <v>113556.3428192148</v>
      </c>
      <c r="I224">
        <v>226.38188431355098</v>
      </c>
    </row>
    <row r="225" spans="2:9" x14ac:dyDescent="0.2">
      <c r="B225" s="1">
        <v>221</v>
      </c>
      <c r="C225" s="15">
        <v>42854</v>
      </c>
      <c r="D225">
        <v>21.09</v>
      </c>
      <c r="E225">
        <v>133.81183531722053</v>
      </c>
      <c r="F225">
        <v>68.71611278952669</v>
      </c>
      <c r="G225">
        <v>5211.4524951425165</v>
      </c>
      <c r="H225">
        <v>108483.02037691543</v>
      </c>
      <c r="I225">
        <v>225.44656426919892</v>
      </c>
    </row>
    <row r="226" spans="2:9" x14ac:dyDescent="0.2">
      <c r="B226" s="1">
        <v>222</v>
      </c>
      <c r="C226" s="15">
        <v>42860</v>
      </c>
      <c r="D226">
        <v>20.71</v>
      </c>
      <c r="E226">
        <v>131.01372655589122</v>
      </c>
      <c r="F226">
        <v>68.588553205773749</v>
      </c>
      <c r="G226">
        <v>5117.5524501849941</v>
      </c>
      <c r="H226">
        <v>106214.55668644658</v>
      </c>
      <c r="I226">
        <v>225.02806169783267</v>
      </c>
    </row>
    <row r="227" spans="2:9" x14ac:dyDescent="0.2">
      <c r="B227" s="1">
        <v>223</v>
      </c>
      <c r="C227" s="15">
        <v>42862</v>
      </c>
      <c r="D227">
        <v>20.51</v>
      </c>
      <c r="E227">
        <v>129.54103773413897</v>
      </c>
      <c r="F227">
        <v>68.521416582745886</v>
      </c>
      <c r="G227">
        <v>5068.1313738915605</v>
      </c>
      <c r="H227">
        <v>105020.62842830509</v>
      </c>
      <c r="I227">
        <v>224.80779718658729</v>
      </c>
    </row>
    <row r="228" spans="2:9" x14ac:dyDescent="0.2">
      <c r="B228" s="1">
        <v>224</v>
      </c>
      <c r="C228" s="15">
        <v>42870</v>
      </c>
      <c r="D228">
        <v>23.69</v>
      </c>
      <c r="E228">
        <v>152.51764226235264</v>
      </c>
      <c r="F228">
        <v>69.488894462558875</v>
      </c>
      <c r="G228">
        <v>5853.9264869571471</v>
      </c>
      <c r="H228">
        <v>123648.06486782126</v>
      </c>
      <c r="I228">
        <v>227.98193721220775</v>
      </c>
    </row>
    <row r="229" spans="2:9" x14ac:dyDescent="0.2">
      <c r="B229" s="1">
        <v>225</v>
      </c>
      <c r="C229" s="15">
        <v>42878</v>
      </c>
      <c r="D229">
        <v>23.51</v>
      </c>
      <c r="E229">
        <v>151.23728108853774</v>
      </c>
      <c r="F229">
        <v>69.438731432711876</v>
      </c>
      <c r="G229">
        <v>5809.4475182930573</v>
      </c>
      <c r="H229">
        <v>122610.05917139316</v>
      </c>
      <c r="I229">
        <v>227.81736034263164</v>
      </c>
    </row>
    <row r="230" spans="2:9" x14ac:dyDescent="0.2">
      <c r="B230" s="1">
        <v>226</v>
      </c>
      <c r="C230" s="15">
        <v>42880</v>
      </c>
      <c r="D230">
        <v>22.62</v>
      </c>
      <c r="E230">
        <v>144.9066063957863</v>
      </c>
      <c r="F230">
        <v>69.190703118468349</v>
      </c>
      <c r="G230">
        <v>5589.5237287872806</v>
      </c>
      <c r="H230">
        <v>117477.69767238759</v>
      </c>
      <c r="I230">
        <v>227.00361915417187</v>
      </c>
    </row>
    <row r="231" spans="2:9" x14ac:dyDescent="0.2">
      <c r="B231" s="1">
        <v>227</v>
      </c>
      <c r="C231" s="15">
        <v>42886</v>
      </c>
      <c r="D231">
        <v>22.09</v>
      </c>
      <c r="E231">
        <v>141.13665405066465</v>
      </c>
      <c r="F231">
        <v>69.043000863918849</v>
      </c>
      <c r="G231">
        <v>5458.5578766096824</v>
      </c>
      <c r="H231">
        <v>114421.34756623818</v>
      </c>
      <c r="I231">
        <v>226.51903170486443</v>
      </c>
    </row>
    <row r="232" spans="2:9" x14ac:dyDescent="0.2">
      <c r="B232" s="1">
        <v>228</v>
      </c>
      <c r="C232" s="15">
        <v>42894</v>
      </c>
      <c r="D232">
        <v>22.03</v>
      </c>
      <c r="E232">
        <v>140.70986699272635</v>
      </c>
      <c r="F232">
        <v>69.026279853969854</v>
      </c>
      <c r="G232">
        <v>5443.7315537216518</v>
      </c>
      <c r="H232">
        <v>114075.34566742883</v>
      </c>
      <c r="I232">
        <v>226.46417274833908</v>
      </c>
    </row>
    <row r="233" spans="2:9" x14ac:dyDescent="0.2">
      <c r="B233" s="1">
        <v>229</v>
      </c>
      <c r="C233" s="15">
        <v>42900</v>
      </c>
      <c r="D233">
        <v>22.08</v>
      </c>
      <c r="E233">
        <v>141.06552287434158</v>
      </c>
      <c r="F233">
        <v>69.040214028927352</v>
      </c>
      <c r="G233">
        <v>5456.0868227950095</v>
      </c>
      <c r="H233">
        <v>114363.68058310328</v>
      </c>
      <c r="I233">
        <v>226.50988854544354</v>
      </c>
    </row>
    <row r="234" spans="2:9" x14ac:dyDescent="0.2">
      <c r="B234" s="1">
        <v>230</v>
      </c>
      <c r="C234" s="15">
        <v>42910</v>
      </c>
      <c r="D234">
        <v>21.8</v>
      </c>
      <c r="E234">
        <v>139.03988063444109</v>
      </c>
      <c r="F234">
        <v>68.954447801275592</v>
      </c>
      <c r="G234">
        <v>5386.8973159842044</v>
      </c>
      <c r="H234">
        <v>112721.46569331779</v>
      </c>
      <c r="I234">
        <v>226.22850328411999</v>
      </c>
    </row>
    <row r="235" spans="2:9" x14ac:dyDescent="0.2">
      <c r="B235" s="1">
        <v>231</v>
      </c>
      <c r="C235" s="15">
        <v>42918</v>
      </c>
      <c r="D235">
        <v>21.05</v>
      </c>
      <c r="E235">
        <v>133.51729755287008</v>
      </c>
      <c r="F235">
        <v>68.702685464921117</v>
      </c>
      <c r="G235">
        <v>5201.5682798838307</v>
      </c>
      <c r="H235">
        <v>108244.23472528713</v>
      </c>
      <c r="I235">
        <v>225.40251136694982</v>
      </c>
    </row>
    <row r="236" spans="2:9" x14ac:dyDescent="0.2">
      <c r="B236" s="1">
        <v>232</v>
      </c>
      <c r="C236" s="15">
        <v>42920</v>
      </c>
      <c r="D236">
        <v>20.309999999999999</v>
      </c>
      <c r="E236">
        <v>128.06834891238668</v>
      </c>
      <c r="F236">
        <v>68.454279959718022</v>
      </c>
      <c r="G236">
        <v>5018.7102975981279</v>
      </c>
      <c r="H236">
        <v>103826.70017016357</v>
      </c>
      <c r="I236">
        <v>224.58753267534189</v>
      </c>
    </row>
    <row r="237" spans="2:9" x14ac:dyDescent="0.2">
      <c r="B237" s="1">
        <v>233</v>
      </c>
      <c r="C237" s="15">
        <v>42934</v>
      </c>
      <c r="D237">
        <v>20.56</v>
      </c>
      <c r="E237">
        <v>129.90920993957701</v>
      </c>
      <c r="F237">
        <v>68.538200738502852</v>
      </c>
      <c r="G237">
        <v>5080.4866429649182</v>
      </c>
      <c r="H237">
        <v>105319.11049284044</v>
      </c>
      <c r="I237">
        <v>224.86286331439862</v>
      </c>
    </row>
    <row r="238" spans="2:9" x14ac:dyDescent="0.2">
      <c r="B238" s="1">
        <v>234</v>
      </c>
      <c r="C238" s="15">
        <v>42942</v>
      </c>
      <c r="D238">
        <v>18.98</v>
      </c>
      <c r="E238">
        <v>118.27496824773412</v>
      </c>
      <c r="F238">
        <v>68.007821416582743</v>
      </c>
      <c r="G238">
        <v>4690.0601402467983</v>
      </c>
      <c r="H238">
        <v>95887.077253522584</v>
      </c>
      <c r="I238">
        <v>223.1227736755601</v>
      </c>
    </row>
    <row r="239" spans="2:9" x14ac:dyDescent="0.2">
      <c r="B239" s="1">
        <v>235</v>
      </c>
      <c r="C239" s="15">
        <v>42950</v>
      </c>
      <c r="D239">
        <v>18.54</v>
      </c>
      <c r="E239">
        <v>114.79757999999998</v>
      </c>
      <c r="F239">
        <v>67.82561205273069</v>
      </c>
      <c r="G239">
        <v>4581.3337724012454</v>
      </c>
      <c r="H239">
        <v>93067.912721154484</v>
      </c>
      <c r="I239">
        <v>222.52497392539169</v>
      </c>
    </row>
    <row r="240" spans="2:9" x14ac:dyDescent="0.2">
      <c r="B240" s="1">
        <v>236</v>
      </c>
      <c r="C240" s="15">
        <v>42960</v>
      </c>
      <c r="D240">
        <v>18.5</v>
      </c>
      <c r="E240">
        <v>114.48024666666666</v>
      </c>
      <c r="F240">
        <v>67.808872148985145</v>
      </c>
      <c r="G240">
        <v>4571.4495571425587</v>
      </c>
      <c r="H240">
        <v>92810.646400991813</v>
      </c>
      <c r="I240">
        <v>222.47005298134485</v>
      </c>
    </row>
    <row r="241" spans="2:9" x14ac:dyDescent="0.2">
      <c r="B241" s="1">
        <v>237</v>
      </c>
      <c r="C241" s="15">
        <v>42966</v>
      </c>
      <c r="D241">
        <v>18.21</v>
      </c>
      <c r="E241">
        <v>112.17957999999999</v>
      </c>
      <c r="F241">
        <v>67.687507846829874</v>
      </c>
      <c r="G241">
        <v>4499.7889965170807</v>
      </c>
      <c r="H241">
        <v>90945.465579812459</v>
      </c>
      <c r="I241">
        <v>222.07187613700501</v>
      </c>
    </row>
    <row r="242" spans="2:9" x14ac:dyDescent="0.2">
      <c r="B242" s="1">
        <v>238</v>
      </c>
      <c r="C242" s="15">
        <v>42974</v>
      </c>
      <c r="D242">
        <v>18.059999999999999</v>
      </c>
      <c r="E242">
        <v>110.98957999999998</v>
      </c>
      <c r="F242">
        <v>67.624733207784061</v>
      </c>
      <c r="G242">
        <v>4462.7231892970049</v>
      </c>
      <c r="H242">
        <v>89980.716879202446</v>
      </c>
      <c r="I242">
        <v>221.86592259682928</v>
      </c>
    </row>
    <row r="243" spans="2:9" x14ac:dyDescent="0.2">
      <c r="B243" s="1">
        <v>239</v>
      </c>
      <c r="C243" s="15">
        <v>42975</v>
      </c>
      <c r="D243">
        <v>18.03</v>
      </c>
      <c r="E243">
        <v>110.75157999999999</v>
      </c>
      <c r="F243">
        <v>67.612178279974884</v>
      </c>
      <c r="G243">
        <v>4455.310027852991</v>
      </c>
      <c r="H243">
        <v>89787.767139080461</v>
      </c>
      <c r="I243">
        <v>221.8247318887941</v>
      </c>
    </row>
    <row r="244" spans="2:9" x14ac:dyDescent="0.2">
      <c r="B244" s="1">
        <v>240</v>
      </c>
      <c r="C244" s="15">
        <v>42982</v>
      </c>
      <c r="D244">
        <v>17.98</v>
      </c>
      <c r="E244">
        <v>110.35491333333333</v>
      </c>
      <c r="F244">
        <v>67.591253400292942</v>
      </c>
      <c r="G244">
        <v>4442.9547587796324</v>
      </c>
      <c r="H244">
        <v>89466.184238877118</v>
      </c>
      <c r="I244">
        <v>221.75608070873551</v>
      </c>
    </row>
    <row r="245" spans="2:9" x14ac:dyDescent="0.2">
      <c r="B245" s="1">
        <v>241</v>
      </c>
      <c r="C245" s="15">
        <v>42990</v>
      </c>
      <c r="D245">
        <v>17.73</v>
      </c>
      <c r="E245">
        <v>108.37157999999999</v>
      </c>
      <c r="F245">
        <v>67.486629001883244</v>
      </c>
      <c r="G245">
        <v>4381.178413412842</v>
      </c>
      <c r="H245">
        <v>87858.269737860435</v>
      </c>
      <c r="I245">
        <v>221.41282480844259</v>
      </c>
    </row>
    <row r="246" spans="2:9" x14ac:dyDescent="0.2">
      <c r="B246" s="1">
        <v>242</v>
      </c>
      <c r="C246" s="15">
        <v>42995</v>
      </c>
      <c r="D246">
        <v>17.04</v>
      </c>
      <c r="E246">
        <v>102.89757999999999</v>
      </c>
      <c r="F246">
        <v>67.197865662272449</v>
      </c>
      <c r="G246">
        <v>4210.675700200497</v>
      </c>
      <c r="H246">
        <v>83420.425715054385</v>
      </c>
      <c r="I246">
        <v>220.46543852363405</v>
      </c>
    </row>
    <row r="247" spans="2:9" x14ac:dyDescent="0.2">
      <c r="B247" s="1">
        <v>243</v>
      </c>
      <c r="C247" s="15">
        <v>42998</v>
      </c>
      <c r="D247">
        <v>16.89</v>
      </c>
      <c r="E247">
        <v>101.70758000000001</v>
      </c>
      <c r="F247">
        <v>67.135091023226622</v>
      </c>
      <c r="G247">
        <v>4173.609892980422</v>
      </c>
      <c r="H247">
        <v>82455.677014444387</v>
      </c>
      <c r="I247">
        <v>220.25948498345829</v>
      </c>
    </row>
    <row r="248" spans="2:9" x14ac:dyDescent="0.2">
      <c r="B248" s="1">
        <v>244</v>
      </c>
      <c r="C248" s="15">
        <v>43000</v>
      </c>
      <c r="D248">
        <v>16.89</v>
      </c>
      <c r="E248">
        <v>101.70758000000001</v>
      </c>
      <c r="F248">
        <v>67.135091023226622</v>
      </c>
      <c r="G248">
        <v>4173.609892980422</v>
      </c>
      <c r="H248">
        <v>82455.677014444387</v>
      </c>
      <c r="I248">
        <v>220.25948498345829</v>
      </c>
    </row>
    <row r="249" spans="2:9" x14ac:dyDescent="0.2">
      <c r="B249" s="1">
        <v>245</v>
      </c>
      <c r="C249" s="15">
        <v>43006</v>
      </c>
      <c r="D249">
        <v>16.82</v>
      </c>
      <c r="E249">
        <v>101.15224666666667</v>
      </c>
      <c r="F249">
        <v>67.105796191671899</v>
      </c>
      <c r="G249">
        <v>4156.3125162777205</v>
      </c>
      <c r="H249">
        <v>82005.460954159716</v>
      </c>
      <c r="I249">
        <v>220.16337333137625</v>
      </c>
    </row>
    <row r="250" spans="2:9" x14ac:dyDescent="0.2">
      <c r="B250" s="1">
        <v>246</v>
      </c>
      <c r="C250" s="15">
        <v>43014</v>
      </c>
      <c r="D250">
        <v>16.86</v>
      </c>
      <c r="E250">
        <v>101.46957999999999</v>
      </c>
      <c r="F250">
        <v>67.122536095417445</v>
      </c>
      <c r="G250">
        <v>4166.1967315364072</v>
      </c>
      <c r="H250">
        <v>82262.727274322358</v>
      </c>
      <c r="I250">
        <v>220.21829427542309</v>
      </c>
    </row>
    <row r="251" spans="2:9" x14ac:dyDescent="0.2">
      <c r="B251" s="1">
        <v>247</v>
      </c>
      <c r="C251" s="15">
        <v>43015</v>
      </c>
      <c r="D251">
        <v>16.79</v>
      </c>
      <c r="E251">
        <v>100.91424666666666</v>
      </c>
      <c r="F251">
        <v>67.093241263862737</v>
      </c>
      <c r="G251">
        <v>4148.8993548337057</v>
      </c>
      <c r="H251">
        <v>81812.511214037688</v>
      </c>
      <c r="I251">
        <v>220.1221826233411</v>
      </c>
    </row>
    <row r="252" spans="2:9" x14ac:dyDescent="0.2">
      <c r="B252" s="1">
        <v>248</v>
      </c>
      <c r="C252" s="15">
        <v>43020</v>
      </c>
      <c r="D252">
        <v>16.77</v>
      </c>
      <c r="E252">
        <v>100.75557999999999</v>
      </c>
      <c r="F252">
        <v>67.084871311989957</v>
      </c>
      <c r="G252">
        <v>4143.9572472043619</v>
      </c>
      <c r="H252">
        <v>81683.87805395636</v>
      </c>
      <c r="I252">
        <v>220.09472215131765</v>
      </c>
    </row>
    <row r="253" spans="2:9" x14ac:dyDescent="0.2">
      <c r="B253" s="1">
        <v>249</v>
      </c>
      <c r="C253" s="15">
        <v>43022</v>
      </c>
      <c r="D253">
        <v>16.72</v>
      </c>
      <c r="E253">
        <v>100.35891333333332</v>
      </c>
      <c r="F253">
        <v>67.063946432308015</v>
      </c>
      <c r="G253">
        <v>4131.6019781310042</v>
      </c>
      <c r="H253">
        <v>81362.295153753017</v>
      </c>
      <c r="I253">
        <v>220.02607097125906</v>
      </c>
    </row>
    <row r="254" spans="2:9" x14ac:dyDescent="0.2">
      <c r="B254" s="1">
        <v>250</v>
      </c>
      <c r="C254" s="15">
        <v>43030</v>
      </c>
      <c r="D254">
        <v>15.88</v>
      </c>
      <c r="E254">
        <v>93.593593064091309</v>
      </c>
      <c r="F254">
        <v>66.664813188957169</v>
      </c>
      <c r="G254">
        <v>3924.0334576985861</v>
      </c>
      <c r="H254">
        <v>75877.5607512641</v>
      </c>
      <c r="I254">
        <v>218.71657870305287</v>
      </c>
    </row>
    <row r="255" spans="2:9" x14ac:dyDescent="0.2">
      <c r="B255" s="1">
        <v>251</v>
      </c>
      <c r="C255" s="15">
        <v>43035</v>
      </c>
      <c r="D255">
        <v>15.9</v>
      </c>
      <c r="E255">
        <v>93.75520851624232</v>
      </c>
      <c r="F255">
        <v>66.674568334796604</v>
      </c>
      <c r="G255">
        <v>3928.975565327929</v>
      </c>
      <c r="H255">
        <v>76008.58453064326</v>
      </c>
      <c r="I255">
        <v>218.74858377470443</v>
      </c>
    </row>
    <row r="256" spans="2:9" x14ac:dyDescent="0.2">
      <c r="B256" s="1">
        <v>252</v>
      </c>
      <c r="C256" s="15">
        <v>43038</v>
      </c>
      <c r="D256">
        <v>15.89</v>
      </c>
      <c r="E256">
        <v>93.674400790166814</v>
      </c>
      <c r="F256">
        <v>66.669690761876893</v>
      </c>
      <c r="G256">
        <v>3926.5045115132571</v>
      </c>
      <c r="H256">
        <v>75943.072640953673</v>
      </c>
      <c r="I256">
        <v>218.73258123887868</v>
      </c>
    </row>
    <row r="257" spans="2:9" x14ac:dyDescent="0.2">
      <c r="B257" s="1">
        <v>253</v>
      </c>
      <c r="C257" s="15">
        <v>43040</v>
      </c>
      <c r="D257">
        <v>15.83</v>
      </c>
      <c r="E257">
        <v>93.189554433713781</v>
      </c>
      <c r="F257">
        <v>66.640425324358603</v>
      </c>
      <c r="G257">
        <v>3911.6781886252274</v>
      </c>
      <c r="H257">
        <v>75550.001302816236</v>
      </c>
      <c r="I257">
        <v>218.63656602392402</v>
      </c>
    </row>
    <row r="258" spans="2:9" x14ac:dyDescent="0.2">
      <c r="B258" s="1">
        <v>254</v>
      </c>
      <c r="C258" s="15">
        <v>43045</v>
      </c>
      <c r="D258">
        <v>15.77</v>
      </c>
      <c r="E258">
        <v>92.704708077260747</v>
      </c>
      <c r="F258">
        <v>66.611159886840312</v>
      </c>
      <c r="G258">
        <v>3896.8518657371969</v>
      </c>
      <c r="H258">
        <v>75156.929964678784</v>
      </c>
      <c r="I258">
        <v>218.54055080896939</v>
      </c>
    </row>
    <row r="259" spans="2:9" x14ac:dyDescent="0.2">
      <c r="B259" s="1">
        <v>255</v>
      </c>
      <c r="C259" s="15">
        <v>43046</v>
      </c>
      <c r="D259">
        <v>15.75</v>
      </c>
      <c r="E259">
        <v>92.54309262510975</v>
      </c>
      <c r="F259">
        <v>66.601404741000877</v>
      </c>
      <c r="G259">
        <v>3891.909758107854</v>
      </c>
      <c r="H259">
        <v>75025.906185299653</v>
      </c>
      <c r="I259">
        <v>218.50854573731783</v>
      </c>
    </row>
    <row r="260" spans="2:9" x14ac:dyDescent="0.2">
      <c r="B260" s="1">
        <v>256</v>
      </c>
      <c r="C260" s="15">
        <v>43054</v>
      </c>
      <c r="D260">
        <v>15.72</v>
      </c>
      <c r="E260">
        <v>92.300669446883234</v>
      </c>
      <c r="F260">
        <v>66.586772022241732</v>
      </c>
      <c r="G260">
        <v>3884.4965966638392</v>
      </c>
      <c r="H260">
        <v>74829.37051623092</v>
      </c>
      <c r="I260">
        <v>218.4605381298405</v>
      </c>
    </row>
    <row r="261" spans="2:9" x14ac:dyDescent="0.2">
      <c r="B261" s="1">
        <v>257</v>
      </c>
      <c r="C261" s="15">
        <v>43055</v>
      </c>
      <c r="D261">
        <v>15.65</v>
      </c>
      <c r="E261">
        <v>91.735015364354695</v>
      </c>
      <c r="F261">
        <v>66.552629011803731</v>
      </c>
      <c r="G261">
        <v>3867.1992199611373</v>
      </c>
      <c r="H261">
        <v>74370.78728840391</v>
      </c>
      <c r="I261">
        <v>218.34852037906012</v>
      </c>
    </row>
    <row r="262" spans="2:9" x14ac:dyDescent="0.2">
      <c r="B262" s="1">
        <v>258</v>
      </c>
      <c r="C262" s="15">
        <v>43060</v>
      </c>
      <c r="D262">
        <v>15.67</v>
      </c>
      <c r="E262">
        <v>91.896630816505706</v>
      </c>
      <c r="F262">
        <v>66.562384157643152</v>
      </c>
      <c r="G262">
        <v>3872.1413275904806</v>
      </c>
      <c r="H262">
        <v>74501.811067783041</v>
      </c>
      <c r="I262">
        <v>218.38052545071164</v>
      </c>
    </row>
    <row r="263" spans="2:9" x14ac:dyDescent="0.2">
      <c r="B263" s="1">
        <v>259</v>
      </c>
      <c r="C263" s="15">
        <v>43062</v>
      </c>
      <c r="D263">
        <v>16.53</v>
      </c>
      <c r="E263">
        <v>98.846095258999128</v>
      </c>
      <c r="F263">
        <v>66.981855428738655</v>
      </c>
      <c r="G263">
        <v>4084.651955652243</v>
      </c>
      <c r="H263">
        <v>80135.833581086423</v>
      </c>
      <c r="I263">
        <v>219.75674353172812</v>
      </c>
    </row>
    <row r="264" spans="2:9" x14ac:dyDescent="0.2">
      <c r="B264" s="1">
        <v>260</v>
      </c>
      <c r="C264" s="15">
        <v>43065</v>
      </c>
      <c r="D264">
        <v>15.63</v>
      </c>
      <c r="E264">
        <v>91.573399912203698</v>
      </c>
      <c r="F264">
        <v>66.542873865964296</v>
      </c>
      <c r="G264">
        <v>3862.2571123317944</v>
      </c>
      <c r="H264">
        <v>74239.763509024764</v>
      </c>
      <c r="I264">
        <v>218.31651530740857</v>
      </c>
    </row>
    <row r="265" spans="2:9" x14ac:dyDescent="0.2">
      <c r="B265" s="1">
        <v>261</v>
      </c>
      <c r="C265" s="15">
        <v>43070</v>
      </c>
      <c r="D265">
        <v>15.62</v>
      </c>
      <c r="E265">
        <v>91.492592186128178</v>
      </c>
      <c r="F265">
        <v>66.537996293044586</v>
      </c>
      <c r="G265">
        <v>3859.786058517122</v>
      </c>
      <c r="H265">
        <v>74174.251619335177</v>
      </c>
      <c r="I265">
        <v>218.30051277158279</v>
      </c>
    </row>
    <row r="266" spans="2:9" x14ac:dyDescent="0.2">
      <c r="B266" s="1">
        <v>262</v>
      </c>
      <c r="C266" s="15">
        <v>43075</v>
      </c>
      <c r="D266">
        <v>15.5</v>
      </c>
      <c r="E266">
        <v>90.522899473222125</v>
      </c>
      <c r="F266">
        <v>66.479465418008004</v>
      </c>
      <c r="G266">
        <v>3830.1334127410628</v>
      </c>
      <c r="H266">
        <v>73388.108943060288</v>
      </c>
      <c r="I266">
        <v>218.10848234167352</v>
      </c>
    </row>
    <row r="267" spans="2:9" x14ac:dyDescent="0.2">
      <c r="B267" s="1">
        <v>263</v>
      </c>
      <c r="C267" s="15">
        <v>43078</v>
      </c>
      <c r="D267">
        <v>16.16</v>
      </c>
      <c r="E267">
        <v>95.85620939420545</v>
      </c>
      <c r="F267">
        <v>66.801385230709201</v>
      </c>
      <c r="G267">
        <v>3993.2229645093921</v>
      </c>
      <c r="H267">
        <v>77711.893662572184</v>
      </c>
      <c r="I267">
        <v>219.16464970617454</v>
      </c>
    </row>
    <row r="268" spans="2:9" x14ac:dyDescent="0.2">
      <c r="B268" s="1">
        <v>264</v>
      </c>
      <c r="C268" s="15">
        <v>43080</v>
      </c>
      <c r="D268">
        <v>15.14</v>
      </c>
      <c r="E268">
        <v>87.613821334503953</v>
      </c>
      <c r="F268">
        <v>66.303872792898261</v>
      </c>
      <c r="G268">
        <v>3741.1754754128833</v>
      </c>
      <c r="H268">
        <v>71029.680914235636</v>
      </c>
      <c r="I268">
        <v>217.53239105194569</v>
      </c>
    </row>
    <row r="269" spans="2:9" x14ac:dyDescent="0.2">
      <c r="B269" s="1">
        <v>265</v>
      </c>
      <c r="C269" s="15">
        <v>43085</v>
      </c>
      <c r="D269">
        <v>15.49</v>
      </c>
      <c r="E269">
        <v>90.44209174714662</v>
      </c>
      <c r="F269">
        <v>66.47458784508828</v>
      </c>
      <c r="G269">
        <v>3827.6623589263913</v>
      </c>
      <c r="H269">
        <v>73322.597053370715</v>
      </c>
      <c r="I269">
        <v>218.09247980584772</v>
      </c>
    </row>
    <row r="270" spans="2:9" x14ac:dyDescent="0.2">
      <c r="B270" s="1">
        <v>266</v>
      </c>
      <c r="C270" s="15">
        <v>43086</v>
      </c>
      <c r="D270">
        <v>16.27</v>
      </c>
      <c r="E270">
        <v>96.745094381035997</v>
      </c>
      <c r="F270">
        <v>66.855038532826072</v>
      </c>
      <c r="G270">
        <v>4020.4045564707799</v>
      </c>
      <c r="H270">
        <v>78432.524449157499</v>
      </c>
      <c r="I270">
        <v>219.34067760025806</v>
      </c>
    </row>
    <row r="271" spans="2:9" x14ac:dyDescent="0.2">
      <c r="B271" s="1">
        <v>267</v>
      </c>
      <c r="C271" s="15">
        <v>43095</v>
      </c>
      <c r="D271">
        <v>15.11</v>
      </c>
      <c r="E271">
        <v>87.371398156277436</v>
      </c>
      <c r="F271">
        <v>66.289240074139101</v>
      </c>
      <c r="G271">
        <v>3733.7623139688681</v>
      </c>
      <c r="H271">
        <v>70833.145245166917</v>
      </c>
      <c r="I271">
        <v>217.48438344446834</v>
      </c>
    </row>
    <row r="272" spans="2:9" x14ac:dyDescent="0.2">
      <c r="B272" s="1">
        <v>268</v>
      </c>
      <c r="C272" s="15">
        <v>43102</v>
      </c>
      <c r="D272">
        <v>15.9</v>
      </c>
      <c r="E272">
        <v>93.75520851624232</v>
      </c>
      <c r="F272">
        <v>66.674568334796604</v>
      </c>
      <c r="G272">
        <v>3928.975565327929</v>
      </c>
      <c r="H272">
        <v>76008.58453064326</v>
      </c>
      <c r="I272">
        <v>218.74858377470443</v>
      </c>
    </row>
    <row r="273" spans="2:9" x14ac:dyDescent="0.2">
      <c r="B273" s="1">
        <v>269</v>
      </c>
      <c r="C273" s="15">
        <v>43105</v>
      </c>
      <c r="D273">
        <v>15.03</v>
      </c>
      <c r="E273">
        <v>86.724936347673392</v>
      </c>
      <c r="F273">
        <v>66.25021949078139</v>
      </c>
      <c r="G273">
        <v>3713.9938834514946</v>
      </c>
      <c r="H273">
        <v>70309.05012765032</v>
      </c>
      <c r="I273">
        <v>217.35636315786218</v>
      </c>
    </row>
    <row r="274" spans="2:9" x14ac:dyDescent="0.2">
      <c r="B274" s="1">
        <v>270</v>
      </c>
      <c r="C274" s="15">
        <v>43110</v>
      </c>
      <c r="D274">
        <v>15.93</v>
      </c>
      <c r="E274">
        <v>93.997631694468822</v>
      </c>
      <c r="F274">
        <v>66.689201053555749</v>
      </c>
      <c r="G274">
        <v>3936.3887267719438</v>
      </c>
      <c r="H274">
        <v>76205.120199711964</v>
      </c>
      <c r="I274">
        <v>218.79659138218173</v>
      </c>
    </row>
    <row r="275" spans="2:9" x14ac:dyDescent="0.2">
      <c r="B275" s="1">
        <v>271</v>
      </c>
      <c r="C275" s="15">
        <v>43115</v>
      </c>
      <c r="D275">
        <v>14.93</v>
      </c>
      <c r="E275">
        <v>85.91685908691835</v>
      </c>
      <c r="F275">
        <v>66.20144376158423</v>
      </c>
      <c r="G275">
        <v>3689.2833453047783</v>
      </c>
      <c r="H275">
        <v>69653.931230754592</v>
      </c>
      <c r="I275">
        <v>217.19633779960441</v>
      </c>
    </row>
    <row r="276" spans="2:9" x14ac:dyDescent="0.2">
      <c r="B276" s="1">
        <v>272</v>
      </c>
      <c r="C276" s="15">
        <v>43118</v>
      </c>
      <c r="D276">
        <v>15.81</v>
      </c>
      <c r="E276">
        <v>93.027938981562784</v>
      </c>
      <c r="F276">
        <v>66.630670178519168</v>
      </c>
      <c r="G276">
        <v>3906.7360809958836</v>
      </c>
      <c r="H276">
        <v>75418.977523437105</v>
      </c>
      <c r="I276">
        <v>218.60456095227246</v>
      </c>
    </row>
    <row r="277" spans="2:9" x14ac:dyDescent="0.2">
      <c r="B277" s="1">
        <v>273</v>
      </c>
      <c r="C277" s="15">
        <v>43120</v>
      </c>
      <c r="D277">
        <v>14.95</v>
      </c>
      <c r="E277">
        <v>86.078474539069347</v>
      </c>
      <c r="F277">
        <v>66.211198907423665</v>
      </c>
      <c r="G277">
        <v>3694.2254529341212</v>
      </c>
      <c r="H277">
        <v>69784.955010133708</v>
      </c>
      <c r="I277">
        <v>217.22834287125599</v>
      </c>
    </row>
    <row r="278" spans="2:9" x14ac:dyDescent="0.2">
      <c r="B278" s="1">
        <v>274</v>
      </c>
      <c r="C278" s="15">
        <v>43125</v>
      </c>
      <c r="D278">
        <v>14.62</v>
      </c>
      <c r="E278">
        <v>83.411819578577692</v>
      </c>
      <c r="F278">
        <v>66.050239001073066</v>
      </c>
      <c r="G278">
        <v>3612.680677049957</v>
      </c>
      <c r="H278">
        <v>67623.062650377775</v>
      </c>
      <c r="I278">
        <v>216.70025918900546</v>
      </c>
    </row>
    <row r="279" spans="2:9" x14ac:dyDescent="0.2">
      <c r="B279" s="1">
        <v>275</v>
      </c>
      <c r="C279" s="15">
        <v>43126</v>
      </c>
      <c r="D279">
        <v>14.95</v>
      </c>
      <c r="E279">
        <v>86.078474539069347</v>
      </c>
      <c r="F279">
        <v>66.211198907423665</v>
      </c>
      <c r="G279">
        <v>3694.2254529341212</v>
      </c>
      <c r="H279">
        <v>69784.955010133708</v>
      </c>
      <c r="I279">
        <v>217.22834287125599</v>
      </c>
    </row>
    <row r="280" spans="2:9" x14ac:dyDescent="0.2">
      <c r="B280" s="1">
        <v>276</v>
      </c>
      <c r="C280" s="15">
        <v>43134</v>
      </c>
      <c r="D280">
        <v>14.83</v>
      </c>
      <c r="E280">
        <v>85.108781826163295</v>
      </c>
      <c r="F280">
        <v>66.152668032387083</v>
      </c>
      <c r="G280">
        <v>3664.572807158062</v>
      </c>
      <c r="H280">
        <v>68998.812333858834</v>
      </c>
      <c r="I280">
        <v>217.03631244134669</v>
      </c>
    </row>
    <row r="281" spans="2:9" x14ac:dyDescent="0.2">
      <c r="B281" s="1">
        <v>277</v>
      </c>
      <c r="C281" s="15">
        <v>43135</v>
      </c>
      <c r="D281">
        <v>14.46</v>
      </c>
      <c r="E281">
        <v>82.12991075794622</v>
      </c>
      <c r="F281">
        <v>65.969030154849222</v>
      </c>
      <c r="G281">
        <v>3573.1438160152111</v>
      </c>
      <c r="H281">
        <v>66583.802256256167</v>
      </c>
      <c r="I281">
        <v>216.43382596648738</v>
      </c>
    </row>
    <row r="282" spans="2:9" x14ac:dyDescent="0.2">
      <c r="B282" s="1">
        <v>278</v>
      </c>
      <c r="C282" s="15">
        <v>43140</v>
      </c>
      <c r="D282">
        <v>14.47</v>
      </c>
      <c r="E282">
        <v>82.20878606356969</v>
      </c>
      <c r="F282">
        <v>65.974463461016029</v>
      </c>
      <c r="G282">
        <v>3575.6148698298825</v>
      </c>
      <c r="H282">
        <v>66647.747507189328</v>
      </c>
      <c r="I282">
        <v>216.45165177412119</v>
      </c>
    </row>
    <row r="283" spans="2:9" x14ac:dyDescent="0.2">
      <c r="B283" s="1">
        <v>279</v>
      </c>
      <c r="C283" s="15">
        <v>43150</v>
      </c>
      <c r="D283">
        <v>14.47</v>
      </c>
      <c r="E283">
        <v>82.20878606356969</v>
      </c>
      <c r="F283">
        <v>65.974463461016029</v>
      </c>
      <c r="G283">
        <v>3575.6148698298825</v>
      </c>
      <c r="H283">
        <v>66647.747507189328</v>
      </c>
      <c r="I283">
        <v>216.45165177412119</v>
      </c>
    </row>
    <row r="284" spans="2:9" x14ac:dyDescent="0.2">
      <c r="B284" s="1">
        <v>280</v>
      </c>
      <c r="C284" s="15">
        <v>43150</v>
      </c>
      <c r="D284">
        <v>14.49</v>
      </c>
      <c r="E284">
        <v>82.366536674816629</v>
      </c>
      <c r="F284">
        <v>65.98533007334963</v>
      </c>
      <c r="G284">
        <v>3580.5569774592259</v>
      </c>
      <c r="H284">
        <v>66775.638009055649</v>
      </c>
      <c r="I284">
        <v>216.48730338938876</v>
      </c>
    </row>
    <row r="285" spans="2:9" x14ac:dyDescent="0.2">
      <c r="B285" s="1">
        <v>281</v>
      </c>
      <c r="C285" s="15">
        <v>43158</v>
      </c>
      <c r="D285">
        <v>15.59</v>
      </c>
      <c r="E285">
        <v>91.250169007901661</v>
      </c>
      <c r="F285">
        <v>66.52336357428544</v>
      </c>
      <c r="G285">
        <v>3852.3728970731072</v>
      </c>
      <c r="H285">
        <v>73977.715950266444</v>
      </c>
      <c r="I285">
        <v>218.25250516410549</v>
      </c>
    </row>
    <row r="286" spans="2:9" x14ac:dyDescent="0.2">
      <c r="B286" s="1">
        <v>282</v>
      </c>
      <c r="C286" s="15">
        <v>43160</v>
      </c>
      <c r="D286">
        <v>14.44</v>
      </c>
      <c r="E286">
        <v>81.972160146699267</v>
      </c>
      <c r="F286">
        <v>65.958163542515621</v>
      </c>
      <c r="G286">
        <v>3568.2017083858673</v>
      </c>
      <c r="H286">
        <v>66455.911754389832</v>
      </c>
      <c r="I286">
        <v>216.39817435121978</v>
      </c>
    </row>
    <row r="287" spans="2:9" x14ac:dyDescent="0.2">
      <c r="B287" s="1">
        <v>283</v>
      </c>
      <c r="C287" s="15">
        <v>43165</v>
      </c>
      <c r="D287">
        <v>15.03</v>
      </c>
      <c r="E287">
        <v>86.724936347673392</v>
      </c>
      <c r="F287">
        <v>66.25021949078139</v>
      </c>
      <c r="G287">
        <v>3713.9938834514946</v>
      </c>
      <c r="H287">
        <v>70309.05012765032</v>
      </c>
      <c r="I287">
        <v>217.35636315786218</v>
      </c>
    </row>
    <row r="288" spans="2:9" x14ac:dyDescent="0.2">
      <c r="B288" s="1">
        <v>284</v>
      </c>
      <c r="C288" s="15">
        <v>43166</v>
      </c>
      <c r="D288">
        <v>15.81</v>
      </c>
      <c r="E288">
        <v>93.027938981562784</v>
      </c>
      <c r="F288">
        <v>66.630670178519168</v>
      </c>
      <c r="G288">
        <v>3906.7360809958836</v>
      </c>
      <c r="H288">
        <v>75418.977523437105</v>
      </c>
      <c r="I288">
        <v>218.60456095227246</v>
      </c>
    </row>
    <row r="289" spans="2:9" x14ac:dyDescent="0.2">
      <c r="B289" s="1">
        <v>285</v>
      </c>
      <c r="C289" s="15">
        <v>43170</v>
      </c>
      <c r="D289">
        <v>14.68</v>
      </c>
      <c r="E289">
        <v>83.896665935030725</v>
      </c>
      <c r="F289">
        <v>66.079504438591357</v>
      </c>
      <c r="G289">
        <v>3627.5069999379871</v>
      </c>
      <c r="H289">
        <v>68016.133988515227</v>
      </c>
      <c r="I289">
        <v>216.79627440396013</v>
      </c>
    </row>
    <row r="290" spans="2:9" x14ac:dyDescent="0.2">
      <c r="B290" s="1">
        <v>286</v>
      </c>
      <c r="C290" s="15">
        <v>43174</v>
      </c>
      <c r="D290">
        <v>14.93</v>
      </c>
      <c r="E290">
        <v>85.91685908691835</v>
      </c>
      <c r="F290">
        <v>66.20144376158423</v>
      </c>
      <c r="G290">
        <v>3689.2833453047783</v>
      </c>
      <c r="H290">
        <v>69653.931230754592</v>
      </c>
      <c r="I290">
        <v>217.19633779960441</v>
      </c>
    </row>
    <row r="291" spans="2:9" x14ac:dyDescent="0.2">
      <c r="B291" s="1">
        <v>287</v>
      </c>
      <c r="C291" s="15">
        <v>43175</v>
      </c>
      <c r="D291">
        <v>14.63</v>
      </c>
      <c r="E291">
        <v>83.492627304653212</v>
      </c>
      <c r="F291">
        <v>66.055116573992777</v>
      </c>
      <c r="G291">
        <v>3615.1517308646289</v>
      </c>
      <c r="H291">
        <v>67688.574540067362</v>
      </c>
      <c r="I291">
        <v>216.71626172483124</v>
      </c>
    </row>
    <row r="292" spans="2:9" x14ac:dyDescent="0.2">
      <c r="B292" s="1">
        <v>288</v>
      </c>
      <c r="C292" s="15">
        <v>43180</v>
      </c>
      <c r="D292">
        <v>14.56</v>
      </c>
      <c r="E292">
        <v>82.926973222124673</v>
      </c>
      <c r="F292">
        <v>66.020973563554776</v>
      </c>
      <c r="G292">
        <v>3597.8543541619274</v>
      </c>
      <c r="H292">
        <v>67229.991312240352</v>
      </c>
      <c r="I292">
        <v>216.60424397405083</v>
      </c>
    </row>
    <row r="293" spans="2:9" x14ac:dyDescent="0.2">
      <c r="B293" s="1">
        <v>289</v>
      </c>
      <c r="C293" s="15">
        <v>43182</v>
      </c>
      <c r="D293">
        <v>14.53</v>
      </c>
      <c r="E293">
        <v>82.684550043898156</v>
      </c>
      <c r="F293">
        <v>66.006340844795631</v>
      </c>
      <c r="G293">
        <v>3590.4411927179121</v>
      </c>
      <c r="H293">
        <v>67033.455643171619</v>
      </c>
      <c r="I293">
        <v>216.55623636657353</v>
      </c>
    </row>
    <row r="294" spans="2:9" x14ac:dyDescent="0.2">
      <c r="B294" s="1">
        <v>290</v>
      </c>
      <c r="C294" s="15">
        <v>43185</v>
      </c>
      <c r="D294">
        <v>14.24</v>
      </c>
      <c r="E294">
        <v>80.394654034229831</v>
      </c>
      <c r="F294">
        <v>65.849497419179571</v>
      </c>
      <c r="G294">
        <v>3518.7806320924342</v>
      </c>
      <c r="H294">
        <v>65177.006735726602</v>
      </c>
      <c r="I294">
        <v>216.04165819854387</v>
      </c>
    </row>
    <row r="295" spans="2:9" x14ac:dyDescent="0.2">
      <c r="B295" s="1">
        <v>291</v>
      </c>
      <c r="C295" s="15">
        <v>43190</v>
      </c>
      <c r="D295">
        <v>14.47</v>
      </c>
      <c r="E295">
        <v>82.20878606356969</v>
      </c>
      <c r="F295">
        <v>65.974463461016029</v>
      </c>
      <c r="G295">
        <v>3575.6148698298825</v>
      </c>
      <c r="H295">
        <v>66647.747507189328</v>
      </c>
      <c r="I295">
        <v>216.45165177412119</v>
      </c>
    </row>
    <row r="296" spans="2:9" x14ac:dyDescent="0.2">
      <c r="B296" s="1">
        <v>292</v>
      </c>
      <c r="C296" s="15">
        <v>43190</v>
      </c>
      <c r="D296">
        <v>14.44</v>
      </c>
      <c r="E296">
        <v>81.972160146699267</v>
      </c>
      <c r="F296">
        <v>65.958163542515621</v>
      </c>
      <c r="G296">
        <v>3568.2017083858673</v>
      </c>
      <c r="H296">
        <v>66455.911754389832</v>
      </c>
      <c r="I296">
        <v>216.39817435121978</v>
      </c>
    </row>
    <row r="297" spans="2:9" x14ac:dyDescent="0.2">
      <c r="B297" s="1">
        <v>293</v>
      </c>
      <c r="C297" s="15">
        <v>43195</v>
      </c>
      <c r="D297">
        <v>14.32</v>
      </c>
      <c r="E297">
        <v>81.025656479217602</v>
      </c>
      <c r="F297">
        <v>65.892963868513988</v>
      </c>
      <c r="G297">
        <v>3538.5490626098076</v>
      </c>
      <c r="H297">
        <v>65688.568743191892</v>
      </c>
      <c r="I297">
        <v>216.18426465961423</v>
      </c>
    </row>
    <row r="298" spans="2:9" x14ac:dyDescent="0.2">
      <c r="B298" s="1">
        <v>294</v>
      </c>
      <c r="C298" s="15">
        <v>43198</v>
      </c>
      <c r="D298">
        <v>14.35</v>
      </c>
      <c r="E298">
        <v>81.262282396088011</v>
      </c>
      <c r="F298">
        <v>65.909263787014396</v>
      </c>
      <c r="G298">
        <v>3545.9622240538224</v>
      </c>
      <c r="H298">
        <v>65880.404495991374</v>
      </c>
      <c r="I298">
        <v>216.23774208251564</v>
      </c>
    </row>
    <row r="299" spans="2:9" x14ac:dyDescent="0.2">
      <c r="B299" s="1">
        <v>295</v>
      </c>
      <c r="C299" s="15">
        <v>43205</v>
      </c>
      <c r="D299">
        <v>14.01</v>
      </c>
      <c r="E299">
        <v>78.580522004889971</v>
      </c>
      <c r="F299">
        <v>65.724531377343112</v>
      </c>
      <c r="G299">
        <v>3461.9463943549863</v>
      </c>
      <c r="H299">
        <v>63706.26596426389</v>
      </c>
      <c r="I299">
        <v>215.63166462296658</v>
      </c>
    </row>
    <row r="300" spans="2:9" x14ac:dyDescent="0.2">
      <c r="B300" s="1">
        <v>296</v>
      </c>
      <c r="C300" s="15">
        <v>43206</v>
      </c>
      <c r="D300">
        <v>14</v>
      </c>
      <c r="E300">
        <v>78.501646699266502</v>
      </c>
      <c r="F300">
        <v>65.719098071176305</v>
      </c>
      <c r="G300">
        <v>3459.4753405403148</v>
      </c>
      <c r="H300">
        <v>63642.32071333073</v>
      </c>
      <c r="I300">
        <v>215.61383881533277</v>
      </c>
    </row>
    <row r="301" spans="2:9" x14ac:dyDescent="0.2">
      <c r="B301" s="1">
        <v>297</v>
      </c>
      <c r="C301" s="15">
        <v>43210</v>
      </c>
      <c r="D301">
        <v>15.87</v>
      </c>
      <c r="E301">
        <v>93.512785338015789</v>
      </c>
      <c r="F301">
        <v>66.659935616037458</v>
      </c>
      <c r="G301">
        <v>3921.5624038839132</v>
      </c>
      <c r="H301">
        <v>75812.048861574513</v>
      </c>
      <c r="I301">
        <v>218.7005761672271</v>
      </c>
    </row>
    <row r="302" spans="2:9" x14ac:dyDescent="0.2">
      <c r="B302" s="1">
        <v>298</v>
      </c>
      <c r="C302" s="15">
        <v>43214</v>
      </c>
      <c r="D302">
        <v>15.07</v>
      </c>
      <c r="E302">
        <v>87.048167251975414</v>
      </c>
      <c r="F302">
        <v>66.269729782460246</v>
      </c>
      <c r="G302">
        <v>3723.8780987101813</v>
      </c>
      <c r="H302">
        <v>70571.097686408611</v>
      </c>
      <c r="I302">
        <v>217.42037330116526</v>
      </c>
    </row>
    <row r="303" spans="2:9" x14ac:dyDescent="0.2">
      <c r="B303" s="1">
        <v>299</v>
      </c>
      <c r="C303" s="15">
        <v>43215</v>
      </c>
      <c r="D303">
        <v>14.68</v>
      </c>
      <c r="E303">
        <v>83.896665935030725</v>
      </c>
      <c r="F303">
        <v>66.079504438591357</v>
      </c>
      <c r="G303">
        <v>3627.5069999379871</v>
      </c>
      <c r="H303">
        <v>68016.133988515227</v>
      </c>
      <c r="I303">
        <v>216.79627440396013</v>
      </c>
    </row>
    <row r="304" spans="2:9" x14ac:dyDescent="0.2">
      <c r="B304" s="1">
        <v>300</v>
      </c>
      <c r="C304" s="15">
        <v>43220</v>
      </c>
      <c r="D304">
        <v>14.75</v>
      </c>
      <c r="E304">
        <v>84.462320017559264</v>
      </c>
      <c r="F304">
        <v>66.113647449029358</v>
      </c>
      <c r="G304">
        <v>3644.8043766406886</v>
      </c>
      <c r="H304">
        <v>68474.717216342236</v>
      </c>
      <c r="I304">
        <v>216.90829215474051</v>
      </c>
    </row>
    <row r="305" spans="2:9" x14ac:dyDescent="0.2">
      <c r="B305" s="1">
        <v>301</v>
      </c>
      <c r="C305" s="15">
        <v>43222</v>
      </c>
      <c r="D305">
        <v>14.6</v>
      </c>
      <c r="E305">
        <v>83.250204126426681</v>
      </c>
      <c r="F305">
        <v>66.040483855233632</v>
      </c>
      <c r="G305">
        <v>3607.7385694206137</v>
      </c>
      <c r="H305">
        <v>67492.038870998629</v>
      </c>
      <c r="I305">
        <v>216.66825411735391</v>
      </c>
    </row>
    <row r="306" spans="2:9" x14ac:dyDescent="0.2">
      <c r="B306" s="1">
        <v>302</v>
      </c>
      <c r="C306" s="15">
        <v>43230</v>
      </c>
      <c r="D306">
        <v>14.41</v>
      </c>
      <c r="E306">
        <v>81.735534229828858</v>
      </c>
      <c r="F306">
        <v>65.941863624015213</v>
      </c>
      <c r="G306">
        <v>3560.7885469418525</v>
      </c>
      <c r="H306">
        <v>66264.076001590351</v>
      </c>
      <c r="I306">
        <v>216.3446969283184</v>
      </c>
    </row>
    <row r="307" spans="2:9" x14ac:dyDescent="0.2">
      <c r="B307" s="1">
        <v>303</v>
      </c>
      <c r="C307" s="15">
        <v>43235</v>
      </c>
      <c r="D307">
        <v>14.38</v>
      </c>
      <c r="E307">
        <v>81.498908312958434</v>
      </c>
      <c r="F307">
        <v>65.925563705514804</v>
      </c>
      <c r="G307">
        <v>3553.3753854978377</v>
      </c>
      <c r="H307">
        <v>66072.240248790855</v>
      </c>
      <c r="I307">
        <v>216.29121950541702</v>
      </c>
    </row>
    <row r="308" spans="2:9" x14ac:dyDescent="0.2">
      <c r="B308" s="1">
        <v>304</v>
      </c>
      <c r="C308" s="15">
        <v>43270</v>
      </c>
      <c r="D308">
        <v>13.28</v>
      </c>
      <c r="E308">
        <v>72.822624694376515</v>
      </c>
      <c r="F308">
        <v>65.327900027166535</v>
      </c>
      <c r="G308">
        <v>3281.5594658839555</v>
      </c>
      <c r="H308">
        <v>59038.262646143099</v>
      </c>
      <c r="I308">
        <v>214.33038066569955</v>
      </c>
    </row>
    <row r="309" spans="2:9" x14ac:dyDescent="0.2">
      <c r="B309" s="1">
        <v>305</v>
      </c>
      <c r="C309" s="15">
        <v>43278</v>
      </c>
      <c r="D309">
        <v>13.3</v>
      </c>
      <c r="E309">
        <v>72.980375305623468</v>
      </c>
      <c r="F309">
        <v>65.338766639500136</v>
      </c>
      <c r="G309">
        <v>3286.5015735132993</v>
      </c>
      <c r="H309">
        <v>59166.153148009427</v>
      </c>
      <c r="I309">
        <v>214.36603228096715</v>
      </c>
    </row>
    <row r="310" spans="2:9" x14ac:dyDescent="0.2">
      <c r="B310" s="1">
        <v>306</v>
      </c>
      <c r="C310" s="15">
        <v>43294</v>
      </c>
      <c r="D310">
        <v>12.97</v>
      </c>
      <c r="E310">
        <v>70.377490220048898</v>
      </c>
      <c r="F310">
        <v>65.15946753599566</v>
      </c>
      <c r="G310">
        <v>3204.9567976291341</v>
      </c>
      <c r="H310">
        <v>57055.959867215104</v>
      </c>
      <c r="I310">
        <v>213.77778062905193</v>
      </c>
    </row>
    <row r="311" spans="2:9" x14ac:dyDescent="0.2">
      <c r="B311" s="1">
        <v>307</v>
      </c>
      <c r="C311" s="15">
        <v>43302</v>
      </c>
      <c r="D311">
        <v>13.18</v>
      </c>
      <c r="E311">
        <v>72.033871638141804</v>
      </c>
      <c r="F311">
        <v>65.273566965498503</v>
      </c>
      <c r="G311">
        <v>3256.8489277372391</v>
      </c>
      <c r="H311">
        <v>58398.810136811488</v>
      </c>
      <c r="I311">
        <v>214.1521225893616</v>
      </c>
    </row>
    <row r="312" spans="2:9" x14ac:dyDescent="0.2">
      <c r="B312" s="1">
        <v>308</v>
      </c>
      <c r="C312" s="15">
        <v>43310</v>
      </c>
      <c r="D312">
        <v>14.36</v>
      </c>
      <c r="E312">
        <v>81.341157701711481</v>
      </c>
      <c r="F312">
        <v>65.914697093181204</v>
      </c>
      <c r="G312">
        <v>3548.4332778684939</v>
      </c>
      <c r="H312">
        <v>65944.349746924534</v>
      </c>
      <c r="I312">
        <v>216.25556789014945</v>
      </c>
    </row>
    <row r="313" spans="2:9" x14ac:dyDescent="0.2">
      <c r="B313" s="1">
        <v>309</v>
      </c>
      <c r="C313" s="15">
        <v>43310</v>
      </c>
      <c r="D313">
        <v>14.18</v>
      </c>
      <c r="E313">
        <v>79.921402200488998</v>
      </c>
      <c r="F313">
        <v>65.816897582178754</v>
      </c>
      <c r="G313">
        <v>3503.9543092044046</v>
      </c>
      <c r="H313">
        <v>64793.335230127632</v>
      </c>
      <c r="I313">
        <v>215.93470335274111</v>
      </c>
    </row>
    <row r="314" spans="2:9" x14ac:dyDescent="0.2">
      <c r="B314" s="1">
        <v>310</v>
      </c>
      <c r="C314" s="15">
        <v>43330</v>
      </c>
      <c r="D314">
        <v>14.68</v>
      </c>
      <c r="E314">
        <v>83.896665935030725</v>
      </c>
      <c r="F314">
        <v>66.079504438591357</v>
      </c>
      <c r="G314">
        <v>3627.5069999379871</v>
      </c>
      <c r="H314">
        <v>68016.133988515227</v>
      </c>
      <c r="I314">
        <v>216.79627440396013</v>
      </c>
    </row>
    <row r="315" spans="2:9" x14ac:dyDescent="0.2">
      <c r="B315" s="1">
        <v>311</v>
      </c>
      <c r="C315" s="15">
        <v>43334</v>
      </c>
      <c r="D315">
        <v>14.65</v>
      </c>
      <c r="E315">
        <v>83.654242756804223</v>
      </c>
      <c r="F315">
        <v>66.064871719832212</v>
      </c>
      <c r="G315">
        <v>3620.0938384939723</v>
      </c>
      <c r="H315">
        <v>67819.598319446508</v>
      </c>
      <c r="I315">
        <v>216.7482667964828</v>
      </c>
    </row>
    <row r="316" spans="2:9" x14ac:dyDescent="0.2">
      <c r="B316" s="1">
        <v>312</v>
      </c>
      <c r="C316" s="15">
        <v>43345</v>
      </c>
      <c r="D316">
        <v>14.04</v>
      </c>
      <c r="E316">
        <v>78.81714792176038</v>
      </c>
      <c r="F316">
        <v>65.74083129584352</v>
      </c>
      <c r="G316">
        <v>3469.3595557990011</v>
      </c>
      <c r="H316">
        <v>63898.101717063364</v>
      </c>
      <c r="I316">
        <v>215.68514204586799</v>
      </c>
    </row>
    <row r="317" spans="2:9" x14ac:dyDescent="0.2">
      <c r="B317" s="1">
        <v>313</v>
      </c>
      <c r="C317" s="15">
        <v>43350</v>
      </c>
      <c r="D317">
        <v>13.94</v>
      </c>
      <c r="E317">
        <v>78.028394865525669</v>
      </c>
      <c r="F317">
        <v>65.686498234175502</v>
      </c>
      <c r="G317">
        <v>3444.6490176522848</v>
      </c>
      <c r="H317">
        <v>63258.64920773176</v>
      </c>
      <c r="I317">
        <v>215.50688396953007</v>
      </c>
    </row>
    <row r="318" spans="2:9" x14ac:dyDescent="0.2">
      <c r="B318" s="1">
        <v>314</v>
      </c>
      <c r="C318" s="15">
        <v>43350</v>
      </c>
      <c r="D318">
        <v>13.96</v>
      </c>
      <c r="E318">
        <v>78.186145476772623</v>
      </c>
      <c r="F318">
        <v>65.697364846509103</v>
      </c>
      <c r="G318">
        <v>3449.5911252816281</v>
      </c>
      <c r="H318">
        <v>63386.539709598095</v>
      </c>
      <c r="I318">
        <v>215.54253558479763</v>
      </c>
    </row>
    <row r="319" spans="2:9" x14ac:dyDescent="0.2">
      <c r="B319" s="1">
        <v>315</v>
      </c>
      <c r="C319" s="15">
        <v>43358</v>
      </c>
      <c r="D319">
        <v>13.95</v>
      </c>
      <c r="E319">
        <v>78.107270171149139</v>
      </c>
      <c r="F319">
        <v>65.691931540342296</v>
      </c>
      <c r="G319">
        <v>3447.1200714669562</v>
      </c>
      <c r="H319">
        <v>63322.59445866492</v>
      </c>
      <c r="I319">
        <v>215.52470977716382</v>
      </c>
    </row>
    <row r="320" spans="2:9" x14ac:dyDescent="0.2">
      <c r="B320" s="1">
        <v>316</v>
      </c>
      <c r="C320" s="15">
        <v>43360</v>
      </c>
      <c r="D320">
        <v>13.5</v>
      </c>
      <c r="E320">
        <v>74.557881418092904</v>
      </c>
      <c r="F320">
        <v>65.447432762836186</v>
      </c>
      <c r="G320">
        <v>3335.9226498067324</v>
      </c>
      <c r="H320">
        <v>60445.058166672658</v>
      </c>
      <c r="I320">
        <v>214.72254843364306</v>
      </c>
    </row>
    <row r="321" spans="2:9" x14ac:dyDescent="0.2">
      <c r="B321" s="1">
        <v>317</v>
      </c>
      <c r="C321" s="15">
        <v>43365</v>
      </c>
      <c r="D321">
        <v>13.46</v>
      </c>
      <c r="E321">
        <v>74.242380195599026</v>
      </c>
      <c r="F321">
        <v>65.425699538168971</v>
      </c>
      <c r="G321">
        <v>3326.0384345480456</v>
      </c>
      <c r="H321">
        <v>60189.277162940016</v>
      </c>
      <c r="I321">
        <v>214.65124520310783</v>
      </c>
    </row>
    <row r="322" spans="2:9" x14ac:dyDescent="0.2">
      <c r="B322" s="1">
        <v>318</v>
      </c>
      <c r="C322" s="15">
        <v>43366</v>
      </c>
      <c r="D322">
        <v>13.36</v>
      </c>
      <c r="E322">
        <v>73.453627139364301</v>
      </c>
      <c r="F322">
        <v>65.371366476500953</v>
      </c>
      <c r="G322">
        <v>3301.3278964013289</v>
      </c>
      <c r="H322">
        <v>59549.824653608397</v>
      </c>
      <c r="I322">
        <v>214.47298712676991</v>
      </c>
    </row>
    <row r="323" spans="2:9" x14ac:dyDescent="0.2">
      <c r="B323" s="1">
        <v>319</v>
      </c>
      <c r="C323" s="15">
        <v>43370</v>
      </c>
      <c r="D323">
        <v>13.44</v>
      </c>
      <c r="E323">
        <v>74.084629584352072</v>
      </c>
      <c r="F323">
        <v>65.41483292583537</v>
      </c>
      <c r="G323">
        <v>3321.0963269187023</v>
      </c>
      <c r="H323">
        <v>60061.38666107368</v>
      </c>
      <c r="I323">
        <v>214.61559358784027</v>
      </c>
    </row>
    <row r="324" spans="2:9" x14ac:dyDescent="0.2">
      <c r="B324" s="1">
        <v>320</v>
      </c>
      <c r="C324" s="15">
        <v>43374</v>
      </c>
      <c r="D324">
        <v>14.43</v>
      </c>
      <c r="E324">
        <v>81.893284841075797</v>
      </c>
      <c r="F324">
        <v>65.952730236348813</v>
      </c>
      <c r="G324">
        <v>3565.7306545711958</v>
      </c>
      <c r="H324">
        <v>66391.966503456671</v>
      </c>
      <c r="I324">
        <v>216.38034854358597</v>
      </c>
    </row>
    <row r="325" spans="2:9" x14ac:dyDescent="0.2">
      <c r="B325" s="1">
        <v>321</v>
      </c>
      <c r="C325" s="15">
        <v>43375</v>
      </c>
      <c r="D325">
        <v>14.34</v>
      </c>
      <c r="E325">
        <v>81.183407090464542</v>
      </c>
      <c r="F325">
        <v>65.903830480847603</v>
      </c>
      <c r="G325">
        <v>3543.4911702391505</v>
      </c>
      <c r="H325">
        <v>65816.459245058199</v>
      </c>
      <c r="I325">
        <v>216.21991627488185</v>
      </c>
    </row>
    <row r="326" spans="2:9" x14ac:dyDescent="0.2">
      <c r="B326" s="1">
        <v>322</v>
      </c>
      <c r="C326" s="15">
        <v>43380</v>
      </c>
      <c r="D326">
        <v>14.03</v>
      </c>
      <c r="E326">
        <v>78.738272616136911</v>
      </c>
      <c r="F326">
        <v>65.735397989676713</v>
      </c>
      <c r="G326">
        <v>3466.8885019843297</v>
      </c>
      <c r="H326">
        <v>63834.156466130204</v>
      </c>
      <c r="I326">
        <v>215.66731623823418</v>
      </c>
    </row>
    <row r="327" spans="2:9" x14ac:dyDescent="0.2">
      <c r="B327" s="1">
        <v>323</v>
      </c>
      <c r="C327" s="15">
        <v>43382</v>
      </c>
      <c r="D327">
        <v>14.42</v>
      </c>
      <c r="E327">
        <v>81.814409535452327</v>
      </c>
      <c r="F327">
        <v>65.94729693018202</v>
      </c>
      <c r="G327">
        <v>3563.2596007565239</v>
      </c>
      <c r="H327">
        <v>66328.021252523511</v>
      </c>
      <c r="I327">
        <v>216.36252273595221</v>
      </c>
    </row>
    <row r="328" spans="2:9" x14ac:dyDescent="0.2">
      <c r="B328" s="1">
        <v>324</v>
      </c>
      <c r="C328" s="15">
        <v>43385</v>
      </c>
      <c r="D328">
        <v>14.16</v>
      </c>
      <c r="E328">
        <v>79.763651589242059</v>
      </c>
      <c r="F328">
        <v>65.806030969845153</v>
      </c>
      <c r="G328">
        <v>3499.0122015750612</v>
      </c>
      <c r="H328">
        <v>64665.444728261318</v>
      </c>
      <c r="I328">
        <v>215.89905173747354</v>
      </c>
    </row>
    <row r="329" spans="2:9" x14ac:dyDescent="0.2">
      <c r="B329" s="1">
        <v>325</v>
      </c>
      <c r="C329" s="15">
        <v>43390</v>
      </c>
      <c r="D329">
        <v>14.85</v>
      </c>
      <c r="E329">
        <v>85.270397278314306</v>
      </c>
      <c r="F329">
        <v>66.162423178226518</v>
      </c>
      <c r="G329">
        <v>3669.5149147874054</v>
      </c>
      <c r="H329">
        <v>69129.83611323798</v>
      </c>
      <c r="I329">
        <v>217.06831751299828</v>
      </c>
    </row>
    <row r="330" spans="2:9" x14ac:dyDescent="0.2">
      <c r="B330" s="1">
        <v>326</v>
      </c>
      <c r="C330" s="15">
        <v>43390</v>
      </c>
      <c r="D330">
        <v>14.34</v>
      </c>
      <c r="E330">
        <v>81.183407090464542</v>
      </c>
      <c r="F330">
        <v>65.903830480847603</v>
      </c>
      <c r="G330">
        <v>3543.4911702391505</v>
      </c>
      <c r="H330">
        <v>65816.459245058199</v>
      </c>
      <c r="I330">
        <v>216.21991627488185</v>
      </c>
    </row>
    <row r="331" spans="2:9" x14ac:dyDescent="0.2">
      <c r="B331" s="1">
        <v>327</v>
      </c>
      <c r="C331" s="15">
        <v>43395</v>
      </c>
      <c r="D331">
        <v>13.94</v>
      </c>
      <c r="E331">
        <v>78.028394865525669</v>
      </c>
      <c r="F331">
        <v>65.686498234175502</v>
      </c>
      <c r="G331">
        <v>3444.6490176522848</v>
      </c>
      <c r="H331">
        <v>63258.64920773176</v>
      </c>
      <c r="I331">
        <v>215.50688396953007</v>
      </c>
    </row>
    <row r="332" spans="2:9" x14ac:dyDescent="0.2">
      <c r="B332" s="1">
        <v>328</v>
      </c>
      <c r="C332" s="15">
        <v>43398</v>
      </c>
      <c r="D332">
        <v>14.23</v>
      </c>
      <c r="E332">
        <v>80.315778728606361</v>
      </c>
      <c r="F332">
        <v>65.844064113012763</v>
      </c>
      <c r="G332">
        <v>3516.3095782777627</v>
      </c>
      <c r="H332">
        <v>65113.061484793441</v>
      </c>
      <c r="I332">
        <v>216.02383239091009</v>
      </c>
    </row>
    <row r="333" spans="2:9" x14ac:dyDescent="0.2">
      <c r="B333" s="1">
        <v>329</v>
      </c>
      <c r="C333" s="15">
        <v>43400</v>
      </c>
      <c r="D333">
        <v>14.17</v>
      </c>
      <c r="E333">
        <v>79.842526894865529</v>
      </c>
      <c r="F333">
        <v>65.811464276011947</v>
      </c>
      <c r="G333">
        <v>3501.4832553897331</v>
      </c>
      <c r="H333">
        <v>64729.389979194471</v>
      </c>
      <c r="I333">
        <v>215.9168775451073</v>
      </c>
    </row>
    <row r="334" spans="2:9" x14ac:dyDescent="0.2">
      <c r="B334" s="1">
        <v>330</v>
      </c>
      <c r="C334" s="15">
        <v>43405</v>
      </c>
      <c r="D334">
        <v>13.95</v>
      </c>
      <c r="E334">
        <v>78.107270171149139</v>
      </c>
      <c r="F334">
        <v>65.691931540342296</v>
      </c>
      <c r="G334">
        <v>3447.1200714669562</v>
      </c>
      <c r="H334">
        <v>63322.59445866492</v>
      </c>
      <c r="I334">
        <v>215.52470977716382</v>
      </c>
    </row>
    <row r="335" spans="2:9" x14ac:dyDescent="0.2">
      <c r="B335" s="1">
        <v>331</v>
      </c>
      <c r="C335" s="15">
        <v>43406</v>
      </c>
      <c r="D335">
        <v>14.09</v>
      </c>
      <c r="E335">
        <v>79.211524449877743</v>
      </c>
      <c r="F335">
        <v>65.767997826677529</v>
      </c>
      <c r="G335">
        <v>3481.7148248723597</v>
      </c>
      <c r="H335">
        <v>64217.827971729173</v>
      </c>
      <c r="I335">
        <v>215.77427108403694</v>
      </c>
    </row>
    <row r="336" spans="2:9" x14ac:dyDescent="0.2">
      <c r="B336" s="1">
        <v>332</v>
      </c>
      <c r="C336" s="15">
        <v>43410</v>
      </c>
      <c r="D336">
        <v>13.42</v>
      </c>
      <c r="E336">
        <v>73.926878973105133</v>
      </c>
      <c r="F336">
        <v>65.403966313501769</v>
      </c>
      <c r="G336">
        <v>3316.1542192893589</v>
      </c>
      <c r="H336">
        <v>59933.496159207367</v>
      </c>
      <c r="I336">
        <v>214.5799419725727</v>
      </c>
    </row>
    <row r="337" spans="2:9" x14ac:dyDescent="0.2">
      <c r="B337" s="1">
        <v>333</v>
      </c>
      <c r="C337" s="15">
        <v>43414</v>
      </c>
      <c r="D337">
        <v>13.64</v>
      </c>
      <c r="E337">
        <v>75.662135696821522</v>
      </c>
      <c r="F337">
        <v>65.52349904917142</v>
      </c>
      <c r="G337">
        <v>3370.5174032121349</v>
      </c>
      <c r="H337">
        <v>61340.291679736925</v>
      </c>
      <c r="I337">
        <v>214.97210974051617</v>
      </c>
    </row>
    <row r="338" spans="2:9" x14ac:dyDescent="0.2">
      <c r="B338" s="1">
        <v>334</v>
      </c>
      <c r="C338" s="15">
        <v>43415</v>
      </c>
      <c r="D338">
        <v>13.85</v>
      </c>
      <c r="E338">
        <v>77.318517114914414</v>
      </c>
      <c r="F338">
        <v>65.637598478674278</v>
      </c>
      <c r="G338">
        <v>3422.4095333202399</v>
      </c>
      <c r="H338">
        <v>62683.141949333301</v>
      </c>
      <c r="I338">
        <v>215.3464517008259</v>
      </c>
    </row>
    <row r="339" spans="2:9" x14ac:dyDescent="0.2">
      <c r="B339" s="1">
        <v>335</v>
      </c>
      <c r="C339" s="15">
        <v>43420</v>
      </c>
      <c r="D339">
        <v>13.35</v>
      </c>
      <c r="E339">
        <v>73.374751833740831</v>
      </c>
      <c r="F339">
        <v>65.365933170334145</v>
      </c>
      <c r="G339">
        <v>3298.8568425866574</v>
      </c>
      <c r="H339">
        <v>59485.879402675237</v>
      </c>
      <c r="I339">
        <v>214.4551613191361</v>
      </c>
    </row>
    <row r="340" spans="2:9" x14ac:dyDescent="0.2">
      <c r="B340" s="1">
        <v>336</v>
      </c>
      <c r="C340" s="15">
        <v>43425</v>
      </c>
      <c r="D340">
        <v>13.75</v>
      </c>
      <c r="E340">
        <v>76.529764058679703</v>
      </c>
      <c r="F340">
        <v>65.583265417006245</v>
      </c>
      <c r="G340">
        <v>3397.6989951735231</v>
      </c>
      <c r="H340">
        <v>62043.689440001697</v>
      </c>
      <c r="I340">
        <v>215.16819362448791</v>
      </c>
    </row>
    <row r="341" spans="2:9" x14ac:dyDescent="0.2">
      <c r="B341" s="1">
        <v>337</v>
      </c>
      <c r="C341" s="15">
        <v>43430</v>
      </c>
      <c r="D341">
        <v>14.49</v>
      </c>
      <c r="E341">
        <v>82.366536674816629</v>
      </c>
      <c r="F341">
        <v>65.98533007334963</v>
      </c>
      <c r="G341">
        <v>3580.5569774592259</v>
      </c>
      <c r="H341">
        <v>66775.638009055649</v>
      </c>
      <c r="I341">
        <v>216.48730338938876</v>
      </c>
    </row>
    <row r="342" spans="2:9" x14ac:dyDescent="0.2">
      <c r="B342" s="1">
        <v>338</v>
      </c>
      <c r="C342" s="15">
        <v>43430</v>
      </c>
      <c r="D342">
        <v>14.09</v>
      </c>
      <c r="E342">
        <v>79.211524449877743</v>
      </c>
      <c r="F342">
        <v>65.767997826677529</v>
      </c>
      <c r="G342">
        <v>3481.7148248723597</v>
      </c>
      <c r="H342">
        <v>64217.827971729173</v>
      </c>
      <c r="I342">
        <v>215.77427108403694</v>
      </c>
    </row>
    <row r="343" spans="2:9" x14ac:dyDescent="0.2">
      <c r="B343" s="1">
        <v>339</v>
      </c>
      <c r="C343" s="15">
        <v>43435</v>
      </c>
      <c r="D343">
        <v>13.92</v>
      </c>
      <c r="E343">
        <v>77.87064425427873</v>
      </c>
      <c r="F343">
        <v>65.675631621841887</v>
      </c>
      <c r="G343">
        <v>3439.7069100229414</v>
      </c>
      <c r="H343">
        <v>63130.758705865446</v>
      </c>
      <c r="I343">
        <v>215.47123235426244</v>
      </c>
    </row>
    <row r="344" spans="2:9" x14ac:dyDescent="0.2">
      <c r="B344" s="1">
        <v>340</v>
      </c>
      <c r="C344" s="15">
        <v>43438</v>
      </c>
      <c r="D344">
        <v>14.37</v>
      </c>
      <c r="E344">
        <v>81.420033007334951</v>
      </c>
      <c r="F344">
        <v>65.920130399347997</v>
      </c>
      <c r="G344">
        <v>3550.9043316831653</v>
      </c>
      <c r="H344">
        <v>66008.294997857694</v>
      </c>
      <c r="I344">
        <v>216.27339369778321</v>
      </c>
    </row>
    <row r="345" spans="2:9" x14ac:dyDescent="0.2">
      <c r="B345" s="1">
        <v>341</v>
      </c>
      <c r="C345" s="15">
        <v>43440</v>
      </c>
      <c r="D345">
        <v>13.76</v>
      </c>
      <c r="E345">
        <v>76.608639364303173</v>
      </c>
      <c r="F345">
        <v>65.588698723173053</v>
      </c>
      <c r="G345">
        <v>3400.170048988195</v>
      </c>
      <c r="H345">
        <v>62107.63469093485</v>
      </c>
      <c r="I345">
        <v>215.18601943212173</v>
      </c>
    </row>
    <row r="346" spans="2:9" x14ac:dyDescent="0.2">
      <c r="B346" s="1">
        <v>342</v>
      </c>
      <c r="C346" s="15">
        <v>43445</v>
      </c>
      <c r="D346">
        <v>13.85</v>
      </c>
      <c r="E346">
        <v>77.318517114914414</v>
      </c>
      <c r="F346">
        <v>65.637598478674278</v>
      </c>
      <c r="G346">
        <v>3422.4095333202399</v>
      </c>
      <c r="H346">
        <v>62683.141949333301</v>
      </c>
      <c r="I346">
        <v>215.3464517008259</v>
      </c>
    </row>
    <row r="347" spans="2:9" x14ac:dyDescent="0.2">
      <c r="B347" s="1">
        <v>343</v>
      </c>
      <c r="C347" s="15">
        <v>43450</v>
      </c>
      <c r="D347">
        <v>13.89</v>
      </c>
      <c r="E347">
        <v>77.634018337408321</v>
      </c>
      <c r="F347">
        <v>65.659331703341479</v>
      </c>
      <c r="G347">
        <v>3432.2937485789266</v>
      </c>
      <c r="H347">
        <v>62938.92295306595</v>
      </c>
      <c r="I347">
        <v>215.41775493136103</v>
      </c>
    </row>
    <row r="348" spans="2:9" x14ac:dyDescent="0.2">
      <c r="B348" s="1">
        <v>344</v>
      </c>
      <c r="C348" s="15">
        <v>43454</v>
      </c>
      <c r="D348">
        <v>14.16</v>
      </c>
      <c r="E348">
        <v>79.763651589242059</v>
      </c>
      <c r="F348">
        <v>65.806030969845153</v>
      </c>
      <c r="G348">
        <v>3499.0122015750612</v>
      </c>
      <c r="H348">
        <v>64665.444728261318</v>
      </c>
      <c r="I348">
        <v>215.89905173747354</v>
      </c>
    </row>
    <row r="349" spans="2:9" x14ac:dyDescent="0.2">
      <c r="B349" s="1">
        <v>345</v>
      </c>
      <c r="C349" s="15">
        <v>43455</v>
      </c>
      <c r="D349">
        <v>13.72</v>
      </c>
      <c r="E349">
        <v>76.293138141809294</v>
      </c>
      <c r="F349">
        <v>65.566965498505837</v>
      </c>
      <c r="G349">
        <v>3390.2858337295083</v>
      </c>
      <c r="H349">
        <v>61851.853687202209</v>
      </c>
      <c r="I349">
        <v>215.11471620158653</v>
      </c>
    </row>
    <row r="350" spans="2:9" x14ac:dyDescent="0.2">
      <c r="B350" s="1">
        <v>346</v>
      </c>
      <c r="C350" s="15">
        <v>43460</v>
      </c>
      <c r="D350">
        <v>13.26</v>
      </c>
      <c r="E350">
        <v>72.664874083129575</v>
      </c>
      <c r="F350">
        <v>65.31703341483292</v>
      </c>
      <c r="G350">
        <v>3276.6173582546121</v>
      </c>
      <c r="H350">
        <v>58910.372144276778</v>
      </c>
      <c r="I350">
        <v>214.29472905043195</v>
      </c>
    </row>
    <row r="351" spans="2:9" x14ac:dyDescent="0.2">
      <c r="B351" s="1">
        <v>347</v>
      </c>
      <c r="C351" s="15">
        <v>43462</v>
      </c>
      <c r="D351">
        <v>14.17</v>
      </c>
      <c r="E351">
        <v>79.842526894865529</v>
      </c>
      <c r="F351">
        <v>65.811464276011947</v>
      </c>
      <c r="G351">
        <v>3501.4832553897331</v>
      </c>
      <c r="H351">
        <v>64729.389979194471</v>
      </c>
      <c r="I351">
        <v>215.9168775451073</v>
      </c>
    </row>
    <row r="352" spans="2:9" x14ac:dyDescent="0.2">
      <c r="B352" s="1">
        <v>348</v>
      </c>
      <c r="C352" s="15">
        <v>43465</v>
      </c>
      <c r="D352">
        <v>14.11</v>
      </c>
      <c r="E352">
        <v>79.369275061124682</v>
      </c>
      <c r="F352">
        <v>65.778864439011144</v>
      </c>
      <c r="G352">
        <v>3486.6569325017031</v>
      </c>
      <c r="H352">
        <v>64345.718473595494</v>
      </c>
      <c r="I352">
        <v>215.80992269930456</v>
      </c>
    </row>
    <row r="353" spans="2:9" x14ac:dyDescent="0.2">
      <c r="B353" s="1">
        <v>349</v>
      </c>
      <c r="C353" s="15">
        <v>43470</v>
      </c>
      <c r="D353">
        <v>13.8</v>
      </c>
      <c r="E353">
        <v>76.924140586797066</v>
      </c>
      <c r="F353">
        <v>65.610431947840254</v>
      </c>
      <c r="G353">
        <v>3410.0542642468818</v>
      </c>
      <c r="H353">
        <v>62363.415694667499</v>
      </c>
      <c r="I353">
        <v>215.25732266265689</v>
      </c>
    </row>
    <row r="354" spans="2:9" x14ac:dyDescent="0.2">
      <c r="B354" s="1">
        <v>350</v>
      </c>
      <c r="C354" s="15">
        <v>43470</v>
      </c>
      <c r="D354">
        <v>13.17</v>
      </c>
      <c r="E354">
        <v>71.954996332518334</v>
      </c>
      <c r="F354">
        <v>65.26813365933171</v>
      </c>
      <c r="G354">
        <v>3254.3778739225672</v>
      </c>
      <c r="H354">
        <v>58334.864885878327</v>
      </c>
      <c r="I354">
        <v>214.13429678172781</v>
      </c>
    </row>
    <row r="355" spans="2:9" x14ac:dyDescent="0.2">
      <c r="B355" s="1">
        <v>351</v>
      </c>
      <c r="C355" s="15">
        <v>43478</v>
      </c>
      <c r="D355">
        <v>13.82</v>
      </c>
      <c r="E355">
        <v>77.081891198044005</v>
      </c>
      <c r="F355">
        <v>65.621298560173869</v>
      </c>
      <c r="G355">
        <v>3414.9963718762251</v>
      </c>
      <c r="H355">
        <v>62491.30619653382</v>
      </c>
      <c r="I355">
        <v>215.29297427792449</v>
      </c>
    </row>
    <row r="356" spans="2:9" x14ac:dyDescent="0.2">
      <c r="B356" s="1">
        <v>352</v>
      </c>
      <c r="C356" s="15">
        <v>43480</v>
      </c>
      <c r="D356">
        <v>14.85</v>
      </c>
      <c r="E356">
        <v>85.270397278314306</v>
      </c>
      <c r="F356">
        <v>66.162423178226518</v>
      </c>
      <c r="G356">
        <v>3669.5149147874054</v>
      </c>
      <c r="H356">
        <v>69129.83611323798</v>
      </c>
      <c r="I356">
        <v>217.06831751299828</v>
      </c>
    </row>
    <row r="357" spans="2:9" x14ac:dyDescent="0.2">
      <c r="B357" s="1">
        <v>353</v>
      </c>
      <c r="C357" s="15">
        <v>43485</v>
      </c>
      <c r="D357">
        <v>12.92</v>
      </c>
      <c r="E357">
        <v>69.983113691931536</v>
      </c>
      <c r="F357">
        <v>65.132301005161636</v>
      </c>
      <c r="G357">
        <v>3192.601528555776</v>
      </c>
      <c r="H357">
        <v>56736.233612549295</v>
      </c>
      <c r="I357">
        <v>213.6886515908829</v>
      </c>
    </row>
    <row r="358" spans="2:9" x14ac:dyDescent="0.2">
      <c r="B358" s="1">
        <v>354</v>
      </c>
      <c r="C358" s="15">
        <v>43486</v>
      </c>
      <c r="D358">
        <v>13.3</v>
      </c>
      <c r="E358">
        <v>72.980375305623468</v>
      </c>
      <c r="F358">
        <v>65.338766639500136</v>
      </c>
      <c r="G358">
        <v>3286.5015735132993</v>
      </c>
      <c r="H358">
        <v>59166.153148009427</v>
      </c>
      <c r="I358">
        <v>214.36603228096715</v>
      </c>
    </row>
    <row r="359" spans="2:9" x14ac:dyDescent="0.2">
      <c r="B359" s="1">
        <v>355</v>
      </c>
      <c r="C359" s="15">
        <v>43490</v>
      </c>
      <c r="D359">
        <v>13.13</v>
      </c>
      <c r="E359">
        <v>71.639495110024455</v>
      </c>
      <c r="F359">
        <v>65.246400434664494</v>
      </c>
      <c r="G359">
        <v>3244.493658663881</v>
      </c>
      <c r="H359">
        <v>58079.083882145693</v>
      </c>
      <c r="I359">
        <v>214.06299355119262</v>
      </c>
    </row>
    <row r="360" spans="2:9" x14ac:dyDescent="0.2">
      <c r="B360" s="1">
        <v>356</v>
      </c>
      <c r="C360" s="15">
        <v>43493</v>
      </c>
      <c r="D360">
        <v>14.32</v>
      </c>
      <c r="E360">
        <v>81.025656479217602</v>
      </c>
      <c r="F360">
        <v>65.892963868513988</v>
      </c>
      <c r="G360">
        <v>3538.5490626098076</v>
      </c>
      <c r="H360">
        <v>65688.568743191892</v>
      </c>
      <c r="I360">
        <v>216.18426465961423</v>
      </c>
    </row>
    <row r="361" spans="2:9" x14ac:dyDescent="0.2">
      <c r="B361" s="1">
        <v>357</v>
      </c>
      <c r="C361" s="15">
        <v>43502</v>
      </c>
      <c r="D361">
        <v>27</v>
      </c>
      <c r="E361">
        <v>175.83677969735183</v>
      </c>
      <c r="F361">
        <v>70.344682639764613</v>
      </c>
      <c r="G361">
        <v>6671.8452996134647</v>
      </c>
      <c r="H361">
        <v>142553.19725417567</v>
      </c>
      <c r="I361">
        <v>230.78964120565368</v>
      </c>
    </row>
    <row r="362" spans="2:9" x14ac:dyDescent="0.2">
      <c r="B362" s="1">
        <v>358</v>
      </c>
      <c r="C362" s="15">
        <v>43505</v>
      </c>
      <c r="D362">
        <v>26.16</v>
      </c>
      <c r="E362">
        <v>169.98997011349306</v>
      </c>
      <c r="F362">
        <v>70.148521787866045</v>
      </c>
      <c r="G362">
        <v>6464.2767791810447</v>
      </c>
      <c r="H362">
        <v>137813.11158296396</v>
      </c>
      <c r="I362">
        <v>230.14606885690765</v>
      </c>
    </row>
    <row r="363" spans="2:9" x14ac:dyDescent="0.2">
      <c r="B363" s="1">
        <v>359</v>
      </c>
      <c r="C363" s="15">
        <v>43510</v>
      </c>
      <c r="D363">
        <v>26.69</v>
      </c>
      <c r="E363">
        <v>173.67902854140397</v>
      </c>
      <c r="F363">
        <v>70.27228994442109</v>
      </c>
      <c r="G363">
        <v>6595.2426313586429</v>
      </c>
      <c r="H363">
        <v>140803.8799231333</v>
      </c>
      <c r="I363">
        <v>230.55213236266405</v>
      </c>
    </row>
    <row r="364" spans="2:9" x14ac:dyDescent="0.2">
      <c r="B364" s="1">
        <v>360</v>
      </c>
      <c r="C364" s="15">
        <v>43510</v>
      </c>
      <c r="D364">
        <v>26.45</v>
      </c>
      <c r="E364">
        <v>172.00851151744428</v>
      </c>
      <c r="F364">
        <v>70.21624398673579</v>
      </c>
      <c r="G364">
        <v>6535.9373398065227</v>
      </c>
      <c r="H364">
        <v>139449.56973135847</v>
      </c>
      <c r="I364">
        <v>230.36825454873664</v>
      </c>
    </row>
    <row r="365" spans="2:9" x14ac:dyDescent="0.2">
      <c r="B365" s="1">
        <v>361</v>
      </c>
      <c r="C365" s="15">
        <v>43520</v>
      </c>
      <c r="D365">
        <v>46.64</v>
      </c>
      <c r="E365">
        <v>315.90968565264296</v>
      </c>
      <c r="F365">
        <v>73.981960925326618</v>
      </c>
      <c r="G365">
        <v>11524.994991628591</v>
      </c>
      <c r="H365">
        <v>256112.15020462562</v>
      </c>
      <c r="I365">
        <v>242.72296891414268</v>
      </c>
    </row>
    <row r="366" spans="2:9" x14ac:dyDescent="0.2">
      <c r="B366" s="1">
        <v>362</v>
      </c>
      <c r="C366" s="15">
        <v>43526</v>
      </c>
      <c r="D366">
        <v>49.97</v>
      </c>
      <c r="E366">
        <v>339.25679254888348</v>
      </c>
      <c r="F366">
        <v>74.412613932919385</v>
      </c>
      <c r="G366">
        <v>12347.855911914252</v>
      </c>
      <c r="H366">
        <v>275039.9578022316</v>
      </c>
      <c r="I366">
        <v>244.13587248235478</v>
      </c>
    </row>
    <row r="367" spans="2:9" x14ac:dyDescent="0.2">
      <c r="B367" s="1">
        <v>363</v>
      </c>
      <c r="C367" s="15">
        <v>43530</v>
      </c>
      <c r="D367">
        <v>63.01</v>
      </c>
      <c r="E367">
        <v>434.193066302619</v>
      </c>
      <c r="F367">
        <v>75.997997148882533</v>
      </c>
      <c r="G367">
        <v>15570.110086246086</v>
      </c>
      <c r="H367">
        <v>352006.04750363721</v>
      </c>
      <c r="I367">
        <v>249.33726098615008</v>
      </c>
    </row>
    <row r="368" spans="2:9" x14ac:dyDescent="0.2">
      <c r="B368" s="1">
        <v>364</v>
      </c>
      <c r="C368" s="15">
        <v>43534</v>
      </c>
      <c r="D368">
        <v>60.42</v>
      </c>
      <c r="E368">
        <v>414.96099123104659</v>
      </c>
      <c r="F368">
        <v>75.692856890396925</v>
      </c>
      <c r="G368">
        <v>14930.10714824613</v>
      </c>
      <c r="H368">
        <v>336414.35049915512</v>
      </c>
      <c r="I368">
        <v>248.3361446525399</v>
      </c>
    </row>
    <row r="369" spans="2:9" x14ac:dyDescent="0.2">
      <c r="B369" s="1">
        <v>365</v>
      </c>
      <c r="C369" s="15">
        <v>43535</v>
      </c>
      <c r="D369">
        <v>59.85</v>
      </c>
      <c r="E369">
        <v>410.72844961297847</v>
      </c>
      <c r="F369">
        <v>75.62570247057576</v>
      </c>
      <c r="G369">
        <v>14789.257080809844</v>
      </c>
      <c r="H369">
        <v>332982.97316612233</v>
      </c>
      <c r="I369">
        <v>248.11582175286503</v>
      </c>
    </row>
    <row r="370" spans="2:9" x14ac:dyDescent="0.2">
      <c r="B370" s="1">
        <v>366</v>
      </c>
      <c r="C370" s="15">
        <v>43545</v>
      </c>
      <c r="D370">
        <v>58.17</v>
      </c>
      <c r="E370">
        <v>398.25359010709366</v>
      </c>
      <c r="F370">
        <v>75.427773654260776</v>
      </c>
      <c r="G370">
        <v>14374.120039945008</v>
      </c>
      <c r="H370">
        <v>322869.43997402582</v>
      </c>
      <c r="I370">
        <v>247.46644899592872</v>
      </c>
    </row>
    <row r="371" spans="2:9" x14ac:dyDescent="0.2">
      <c r="B371" s="1">
        <v>367</v>
      </c>
      <c r="C371" s="15">
        <v>43550</v>
      </c>
      <c r="D371">
        <v>62.91</v>
      </c>
      <c r="E371">
        <v>433.45051514155443</v>
      </c>
      <c r="F371">
        <v>75.986215671720913</v>
      </c>
      <c r="G371">
        <v>15545.399548099369</v>
      </c>
      <c r="H371">
        <v>351404.05148029811</v>
      </c>
      <c r="I371">
        <v>249.2986078458562</v>
      </c>
    </row>
    <row r="372" spans="2:9" x14ac:dyDescent="0.2">
      <c r="B372" s="1">
        <v>368</v>
      </c>
      <c r="C372" s="15">
        <v>43555</v>
      </c>
      <c r="D372">
        <v>55.99</v>
      </c>
      <c r="E372">
        <v>382.06597479588595</v>
      </c>
      <c r="F372">
        <v>75.17093745213775</v>
      </c>
      <c r="G372">
        <v>13835.430308346587</v>
      </c>
      <c r="H372">
        <v>309745.92666523397</v>
      </c>
      <c r="I372">
        <v>246.62381053752318</v>
      </c>
    </row>
    <row r="373" spans="2:9" x14ac:dyDescent="0.2">
      <c r="B373" s="1">
        <v>369</v>
      </c>
      <c r="C373" s="15">
        <v>43558</v>
      </c>
      <c r="D373">
        <v>55.16</v>
      </c>
      <c r="E373">
        <v>375.90280015904995</v>
      </c>
      <c r="F373">
        <v>75.073151191696411</v>
      </c>
      <c r="G373">
        <v>13630.332841728839</v>
      </c>
      <c r="H373">
        <v>304749.35967151955</v>
      </c>
      <c r="I373">
        <v>246.30298947308438</v>
      </c>
    </row>
    <row r="374" spans="2:9" x14ac:dyDescent="0.2">
      <c r="B374" s="1">
        <v>370</v>
      </c>
      <c r="C374" s="15">
        <v>43560</v>
      </c>
      <c r="D374">
        <v>55.99</v>
      </c>
      <c r="E374">
        <v>382.06597479588595</v>
      </c>
      <c r="F374">
        <v>75.17093745213775</v>
      </c>
      <c r="G374">
        <v>13835.430308346587</v>
      </c>
      <c r="H374">
        <v>309745.92666523397</v>
      </c>
      <c r="I374">
        <v>246.62381053752318</v>
      </c>
    </row>
    <row r="375" spans="2:9" x14ac:dyDescent="0.2">
      <c r="B375" s="1">
        <v>371</v>
      </c>
      <c r="C375" s="15">
        <v>43566</v>
      </c>
      <c r="D375">
        <v>55</v>
      </c>
      <c r="E375">
        <v>374.71471830134664</v>
      </c>
      <c r="F375">
        <v>75.054300828237842</v>
      </c>
      <c r="G375">
        <v>13590.795980694093</v>
      </c>
      <c r="H375">
        <v>303786.16603417706</v>
      </c>
      <c r="I375">
        <v>246.24114444861428</v>
      </c>
    </row>
    <row r="376" spans="2:9" x14ac:dyDescent="0.2">
      <c r="B376" s="1">
        <v>372</v>
      </c>
      <c r="C376" s="15">
        <v>43570</v>
      </c>
      <c r="D376">
        <v>56.55</v>
      </c>
      <c r="E376">
        <v>386.22426129784753</v>
      </c>
      <c r="F376">
        <v>75.23691372424274</v>
      </c>
      <c r="G376">
        <v>13973.8093219682</v>
      </c>
      <c r="H376">
        <v>313117.10439593275</v>
      </c>
      <c r="I376">
        <v>246.84026812316861</v>
      </c>
    </row>
    <row r="377" spans="2:9" x14ac:dyDescent="0.2">
      <c r="B377" s="1">
        <v>373</v>
      </c>
      <c r="C377" s="15">
        <v>43574</v>
      </c>
      <c r="D377">
        <v>58.79</v>
      </c>
      <c r="E377">
        <v>402.85740730569398</v>
      </c>
      <c r="F377">
        <v>75.500818812662729</v>
      </c>
      <c r="G377">
        <v>14527.32537645465</v>
      </c>
      <c r="H377">
        <v>326601.8153187281</v>
      </c>
      <c r="I377">
        <v>247.70609846575042</v>
      </c>
    </row>
    <row r="378" spans="2:9" x14ac:dyDescent="0.2">
      <c r="B378" s="1">
        <v>374</v>
      </c>
      <c r="C378" s="15">
        <v>43575</v>
      </c>
      <c r="D378">
        <v>59.32</v>
      </c>
      <c r="E378">
        <v>406.79292845933622</v>
      </c>
      <c r="F378">
        <v>75.563260641619252</v>
      </c>
      <c r="G378">
        <v>14658.291228632248</v>
      </c>
      <c r="H378">
        <v>329792.39424242522</v>
      </c>
      <c r="I378">
        <v>247.91096010930775</v>
      </c>
    </row>
    <row r="379" spans="2:9" x14ac:dyDescent="0.2">
      <c r="B379" s="1">
        <v>375</v>
      </c>
      <c r="C379" s="15">
        <v>43580</v>
      </c>
      <c r="D379">
        <v>59.82</v>
      </c>
      <c r="E379">
        <v>410.50568426465912</v>
      </c>
      <c r="F379">
        <v>75.622168027427279</v>
      </c>
      <c r="G379">
        <v>14781.843919365831</v>
      </c>
      <c r="H379">
        <v>332802.37435912061</v>
      </c>
      <c r="I379">
        <v>248.10422581077688</v>
      </c>
    </row>
    <row r="380" spans="2:9" x14ac:dyDescent="0.2">
      <c r="B380" s="1">
        <v>376</v>
      </c>
      <c r="C380" s="15">
        <v>43582</v>
      </c>
      <c r="D380">
        <v>59.24</v>
      </c>
      <c r="E380">
        <v>406.19888753048463</v>
      </c>
      <c r="F380">
        <v>75.553835459889967</v>
      </c>
      <c r="G380">
        <v>14638.522798114876</v>
      </c>
      <c r="H380">
        <v>329310.797423754</v>
      </c>
      <c r="I380">
        <v>247.88003759707269</v>
      </c>
    </row>
    <row r="381" spans="2:9" x14ac:dyDescent="0.2">
      <c r="B381" s="1">
        <v>377</v>
      </c>
      <c r="C381" s="15">
        <v>43585</v>
      </c>
      <c r="D381">
        <v>58.54</v>
      </c>
      <c r="E381">
        <v>401.00102940303253</v>
      </c>
      <c r="F381">
        <v>75.471365119758715</v>
      </c>
      <c r="G381">
        <v>14465.549031087859</v>
      </c>
      <c r="H381">
        <v>325096.8252603804</v>
      </c>
      <c r="I381">
        <v>247.60946561501586</v>
      </c>
    </row>
    <row r="382" spans="2:9" x14ac:dyDescent="0.2">
      <c r="B382" s="1">
        <v>378</v>
      </c>
      <c r="C382" s="15">
        <v>43590</v>
      </c>
      <c r="D382">
        <v>57.14</v>
      </c>
      <c r="E382">
        <v>390.60531314812852</v>
      </c>
      <c r="F382">
        <v>75.306424439496226</v>
      </c>
      <c r="G382">
        <v>14119.601497033827</v>
      </c>
      <c r="H382">
        <v>316668.88093363331</v>
      </c>
      <c r="I382">
        <v>247.06832165090225</v>
      </c>
    </row>
    <row r="383" spans="2:9" x14ac:dyDescent="0.2">
      <c r="B383" s="1">
        <v>379</v>
      </c>
      <c r="C383" s="15">
        <v>43590</v>
      </c>
      <c r="D383">
        <v>57.71</v>
      </c>
      <c r="E383">
        <v>394.83785476619659</v>
      </c>
      <c r="F383">
        <v>75.373578859317377</v>
      </c>
      <c r="G383">
        <v>14260.451564470111</v>
      </c>
      <c r="H383">
        <v>320100.25826666609</v>
      </c>
      <c r="I383">
        <v>247.28864455057706</v>
      </c>
    </row>
    <row r="384" spans="2:9" x14ac:dyDescent="0.2">
      <c r="B384" s="1">
        <v>380</v>
      </c>
      <c r="C384" s="15">
        <v>43595</v>
      </c>
      <c r="D384">
        <v>57.7</v>
      </c>
      <c r="E384">
        <v>394.76359965009016</v>
      </c>
      <c r="F384">
        <v>75.372400711601216</v>
      </c>
      <c r="G384">
        <v>14257.98051065544</v>
      </c>
      <c r="H384">
        <v>320040.0586643322</v>
      </c>
      <c r="I384">
        <v>247.28477923654768</v>
      </c>
    </row>
    <row r="385" spans="2:9" x14ac:dyDescent="0.2">
      <c r="B385" s="1">
        <v>381</v>
      </c>
      <c r="C385" s="15">
        <v>43598</v>
      </c>
      <c r="D385">
        <v>57.78</v>
      </c>
      <c r="E385">
        <v>395.35764057894181</v>
      </c>
      <c r="F385">
        <v>75.3818258933305</v>
      </c>
      <c r="G385">
        <v>14277.748941172813</v>
      </c>
      <c r="H385">
        <v>320521.65548300341</v>
      </c>
      <c r="I385">
        <v>247.31570174878274</v>
      </c>
    </row>
    <row r="386" spans="2:9" x14ac:dyDescent="0.2">
      <c r="B386" s="1">
        <v>382</v>
      </c>
      <c r="C386" s="15">
        <v>43600</v>
      </c>
      <c r="D386">
        <v>57.66</v>
      </c>
      <c r="E386">
        <v>394.46657918566427</v>
      </c>
      <c r="F386">
        <v>75.367688120736574</v>
      </c>
      <c r="G386">
        <v>14248.096295396752</v>
      </c>
      <c r="H386">
        <v>319799.26025499648</v>
      </c>
      <c r="I386">
        <v>247.26931798043015</v>
      </c>
    </row>
    <row r="387" spans="2:9" x14ac:dyDescent="0.2">
      <c r="B387" s="1">
        <v>383</v>
      </c>
      <c r="C387" s="15">
        <v>43606</v>
      </c>
      <c r="D387">
        <v>61.28</v>
      </c>
      <c r="E387">
        <v>421.34693121620188</v>
      </c>
      <c r="F387">
        <v>75.794177593986731</v>
      </c>
      <c r="G387">
        <v>15142.617776307892</v>
      </c>
      <c r="H387">
        <v>341591.51629987115</v>
      </c>
      <c r="I387">
        <v>248.6685616590668</v>
      </c>
    </row>
    <row r="388" spans="2:9" x14ac:dyDescent="0.2">
      <c r="B388" s="1">
        <v>384</v>
      </c>
      <c r="C388" s="15">
        <v>43610</v>
      </c>
      <c r="D388">
        <v>59.69</v>
      </c>
      <c r="E388">
        <v>409.54036775527516</v>
      </c>
      <c r="F388">
        <v>75.606852107117192</v>
      </c>
      <c r="G388">
        <v>14749.720219775098</v>
      </c>
      <c r="H388">
        <v>332019.77952877979</v>
      </c>
      <c r="I388">
        <v>248.0539767283949</v>
      </c>
    </row>
    <row r="389" spans="2:9" x14ac:dyDescent="0.2">
      <c r="B389" s="1">
        <v>385</v>
      </c>
      <c r="C389" s="15">
        <v>43614</v>
      </c>
      <c r="D389">
        <v>58.91</v>
      </c>
      <c r="E389">
        <v>403.74846869897146</v>
      </c>
      <c r="F389">
        <v>75.514956585256655</v>
      </c>
      <c r="G389">
        <v>14556.978022230709</v>
      </c>
      <c r="H389">
        <v>327324.21054673498</v>
      </c>
      <c r="I389">
        <v>247.75248223410301</v>
      </c>
    </row>
    <row r="390" spans="2:9" x14ac:dyDescent="0.2">
      <c r="B390" s="1">
        <v>386</v>
      </c>
      <c r="C390" s="15">
        <v>43615</v>
      </c>
      <c r="D390">
        <v>58.69</v>
      </c>
      <c r="E390">
        <v>402.11485614462941</v>
      </c>
      <c r="F390">
        <v>75.489037335501123</v>
      </c>
      <c r="G390">
        <v>14502.614838307933</v>
      </c>
      <c r="H390">
        <v>325999.81929538905</v>
      </c>
      <c r="I390">
        <v>247.66744532545661</v>
      </c>
    </row>
    <row r="391" spans="2:9" x14ac:dyDescent="0.2">
      <c r="B391" s="1">
        <v>387</v>
      </c>
      <c r="C391" s="15">
        <v>43620</v>
      </c>
      <c r="D391">
        <v>58.1</v>
      </c>
      <c r="E391">
        <v>397.73380429434843</v>
      </c>
      <c r="F391">
        <v>75.419526620247652</v>
      </c>
      <c r="G391">
        <v>14356.822663242307</v>
      </c>
      <c r="H391">
        <v>322448.0427576885</v>
      </c>
      <c r="I391">
        <v>247.43939179772303</v>
      </c>
    </row>
    <row r="392" spans="2:9" x14ac:dyDescent="0.2">
      <c r="B392" s="1">
        <v>388</v>
      </c>
      <c r="C392" s="15">
        <v>43622</v>
      </c>
      <c r="D392">
        <v>57.37</v>
      </c>
      <c r="E392">
        <v>392.31318081857705</v>
      </c>
      <c r="F392">
        <v>75.333521836967918</v>
      </c>
      <c r="G392">
        <v>14176.435734771274</v>
      </c>
      <c r="H392">
        <v>318053.47178731323</v>
      </c>
      <c r="I392">
        <v>247.15722387357803</v>
      </c>
    </row>
    <row r="393" spans="2:9" x14ac:dyDescent="0.2">
      <c r="B393" s="1">
        <v>389</v>
      </c>
      <c r="C393" s="15">
        <v>43625</v>
      </c>
      <c r="D393">
        <v>57.5</v>
      </c>
      <c r="E393">
        <v>393.27849732796102</v>
      </c>
      <c r="F393">
        <v>75.348837757278005</v>
      </c>
      <c r="G393">
        <v>14208.559434362007</v>
      </c>
      <c r="H393">
        <v>318836.06661765405</v>
      </c>
      <c r="I393">
        <v>247.20747295596001</v>
      </c>
    </row>
    <row r="394" spans="2:9" x14ac:dyDescent="0.2">
      <c r="B394" s="1">
        <v>390</v>
      </c>
      <c r="C394" s="15">
        <v>43630</v>
      </c>
      <c r="D394">
        <v>56.87</v>
      </c>
      <c r="E394">
        <v>388.60042501325415</v>
      </c>
      <c r="F394">
        <v>75.274614451159891</v>
      </c>
      <c r="G394">
        <v>14052.883044037691</v>
      </c>
      <c r="H394">
        <v>315043.49167061778</v>
      </c>
      <c r="I394">
        <v>246.9639581721089</v>
      </c>
    </row>
    <row r="395" spans="2:9" x14ac:dyDescent="0.2">
      <c r="B395" s="1">
        <v>391</v>
      </c>
      <c r="C395" s="15">
        <v>43630</v>
      </c>
      <c r="D395">
        <v>56.82</v>
      </c>
      <c r="E395">
        <v>388.2291494327219</v>
      </c>
      <c r="F395">
        <v>75.268723712579089</v>
      </c>
      <c r="G395">
        <v>14040.527774964334</v>
      </c>
      <c r="H395">
        <v>314742.49365894828</v>
      </c>
      <c r="I395">
        <v>246.94463160196199</v>
      </c>
    </row>
    <row r="396" spans="2:9" x14ac:dyDescent="0.2">
      <c r="B396" s="1">
        <v>392</v>
      </c>
      <c r="C396" s="15">
        <v>43635</v>
      </c>
      <c r="D396">
        <v>56.42</v>
      </c>
      <c r="E396">
        <v>385.25894478846362</v>
      </c>
      <c r="F396">
        <v>75.221597803932653</v>
      </c>
      <c r="G396">
        <v>13941.685622377468</v>
      </c>
      <c r="H396">
        <v>312334.50956559199</v>
      </c>
      <c r="I396">
        <v>246.79001904078666</v>
      </c>
    </row>
    <row r="397" spans="2:9" x14ac:dyDescent="0.2">
      <c r="B397" s="1">
        <v>393</v>
      </c>
      <c r="C397" s="15">
        <v>43640</v>
      </c>
      <c r="D397">
        <v>55.96</v>
      </c>
      <c r="E397">
        <v>381.84320944756655</v>
      </c>
      <c r="F397">
        <v>75.167403008989268</v>
      </c>
      <c r="G397">
        <v>13828.017146902572</v>
      </c>
      <c r="H397">
        <v>309565.32785823219</v>
      </c>
      <c r="I397">
        <v>246.61221459543503</v>
      </c>
    </row>
    <row r="398" spans="2:9" x14ac:dyDescent="0.2">
      <c r="B398" s="1">
        <v>394</v>
      </c>
      <c r="C398" s="15">
        <v>43645</v>
      </c>
      <c r="D398">
        <v>55.45</v>
      </c>
      <c r="E398">
        <v>378.05619852613728</v>
      </c>
      <c r="F398">
        <v>75.107317475465081</v>
      </c>
      <c r="G398">
        <v>13701.993402354319</v>
      </c>
      <c r="H398">
        <v>306495.14813920297</v>
      </c>
      <c r="I398">
        <v>246.41508357993652</v>
      </c>
    </row>
    <row r="399" spans="2:9" x14ac:dyDescent="0.2">
      <c r="B399" s="1">
        <v>395</v>
      </c>
      <c r="C399" s="15">
        <v>43646</v>
      </c>
      <c r="D399">
        <v>55.68</v>
      </c>
      <c r="E399">
        <v>379.76406619658576</v>
      </c>
      <c r="F399">
        <v>75.134414872936773</v>
      </c>
      <c r="G399">
        <v>13758.827640091766</v>
      </c>
      <c r="H399">
        <v>307879.73899288278</v>
      </c>
      <c r="I399">
        <v>246.50398580261233</v>
      </c>
    </row>
    <row r="400" spans="2:9" x14ac:dyDescent="0.2">
      <c r="B400" s="1">
        <v>396</v>
      </c>
      <c r="C400" s="15">
        <v>43650</v>
      </c>
      <c r="D400">
        <v>55.61</v>
      </c>
      <c r="E400">
        <v>379.24428038384053</v>
      </c>
      <c r="F400">
        <v>75.126167838923649</v>
      </c>
      <c r="G400">
        <v>13741.530263389064</v>
      </c>
      <c r="H400">
        <v>307458.34177654545</v>
      </c>
      <c r="I400">
        <v>246.47692860440665</v>
      </c>
    </row>
    <row r="401" spans="2:9" x14ac:dyDescent="0.2">
      <c r="B401" s="1">
        <v>397</v>
      </c>
      <c r="C401" s="15">
        <v>43654</v>
      </c>
      <c r="D401">
        <v>54.29</v>
      </c>
      <c r="E401">
        <v>369.54577554090019</v>
      </c>
      <c r="F401">
        <v>74.967976654196718</v>
      </c>
      <c r="G401">
        <v>13415.351159852406</v>
      </c>
      <c r="H401">
        <v>299595.63594033819</v>
      </c>
      <c r="I401">
        <v>245.95792865451722</v>
      </c>
    </row>
    <row r="402" spans="2:9" x14ac:dyDescent="0.2">
      <c r="B402" s="1">
        <v>398</v>
      </c>
      <c r="C402" s="15">
        <v>43655</v>
      </c>
      <c r="D402">
        <v>53.92</v>
      </c>
      <c r="E402">
        <v>366.95158023834318</v>
      </c>
      <c r="F402">
        <v>74.920410865568797</v>
      </c>
      <c r="G402">
        <v>13323.922168709556</v>
      </c>
      <c r="H402">
        <v>297492.48758128739</v>
      </c>
      <c r="I402">
        <v>245.80187291754962</v>
      </c>
    </row>
    <row r="403" spans="2:9" x14ac:dyDescent="0.2">
      <c r="B403" s="1">
        <v>399</v>
      </c>
      <c r="C403" s="15">
        <v>43665</v>
      </c>
      <c r="D403">
        <v>52.7</v>
      </c>
      <c r="E403">
        <v>358.39774707856071</v>
      </c>
      <c r="F403">
        <v>74.763572319282147</v>
      </c>
      <c r="G403">
        <v>13022.453603319615</v>
      </c>
      <c r="H403">
        <v>290557.78218117397</v>
      </c>
      <c r="I403">
        <v>245.28731075781855</v>
      </c>
    </row>
    <row r="404" spans="2:9" x14ac:dyDescent="0.2">
      <c r="B404" s="1">
        <v>400</v>
      </c>
      <c r="C404" s="15">
        <v>43678</v>
      </c>
      <c r="D404">
        <v>53.14</v>
      </c>
      <c r="E404">
        <v>361.48273608700686</v>
      </c>
      <c r="F404">
        <v>74.820137040893727</v>
      </c>
      <c r="G404">
        <v>13131.179971165166</v>
      </c>
      <c r="H404">
        <v>293058.82347301813</v>
      </c>
      <c r="I404">
        <v>245.47289055313141</v>
      </c>
    </row>
    <row r="405" spans="2:9" x14ac:dyDescent="0.2">
      <c r="B405" s="1">
        <v>401</v>
      </c>
      <c r="C405" s="15">
        <v>43680</v>
      </c>
      <c r="D405">
        <v>56.86</v>
      </c>
      <c r="E405">
        <v>388.52616989714772</v>
      </c>
      <c r="F405">
        <v>75.273436303443731</v>
      </c>
      <c r="G405">
        <v>14050.41199022302</v>
      </c>
      <c r="H405">
        <v>314983.29206828389</v>
      </c>
      <c r="I405">
        <v>246.96009285807952</v>
      </c>
    </row>
    <row r="406" spans="2:9" x14ac:dyDescent="0.2">
      <c r="B406" s="1">
        <v>402</v>
      </c>
      <c r="C406" s="15">
        <v>43686</v>
      </c>
      <c r="D406">
        <v>57.19</v>
      </c>
      <c r="E406">
        <v>390.97658872866077</v>
      </c>
      <c r="F406">
        <v>75.312315178077029</v>
      </c>
      <c r="G406">
        <v>14131.956766107183</v>
      </c>
      <c r="H406">
        <v>316969.87894530286</v>
      </c>
      <c r="I406">
        <v>247.08764822104916</v>
      </c>
    </row>
    <row r="407" spans="2:9" x14ac:dyDescent="0.2">
      <c r="B407" s="1">
        <v>403</v>
      </c>
      <c r="C407" s="15">
        <v>43690</v>
      </c>
      <c r="D407">
        <v>54.11</v>
      </c>
      <c r="E407">
        <v>368.28373458289946</v>
      </c>
      <c r="F407">
        <v>74.944836540810158</v>
      </c>
      <c r="G407">
        <v>13370.872191188317</v>
      </c>
      <c r="H407">
        <v>298572.48268458375</v>
      </c>
      <c r="I407">
        <v>245.88200964734378</v>
      </c>
    </row>
    <row r="408" spans="2:9" x14ac:dyDescent="0.2">
      <c r="B408" s="1">
        <v>404</v>
      </c>
      <c r="C408" s="15">
        <v>43694</v>
      </c>
      <c r="D408">
        <v>54.3</v>
      </c>
      <c r="E408">
        <v>369.61588892745573</v>
      </c>
      <c r="F408">
        <v>74.969262216051519</v>
      </c>
      <c r="G408">
        <v>13417.822213667076</v>
      </c>
      <c r="H408">
        <v>299652.47778788005</v>
      </c>
      <c r="I408">
        <v>245.96214637713794</v>
      </c>
    </row>
    <row r="409" spans="2:9" x14ac:dyDescent="0.2">
      <c r="B409" s="1">
        <v>405</v>
      </c>
      <c r="C409" s="15">
        <v>43695</v>
      </c>
      <c r="D409">
        <v>53.55</v>
      </c>
      <c r="E409">
        <v>364.35738493578617</v>
      </c>
      <c r="F409">
        <v>74.872845076940877</v>
      </c>
      <c r="G409">
        <v>13232.493177566703</v>
      </c>
      <c r="H409">
        <v>295389.33922223659</v>
      </c>
      <c r="I409">
        <v>245.64581718058199</v>
      </c>
    </row>
    <row r="410" spans="2:9" x14ac:dyDescent="0.2">
      <c r="B410" s="1">
        <v>406</v>
      </c>
      <c r="C410" s="15">
        <v>43700</v>
      </c>
      <c r="D410">
        <v>52.6</v>
      </c>
      <c r="E410">
        <v>357.69661321300475</v>
      </c>
      <c r="F410">
        <v>74.75071670073406</v>
      </c>
      <c r="G410">
        <v>12997.743065172897</v>
      </c>
      <c r="H410">
        <v>289989.36370575486</v>
      </c>
      <c r="I410">
        <v>245.24513353161109</v>
      </c>
    </row>
    <row r="411" spans="2:9" x14ac:dyDescent="0.2">
      <c r="B411" s="1">
        <v>407</v>
      </c>
      <c r="C411" s="15">
        <v>43702</v>
      </c>
      <c r="D411">
        <v>53.15</v>
      </c>
      <c r="E411">
        <v>361.55284947356245</v>
      </c>
      <c r="F411">
        <v>74.821422602748527</v>
      </c>
      <c r="G411">
        <v>13133.651024979838</v>
      </c>
      <c r="H411">
        <v>293115.6653205601</v>
      </c>
      <c r="I411">
        <v>245.47710827575213</v>
      </c>
    </row>
    <row r="412" spans="2:9" x14ac:dyDescent="0.2">
      <c r="B412" s="1">
        <v>408</v>
      </c>
      <c r="C412" s="15">
        <v>43705</v>
      </c>
      <c r="D412">
        <v>52.29</v>
      </c>
      <c r="E412">
        <v>355.52309822978134</v>
      </c>
      <c r="F412">
        <v>74.710864283234983</v>
      </c>
      <c r="G412">
        <v>12921.140396918076</v>
      </c>
      <c r="H412">
        <v>288227.2664319555</v>
      </c>
      <c r="I412">
        <v>245.11438413036794</v>
      </c>
    </row>
    <row r="413" spans="2:9" x14ac:dyDescent="0.2">
      <c r="B413" s="1">
        <v>409</v>
      </c>
      <c r="C413" s="15">
        <v>43710</v>
      </c>
      <c r="D413">
        <v>51.61</v>
      </c>
      <c r="E413">
        <v>350.75538794400097</v>
      </c>
      <c r="F413">
        <v>74.623446077107999</v>
      </c>
      <c r="G413">
        <v>12753.108737520402</v>
      </c>
      <c r="H413">
        <v>284362.02079910546</v>
      </c>
      <c r="I413">
        <v>244.82757899215719</v>
      </c>
    </row>
    <row r="414" spans="2:9" x14ac:dyDescent="0.2">
      <c r="B414" s="1">
        <v>410</v>
      </c>
      <c r="C414" s="15">
        <v>43715</v>
      </c>
      <c r="D414">
        <v>50.33</v>
      </c>
      <c r="E414">
        <v>341.7808744648849</v>
      </c>
      <c r="F414">
        <v>74.458894159692491</v>
      </c>
      <c r="G414">
        <v>12436.813849242431</v>
      </c>
      <c r="H414">
        <v>277086.26431374048</v>
      </c>
      <c r="I414">
        <v>244.28771049670164</v>
      </c>
    </row>
    <row r="415" spans="2:9" x14ac:dyDescent="0.2">
      <c r="B415" s="1">
        <v>411</v>
      </c>
      <c r="C415" s="15">
        <v>43718</v>
      </c>
      <c r="D415">
        <v>50.73</v>
      </c>
      <c r="E415">
        <v>344.58540992710863</v>
      </c>
      <c r="F415">
        <v>74.510316633884841</v>
      </c>
      <c r="G415">
        <v>12535.656001829297</v>
      </c>
      <c r="H415">
        <v>279359.93821541697</v>
      </c>
      <c r="I415">
        <v>244.45641940153152</v>
      </c>
    </row>
    <row r="416" spans="2:9" x14ac:dyDescent="0.2">
      <c r="B416" s="1">
        <v>412</v>
      </c>
      <c r="C416" s="15">
        <v>43720</v>
      </c>
      <c r="D416">
        <v>49.94</v>
      </c>
      <c r="E416">
        <v>339.04645238921671</v>
      </c>
      <c r="F416">
        <v>74.408757247354956</v>
      </c>
      <c r="G416">
        <v>12340.442750470236</v>
      </c>
      <c r="H416">
        <v>274869.43225960585</v>
      </c>
      <c r="I416">
        <v>244.12321931449253</v>
      </c>
    </row>
    <row r="417" spans="2:9" x14ac:dyDescent="0.2">
      <c r="B417" s="1">
        <v>413</v>
      </c>
      <c r="C417" s="15">
        <v>43725</v>
      </c>
      <c r="D417">
        <v>47.88</v>
      </c>
      <c r="E417">
        <v>324.60309475876437</v>
      </c>
      <c r="F417">
        <v>74.143931505264376</v>
      </c>
      <c r="G417">
        <v>11831.405664647877</v>
      </c>
      <c r="H417">
        <v>263160.01166597178</v>
      </c>
      <c r="I417">
        <v>243.25436845461877</v>
      </c>
    </row>
    <row r="418" spans="2:9" x14ac:dyDescent="0.2">
      <c r="B418" s="1">
        <v>414</v>
      </c>
      <c r="C418" s="15">
        <v>43726</v>
      </c>
      <c r="D418">
        <v>48.46</v>
      </c>
      <c r="E418">
        <v>328.66967117898878</v>
      </c>
      <c r="F418">
        <v>74.218494092843272</v>
      </c>
      <c r="G418">
        <v>11974.726785898833</v>
      </c>
      <c r="H418">
        <v>266456.83882340271</v>
      </c>
      <c r="I418">
        <v>243.49899636662207</v>
      </c>
    </row>
    <row r="419" spans="2:9" x14ac:dyDescent="0.2">
      <c r="B419" s="1">
        <v>415</v>
      </c>
      <c r="C419" s="15">
        <v>43730</v>
      </c>
      <c r="D419">
        <v>47.83</v>
      </c>
      <c r="E419">
        <v>324.25252782598636</v>
      </c>
      <c r="F419">
        <v>74.137503695990333</v>
      </c>
      <c r="G419">
        <v>11819.050395574517</v>
      </c>
      <c r="H419">
        <v>262875.80242826213</v>
      </c>
      <c r="I419">
        <v>243.23327984151504</v>
      </c>
    </row>
    <row r="420" spans="2:9" x14ac:dyDescent="0.2">
      <c r="B420" s="1">
        <v>416</v>
      </c>
      <c r="C420" s="15">
        <v>43734</v>
      </c>
      <c r="D420">
        <v>47.56</v>
      </c>
      <c r="E420">
        <v>322.35946638898531</v>
      </c>
      <c r="F420">
        <v>74.102793525910499</v>
      </c>
      <c r="G420">
        <v>11752.331942578383</v>
      </c>
      <c r="H420">
        <v>261341.0725446305</v>
      </c>
      <c r="I420">
        <v>243.1194013307549</v>
      </c>
    </row>
    <row r="421" spans="2:9" x14ac:dyDescent="0.2">
      <c r="B421" s="1">
        <v>417</v>
      </c>
      <c r="C421" s="15">
        <v>43735</v>
      </c>
      <c r="D421">
        <v>49.23</v>
      </c>
      <c r="E421">
        <v>334.06840194376952</v>
      </c>
      <c r="F421">
        <v>74.317482355663543</v>
      </c>
      <c r="G421">
        <v>12164.997929628547</v>
      </c>
      <c r="H421">
        <v>270833.66108413006</v>
      </c>
      <c r="I421">
        <v>243.82376100841955</v>
      </c>
    </row>
    <row r="422" spans="2:9" x14ac:dyDescent="0.2">
      <c r="B422" s="1">
        <v>418</v>
      </c>
      <c r="C422" s="15">
        <v>43740</v>
      </c>
      <c r="D422">
        <v>49.44</v>
      </c>
      <c r="E422">
        <v>335.54078306143703</v>
      </c>
      <c r="F422">
        <v>74.344479154614518</v>
      </c>
      <c r="G422">
        <v>12216.890059736654</v>
      </c>
      <c r="H422">
        <v>272027.33988251019</v>
      </c>
      <c r="I422">
        <v>243.91233318345519</v>
      </c>
    </row>
    <row r="423" spans="2:9" x14ac:dyDescent="0.2">
      <c r="B423" s="1">
        <v>419</v>
      </c>
      <c r="C423" s="15">
        <v>43742</v>
      </c>
      <c r="D423">
        <v>51.9</v>
      </c>
      <c r="E423">
        <v>352.78867615411315</v>
      </c>
      <c r="F423">
        <v>74.660727370897447</v>
      </c>
      <c r="G423">
        <v>12824.76929814588</v>
      </c>
      <c r="H423">
        <v>286010.43437782087</v>
      </c>
      <c r="I423">
        <v>244.94989294815883</v>
      </c>
    </row>
    <row r="424" spans="2:9" x14ac:dyDescent="0.2">
      <c r="B424" s="1">
        <v>420</v>
      </c>
      <c r="C424" s="15">
        <v>43750</v>
      </c>
      <c r="D424">
        <v>54.47</v>
      </c>
      <c r="E424">
        <v>370.80781649890088</v>
      </c>
      <c r="F424">
        <v>74.991116767583279</v>
      </c>
      <c r="G424">
        <v>13459.830128516494</v>
      </c>
      <c r="H424">
        <v>300618.78919609264</v>
      </c>
      <c r="I424">
        <v>246.03384766169069</v>
      </c>
    </row>
    <row r="425" spans="2:9" x14ac:dyDescent="0.2">
      <c r="B425" s="1">
        <v>421</v>
      </c>
      <c r="C425" s="15">
        <v>43750</v>
      </c>
      <c r="D425">
        <v>54.7</v>
      </c>
      <c r="E425">
        <v>372.48706481815293</v>
      </c>
      <c r="F425">
        <v>75.018956396753026</v>
      </c>
      <c r="G425">
        <v>13516.664366253945</v>
      </c>
      <c r="H425">
        <v>301980.17796415981</v>
      </c>
      <c r="I425">
        <v>246.12518502773278</v>
      </c>
    </row>
    <row r="426" spans="2:9" x14ac:dyDescent="0.2">
      <c r="B426" s="1">
        <v>422</v>
      </c>
      <c r="C426" s="15">
        <v>43755</v>
      </c>
      <c r="D426">
        <v>53.95</v>
      </c>
      <c r="E426">
        <v>367.16192039801001</v>
      </c>
      <c r="F426">
        <v>74.924267551133227</v>
      </c>
      <c r="G426">
        <v>13331.335330153572</v>
      </c>
      <c r="H426">
        <v>297663.0131239132</v>
      </c>
      <c r="I426">
        <v>245.81452608541184</v>
      </c>
    </row>
    <row r="427" spans="2:9" x14ac:dyDescent="0.2">
      <c r="B427" s="1">
        <v>423</v>
      </c>
      <c r="C427" s="15">
        <v>43758</v>
      </c>
      <c r="D427">
        <v>53.97</v>
      </c>
      <c r="E427">
        <v>367.30214717112119</v>
      </c>
      <c r="F427">
        <v>74.926838674842841</v>
      </c>
      <c r="G427">
        <v>13336.277437782914</v>
      </c>
      <c r="H427">
        <v>297776.69681899698</v>
      </c>
      <c r="I427">
        <v>245.82296153065334</v>
      </c>
    </row>
    <row r="428" spans="2:9" x14ac:dyDescent="0.2">
      <c r="B428" s="1">
        <v>424</v>
      </c>
      <c r="C428" s="15">
        <v>43760</v>
      </c>
      <c r="D428">
        <v>53.2</v>
      </c>
      <c r="E428">
        <v>361.90341640634045</v>
      </c>
      <c r="F428">
        <v>74.82785041202257</v>
      </c>
      <c r="G428">
        <v>13146.006294053197</v>
      </c>
      <c r="H428">
        <v>293399.87455826969</v>
      </c>
      <c r="I428">
        <v>245.49819688885586</v>
      </c>
    </row>
    <row r="429" spans="2:9" x14ac:dyDescent="0.2">
      <c r="B429" s="1">
        <v>425</v>
      </c>
      <c r="C429" s="15">
        <v>43765</v>
      </c>
      <c r="D429">
        <v>53.13</v>
      </c>
      <c r="E429">
        <v>361.41262270045127</v>
      </c>
      <c r="F429">
        <v>74.818851479038912</v>
      </c>
      <c r="G429">
        <v>13128.708917350496</v>
      </c>
      <c r="H429">
        <v>293001.98162547627</v>
      </c>
      <c r="I429">
        <v>245.46867283051063</v>
      </c>
    </row>
    <row r="430" spans="2:9" x14ac:dyDescent="0.2">
      <c r="B430" s="1">
        <v>426</v>
      </c>
      <c r="C430" s="15">
        <v>43766</v>
      </c>
      <c r="D430">
        <v>53.41</v>
      </c>
      <c r="E430">
        <v>363.37579752400785</v>
      </c>
      <c r="F430">
        <v>74.85484721097356</v>
      </c>
      <c r="G430">
        <v>13197.8984241613</v>
      </c>
      <c r="H430">
        <v>294593.55335664976</v>
      </c>
      <c r="I430">
        <v>245.58676906389155</v>
      </c>
    </row>
    <row r="431" spans="2:9" x14ac:dyDescent="0.2">
      <c r="B431" s="1">
        <v>427</v>
      </c>
      <c r="C431" s="15">
        <v>43770</v>
      </c>
      <c r="D431">
        <v>52.15</v>
      </c>
      <c r="E431">
        <v>354.54151081800302</v>
      </c>
      <c r="F431">
        <v>74.692866417267666</v>
      </c>
      <c r="G431">
        <v>12886.545643512671</v>
      </c>
      <c r="H431">
        <v>287431.48056636873</v>
      </c>
      <c r="I431">
        <v>245.05533601367748</v>
      </c>
    </row>
    <row r="432" spans="2:9" x14ac:dyDescent="0.2">
      <c r="B432" s="1">
        <v>428</v>
      </c>
      <c r="C432" s="15">
        <v>43774</v>
      </c>
      <c r="D432">
        <v>52.59</v>
      </c>
      <c r="E432">
        <v>357.62649982644922</v>
      </c>
      <c r="F432">
        <v>74.749431138879245</v>
      </c>
      <c r="G432">
        <v>12995.272011358225</v>
      </c>
      <c r="H432">
        <v>289932.52185821295</v>
      </c>
      <c r="I432">
        <v>245.24091580899034</v>
      </c>
    </row>
    <row r="433" spans="2:9" x14ac:dyDescent="0.2">
      <c r="B433" s="1">
        <v>429</v>
      </c>
      <c r="C433" s="15">
        <v>43775</v>
      </c>
      <c r="D433">
        <v>51.66</v>
      </c>
      <c r="E433">
        <v>351.10595487677892</v>
      </c>
      <c r="F433">
        <v>74.629873886382043</v>
      </c>
      <c r="G433">
        <v>12765.46400659376</v>
      </c>
      <c r="H433">
        <v>284646.23003681499</v>
      </c>
      <c r="I433">
        <v>244.84866760526091</v>
      </c>
    </row>
    <row r="434" spans="2:9" x14ac:dyDescent="0.2">
      <c r="B434" s="1">
        <v>430</v>
      </c>
      <c r="C434" s="15">
        <v>43780</v>
      </c>
      <c r="D434">
        <v>50.34</v>
      </c>
      <c r="E434">
        <v>341.85098785144049</v>
      </c>
      <c r="F434">
        <v>74.460179721547306</v>
      </c>
      <c r="G434">
        <v>12439.284903057103</v>
      </c>
      <c r="H434">
        <v>277143.1061612824</v>
      </c>
      <c r="I434">
        <v>244.29192821932241</v>
      </c>
    </row>
    <row r="435" spans="2:9" x14ac:dyDescent="0.2">
      <c r="B435" s="1">
        <v>431</v>
      </c>
      <c r="C435" s="15">
        <v>43782</v>
      </c>
      <c r="D435">
        <v>50.96</v>
      </c>
      <c r="E435">
        <v>346.19801781788732</v>
      </c>
      <c r="F435">
        <v>74.539884556545445</v>
      </c>
      <c r="G435">
        <v>12592.490239566747</v>
      </c>
      <c r="H435">
        <v>280667.300708881</v>
      </c>
      <c r="I435">
        <v>244.55342702180869</v>
      </c>
    </row>
    <row r="436" spans="2:9" x14ac:dyDescent="0.2">
      <c r="B436" s="1">
        <v>432</v>
      </c>
      <c r="C436" s="15">
        <v>43785</v>
      </c>
      <c r="D436">
        <v>50.29</v>
      </c>
      <c r="E436">
        <v>341.50042091866254</v>
      </c>
      <c r="F436">
        <v>74.453751912273262</v>
      </c>
      <c r="G436">
        <v>12426.929633983744</v>
      </c>
      <c r="H436">
        <v>276858.89692357287</v>
      </c>
      <c r="I436">
        <v>244.27083960621866</v>
      </c>
    </row>
    <row r="437" spans="2:9" x14ac:dyDescent="0.2">
      <c r="B437" s="1">
        <v>433</v>
      </c>
      <c r="C437" s="15">
        <v>43798</v>
      </c>
      <c r="D437">
        <v>59.09</v>
      </c>
      <c r="E437">
        <v>405.08506078888774</v>
      </c>
      <c r="F437">
        <v>75.536163244147545</v>
      </c>
      <c r="G437">
        <v>14601.456990894801</v>
      </c>
      <c r="H437">
        <v>328407.80338874535</v>
      </c>
      <c r="I437">
        <v>247.82205788663191</v>
      </c>
    </row>
    <row r="438" spans="2:9" x14ac:dyDescent="0.2">
      <c r="B438" s="1">
        <v>434</v>
      </c>
      <c r="C438" s="15">
        <v>43800</v>
      </c>
      <c r="D438">
        <v>58.37</v>
      </c>
      <c r="E438">
        <v>399.73869242922279</v>
      </c>
      <c r="F438">
        <v>75.451336608583986</v>
      </c>
      <c r="G438">
        <v>14423.541116238441</v>
      </c>
      <c r="H438">
        <v>324073.43202070397</v>
      </c>
      <c r="I438">
        <v>247.54375527651635</v>
      </c>
    </row>
    <row r="439" spans="2:9" x14ac:dyDescent="0.2">
      <c r="B439" s="1">
        <v>435</v>
      </c>
      <c r="C439" s="15">
        <v>43805</v>
      </c>
      <c r="D439">
        <v>57.96</v>
      </c>
      <c r="E439">
        <v>396.69423266885804</v>
      </c>
      <c r="F439">
        <v>75.403032552221404</v>
      </c>
      <c r="G439">
        <v>14322.227909836904</v>
      </c>
      <c r="H439">
        <v>321605.24832501379</v>
      </c>
      <c r="I439">
        <v>247.38527740131167</v>
      </c>
    </row>
    <row r="440" spans="2:9" x14ac:dyDescent="0.2">
      <c r="B440" s="1">
        <v>436</v>
      </c>
      <c r="C440" s="15">
        <v>43814</v>
      </c>
      <c r="D440">
        <v>57.67</v>
      </c>
      <c r="E440">
        <v>394.54083430177076</v>
      </c>
      <c r="F440">
        <v>75.368866268452734</v>
      </c>
      <c r="G440">
        <v>14250.567349211426</v>
      </c>
      <c r="H440">
        <v>319859.45985733042</v>
      </c>
      <c r="I440">
        <v>247.27318329445953</v>
      </c>
    </row>
    <row r="441" spans="2:9" x14ac:dyDescent="0.2">
      <c r="B441" s="1">
        <v>437</v>
      </c>
      <c r="C441" s="15">
        <v>43815</v>
      </c>
      <c r="D441">
        <v>55.98</v>
      </c>
      <c r="E441">
        <v>381.99171967977946</v>
      </c>
      <c r="F441">
        <v>75.169759304421589</v>
      </c>
      <c r="G441">
        <v>13832.959254531916</v>
      </c>
      <c r="H441">
        <v>309685.72706290003</v>
      </c>
      <c r="I441">
        <v>246.6199452234938</v>
      </c>
    </row>
    <row r="442" spans="2:9" x14ac:dyDescent="0.2">
      <c r="B442" s="1">
        <v>438</v>
      </c>
      <c r="C442" s="15">
        <v>43820</v>
      </c>
      <c r="D442">
        <v>57.36</v>
      </c>
      <c r="E442">
        <v>392.23892570247057</v>
      </c>
      <c r="F442">
        <v>75.332343689251758</v>
      </c>
      <c r="G442">
        <v>14173.964680956602</v>
      </c>
      <c r="H442">
        <v>317993.27218497929</v>
      </c>
      <c r="I442">
        <v>247.15335855954865</v>
      </c>
    </row>
    <row r="443" spans="2:9" x14ac:dyDescent="0.2">
      <c r="B443" s="1">
        <v>439</v>
      </c>
      <c r="C443" s="15">
        <v>43822</v>
      </c>
      <c r="D443">
        <v>57.33</v>
      </c>
      <c r="E443">
        <v>392.01616035415122</v>
      </c>
      <c r="F443">
        <v>75.328809246103276</v>
      </c>
      <c r="G443">
        <v>14166.551519512588</v>
      </c>
      <c r="H443">
        <v>317812.67337797757</v>
      </c>
      <c r="I443">
        <v>247.1417626174605</v>
      </c>
    </row>
    <row r="444" spans="2:9" x14ac:dyDescent="0.2">
      <c r="B444" s="1">
        <v>440</v>
      </c>
      <c r="C444" s="15">
        <v>43825</v>
      </c>
      <c r="D444">
        <v>57.05</v>
      </c>
      <c r="E444">
        <v>389.93701710317038</v>
      </c>
      <c r="F444">
        <v>75.295821110050781</v>
      </c>
      <c r="G444">
        <v>14097.36201270178</v>
      </c>
      <c r="H444">
        <v>316127.08451262815</v>
      </c>
      <c r="I444">
        <v>247.0335338246378</v>
      </c>
    </row>
    <row r="445" spans="2:9" x14ac:dyDescent="0.2">
      <c r="B445" s="1">
        <v>441</v>
      </c>
      <c r="C445" s="15">
        <v>43830</v>
      </c>
      <c r="D445">
        <v>56.56</v>
      </c>
      <c r="E445">
        <v>386.29851641395402</v>
      </c>
      <c r="F445">
        <v>75.2380918719589</v>
      </c>
      <c r="G445">
        <v>13976.280375782873</v>
      </c>
      <c r="H445">
        <v>313177.3039982667</v>
      </c>
      <c r="I445">
        <v>246.844133437198</v>
      </c>
    </row>
    <row r="446" spans="2:9" x14ac:dyDescent="0.2">
      <c r="B446" s="1">
        <v>442</v>
      </c>
      <c r="C446" s="15">
        <v>43830</v>
      </c>
      <c r="D446">
        <v>56.83</v>
      </c>
      <c r="E446">
        <v>388.30340454882833</v>
      </c>
      <c r="F446">
        <v>75.269901860295249</v>
      </c>
      <c r="G446">
        <v>14042.998828779006</v>
      </c>
      <c r="H446">
        <v>314802.69326128217</v>
      </c>
      <c r="I446">
        <v>246.94849691599137</v>
      </c>
    </row>
    <row r="447" spans="2:9" x14ac:dyDescent="0.2">
      <c r="B447" s="1">
        <v>443</v>
      </c>
      <c r="C447" s="15">
        <v>43838</v>
      </c>
      <c r="D447">
        <v>61.08</v>
      </c>
      <c r="E447">
        <v>419.86182889407274</v>
      </c>
      <c r="F447">
        <v>75.770614639663521</v>
      </c>
      <c r="G447">
        <v>15093.196700014458</v>
      </c>
      <c r="H447">
        <v>340387.524253193</v>
      </c>
      <c r="I447">
        <v>248.59125537847913</v>
      </c>
    </row>
    <row r="448" spans="2:9" x14ac:dyDescent="0.2">
      <c r="B448" s="1">
        <v>444</v>
      </c>
      <c r="C448" s="15">
        <v>43846</v>
      </c>
      <c r="D448">
        <v>62.54</v>
      </c>
      <c r="E448">
        <v>430.7030758456155</v>
      </c>
      <c r="F448">
        <v>75.942624206222973</v>
      </c>
      <c r="G448">
        <v>15453.970556956519</v>
      </c>
      <c r="H448">
        <v>349176.66619394353</v>
      </c>
      <c r="I448">
        <v>249.15559122676905</v>
      </c>
    </row>
    <row r="449" spans="2:9" x14ac:dyDescent="0.2">
      <c r="B449" s="1">
        <v>445</v>
      </c>
      <c r="C449" s="15">
        <v>43850</v>
      </c>
      <c r="D449">
        <v>59.49</v>
      </c>
      <c r="E449">
        <v>408.05526543314602</v>
      </c>
      <c r="F449">
        <v>75.583289152793981</v>
      </c>
      <c r="G449">
        <v>14700.299143481665</v>
      </c>
      <c r="H449">
        <v>330815.78748210164</v>
      </c>
      <c r="I449">
        <v>247.97667044780727</v>
      </c>
    </row>
    <row r="450" spans="2:9" x14ac:dyDescent="0.2">
      <c r="B450" s="1">
        <v>446</v>
      </c>
      <c r="C450" s="15">
        <v>43855</v>
      </c>
      <c r="D450">
        <v>58.13</v>
      </c>
      <c r="E450">
        <v>397.95656964266783</v>
      </c>
      <c r="F450">
        <v>75.423061063396133</v>
      </c>
      <c r="G450">
        <v>14364.235824686322</v>
      </c>
      <c r="H450">
        <v>322628.64156469022</v>
      </c>
      <c r="I450">
        <v>247.45098773981118</v>
      </c>
    </row>
    <row r="451" spans="2:9" x14ac:dyDescent="0.2">
      <c r="B451" s="1">
        <v>447</v>
      </c>
      <c r="C451" s="15">
        <v>43860</v>
      </c>
      <c r="D451">
        <v>57.57</v>
      </c>
      <c r="E451">
        <v>393.79828314070619</v>
      </c>
      <c r="F451">
        <v>75.357084791291129</v>
      </c>
      <c r="G451">
        <v>14225.856811064708</v>
      </c>
      <c r="H451">
        <v>319257.46383399138</v>
      </c>
      <c r="I451">
        <v>247.2345301541657</v>
      </c>
    </row>
    <row r="452" spans="2:9" x14ac:dyDescent="0.2">
      <c r="B452" s="1">
        <v>448</v>
      </c>
      <c r="C452" s="15">
        <v>43862</v>
      </c>
      <c r="D452">
        <v>57.56</v>
      </c>
      <c r="E452">
        <v>393.72402802459976</v>
      </c>
      <c r="F452">
        <v>75.355906643574968</v>
      </c>
      <c r="G452">
        <v>14223.385757250036</v>
      </c>
      <c r="H452">
        <v>319197.26423165749</v>
      </c>
      <c r="I452">
        <v>247.23066484013631</v>
      </c>
    </row>
    <row r="453" spans="2:9" x14ac:dyDescent="0.2">
      <c r="B453" s="1">
        <v>449</v>
      </c>
      <c r="C453" s="15">
        <v>43865</v>
      </c>
      <c r="D453">
        <v>57.63</v>
      </c>
      <c r="E453">
        <v>394.24381383734499</v>
      </c>
      <c r="F453">
        <v>75.364153677588092</v>
      </c>
      <c r="G453">
        <v>14240.683133952738</v>
      </c>
      <c r="H453">
        <v>319618.66144799488</v>
      </c>
      <c r="I453">
        <v>247.257722038342</v>
      </c>
    </row>
    <row r="454" spans="2:9" x14ac:dyDescent="0.2">
      <c r="B454" s="1">
        <v>450</v>
      </c>
      <c r="C454" s="15">
        <v>43870</v>
      </c>
      <c r="D454">
        <v>57.38</v>
      </c>
      <c r="E454">
        <v>392.38743593468354</v>
      </c>
      <c r="F454">
        <v>75.334699984684079</v>
      </c>
      <c r="G454">
        <v>14178.906788585948</v>
      </c>
      <c r="H454">
        <v>318113.67138964712</v>
      </c>
      <c r="I454">
        <v>247.16108918760742</v>
      </c>
    </row>
    <row r="455" spans="2:9" x14ac:dyDescent="0.2">
      <c r="B455" s="1">
        <v>451</v>
      </c>
      <c r="C455" s="15">
        <v>43870</v>
      </c>
      <c r="D455">
        <v>57.29</v>
      </c>
      <c r="E455">
        <v>391.7191398897254</v>
      </c>
      <c r="F455">
        <v>75.324096655238634</v>
      </c>
      <c r="G455">
        <v>14156.667304253901</v>
      </c>
      <c r="H455">
        <v>317571.87496864196</v>
      </c>
      <c r="I455">
        <v>247.126301361343</v>
      </c>
    </row>
    <row r="456" spans="2:9" x14ac:dyDescent="0.2">
      <c r="B456" s="1">
        <v>452</v>
      </c>
      <c r="C456" s="15">
        <v>43875</v>
      </c>
      <c r="D456">
        <v>57.05</v>
      </c>
      <c r="E456">
        <v>389.93701710317038</v>
      </c>
      <c r="F456">
        <v>75.295821110050781</v>
      </c>
      <c r="G456">
        <v>14097.36201270178</v>
      </c>
      <c r="H456">
        <v>316127.08451262815</v>
      </c>
      <c r="I456">
        <v>247.0335338246378</v>
      </c>
    </row>
    <row r="457" spans="2:9" x14ac:dyDescent="0.2">
      <c r="B457" s="1">
        <v>453</v>
      </c>
      <c r="C457" s="15">
        <v>43878</v>
      </c>
      <c r="D457">
        <v>56.55</v>
      </c>
      <c r="E457">
        <v>386.22426129784753</v>
      </c>
      <c r="F457">
        <v>75.23691372424274</v>
      </c>
      <c r="G457">
        <v>13973.8093219682</v>
      </c>
      <c r="H457">
        <v>313117.10439593275</v>
      </c>
      <c r="I457">
        <v>246.84026812316861</v>
      </c>
    </row>
    <row r="458" spans="2:9" x14ac:dyDescent="0.2">
      <c r="B458" s="1">
        <v>454</v>
      </c>
      <c r="C458" s="15">
        <v>43880</v>
      </c>
      <c r="D458">
        <v>57.79</v>
      </c>
      <c r="E458">
        <v>395.43189569504824</v>
      </c>
      <c r="F458">
        <v>75.383004041046661</v>
      </c>
      <c r="G458">
        <v>14280.219994987485</v>
      </c>
      <c r="H458">
        <v>320581.8550853373</v>
      </c>
      <c r="I458">
        <v>247.31956706281213</v>
      </c>
    </row>
    <row r="459" spans="2:9" x14ac:dyDescent="0.2">
      <c r="B459" s="1">
        <v>455</v>
      </c>
      <c r="C459" s="15">
        <v>43885</v>
      </c>
      <c r="D459">
        <v>56.35</v>
      </c>
      <c r="E459">
        <v>384.7391589757184</v>
      </c>
      <c r="F459">
        <v>75.213350769919529</v>
      </c>
      <c r="G459">
        <v>13924.388245674767</v>
      </c>
      <c r="H459">
        <v>311913.1123492546</v>
      </c>
      <c r="I459">
        <v>246.76296184258098</v>
      </c>
    </row>
    <row r="460" spans="2:9" x14ac:dyDescent="0.2">
      <c r="B460" s="1">
        <v>456</v>
      </c>
      <c r="C460" s="15">
        <v>43890</v>
      </c>
      <c r="D460">
        <v>56.28</v>
      </c>
      <c r="E460">
        <v>384.21937316297323</v>
      </c>
      <c r="F460">
        <v>75.205103735906405</v>
      </c>
      <c r="G460">
        <v>13907.090868972065</v>
      </c>
      <c r="H460">
        <v>311491.71513291728</v>
      </c>
      <c r="I460">
        <v>246.7359046443753</v>
      </c>
    </row>
    <row r="461" spans="2:9" x14ac:dyDescent="0.2">
      <c r="B461" s="1">
        <v>457</v>
      </c>
      <c r="C461" s="15">
        <v>43894</v>
      </c>
      <c r="D461">
        <v>56.37</v>
      </c>
      <c r="E461">
        <v>384.88766920793131</v>
      </c>
      <c r="F461">
        <v>75.21570706535185</v>
      </c>
      <c r="G461">
        <v>13929.330353304109</v>
      </c>
      <c r="H461">
        <v>312033.51155392244</v>
      </c>
      <c r="I461">
        <v>246.77069247063974</v>
      </c>
    </row>
    <row r="462" spans="2:9" x14ac:dyDescent="0.2">
      <c r="B462" s="1">
        <v>458</v>
      </c>
      <c r="C462" s="15">
        <v>43895</v>
      </c>
      <c r="D462">
        <v>56.73</v>
      </c>
      <c r="E462">
        <v>387.56085338776376</v>
      </c>
      <c r="F462">
        <v>75.258120383133644</v>
      </c>
      <c r="G462">
        <v>14018.28829063229</v>
      </c>
      <c r="H462">
        <v>314200.69723794312</v>
      </c>
      <c r="I462">
        <v>246.90984377569757</v>
      </c>
    </row>
    <row r="463" spans="2:9" x14ac:dyDescent="0.2">
      <c r="B463" s="1">
        <v>459</v>
      </c>
      <c r="C463" s="15">
        <v>43900</v>
      </c>
      <c r="D463">
        <v>55.45</v>
      </c>
      <c r="E463">
        <v>378.05619852613728</v>
      </c>
      <c r="F463">
        <v>75.107317475465081</v>
      </c>
      <c r="G463">
        <v>13701.993402354319</v>
      </c>
      <c r="H463">
        <v>306495.14813920297</v>
      </c>
      <c r="I463">
        <v>246.41508357993652</v>
      </c>
    </row>
    <row r="464" spans="2:9" x14ac:dyDescent="0.2">
      <c r="B464" s="1">
        <v>460</v>
      </c>
      <c r="C464" s="15">
        <v>43902</v>
      </c>
      <c r="D464">
        <v>55.39</v>
      </c>
      <c r="E464">
        <v>377.61066782949848</v>
      </c>
      <c r="F464">
        <v>75.100248589168103</v>
      </c>
      <c r="G464">
        <v>13687.167079466288</v>
      </c>
      <c r="H464">
        <v>306133.95052519947</v>
      </c>
      <c r="I464">
        <v>246.39189169576019</v>
      </c>
    </row>
    <row r="465" spans="2:9" x14ac:dyDescent="0.2">
      <c r="B465" s="1">
        <v>461</v>
      </c>
      <c r="C465" s="15">
        <v>43910</v>
      </c>
      <c r="D465">
        <v>54.77</v>
      </c>
      <c r="E465">
        <v>373.00685063089816</v>
      </c>
      <c r="F465">
        <v>75.02720343076615</v>
      </c>
      <c r="G465">
        <v>13533.961742956646</v>
      </c>
      <c r="H465">
        <v>302401.5751804972</v>
      </c>
      <c r="I465">
        <v>246.15224222593847</v>
      </c>
    </row>
    <row r="466" spans="2:9" x14ac:dyDescent="0.2">
      <c r="B466" s="1">
        <v>462</v>
      </c>
      <c r="C466" s="15">
        <v>43910</v>
      </c>
      <c r="D466">
        <v>54.87</v>
      </c>
      <c r="E466">
        <v>373.74940179196267</v>
      </c>
      <c r="F466">
        <v>75.038984907927755</v>
      </c>
      <c r="G466">
        <v>13558.672281103361</v>
      </c>
      <c r="H466">
        <v>303003.57120383624</v>
      </c>
      <c r="I466">
        <v>246.1908953662323</v>
      </c>
    </row>
    <row r="467" spans="2:9" x14ac:dyDescent="0.2">
      <c r="B467" s="1">
        <v>463</v>
      </c>
      <c r="C467" s="15">
        <v>43915</v>
      </c>
      <c r="D467">
        <v>60.78</v>
      </c>
      <c r="E467">
        <v>417.63417541087904</v>
      </c>
      <c r="F467">
        <v>75.735270208178704</v>
      </c>
      <c r="G467">
        <v>15019.06508557431</v>
      </c>
      <c r="H467">
        <v>338581.53618317581</v>
      </c>
      <c r="I467">
        <v>248.47529595759767</v>
      </c>
    </row>
    <row r="468" spans="2:9" x14ac:dyDescent="0.2">
      <c r="B468" s="1">
        <v>464</v>
      </c>
      <c r="C468" s="15">
        <v>43918</v>
      </c>
      <c r="D468">
        <v>58.99</v>
      </c>
      <c r="E468">
        <v>404.34250962782318</v>
      </c>
      <c r="F468">
        <v>75.52438176698594</v>
      </c>
      <c r="G468">
        <v>14576.746452748084</v>
      </c>
      <c r="H468">
        <v>327805.8073654063</v>
      </c>
      <c r="I468">
        <v>247.78340474633808</v>
      </c>
    </row>
    <row r="469" spans="2:9" x14ac:dyDescent="0.2">
      <c r="B469" s="1">
        <v>465</v>
      </c>
      <c r="C469" s="15">
        <v>43920</v>
      </c>
      <c r="D469">
        <v>54.63</v>
      </c>
      <c r="E469">
        <v>371.96727900540776</v>
      </c>
      <c r="F469">
        <v>75.010709362739902</v>
      </c>
      <c r="G469">
        <v>13499.366989551243</v>
      </c>
      <c r="H469">
        <v>301558.78074782249</v>
      </c>
      <c r="I469">
        <v>246.0981278295271</v>
      </c>
    </row>
    <row r="470" spans="2:9" x14ac:dyDescent="0.2">
      <c r="B470" s="1">
        <v>466</v>
      </c>
      <c r="C470" s="15">
        <v>43925</v>
      </c>
      <c r="D470">
        <v>58.52</v>
      </c>
      <c r="E470">
        <v>400.85251917081968</v>
      </c>
      <c r="F470">
        <v>75.469008824326394</v>
      </c>
      <c r="G470">
        <v>14460.606923458516</v>
      </c>
      <c r="H470">
        <v>324976.42605571263</v>
      </c>
      <c r="I470">
        <v>247.6017349869571</v>
      </c>
    </row>
    <row r="471" spans="2:9" x14ac:dyDescent="0.2">
      <c r="B471" s="1">
        <v>467</v>
      </c>
      <c r="C471" s="15">
        <v>43926</v>
      </c>
      <c r="D471">
        <v>58.27</v>
      </c>
      <c r="E471">
        <v>398.99614126815823</v>
      </c>
      <c r="F471">
        <v>75.439555131422381</v>
      </c>
      <c r="G471">
        <v>14398.830578091725</v>
      </c>
      <c r="H471">
        <v>323471.43599736493</v>
      </c>
      <c r="I471">
        <v>247.50510213622252</v>
      </c>
    </row>
    <row r="472" spans="2:9" x14ac:dyDescent="0.2">
      <c r="B472" s="1">
        <v>468</v>
      </c>
      <c r="C472" s="15">
        <v>43930</v>
      </c>
      <c r="D472">
        <v>57.74</v>
      </c>
      <c r="E472">
        <v>395.06062011451598</v>
      </c>
      <c r="F472">
        <v>75.377113302465858</v>
      </c>
      <c r="G472">
        <v>14267.864725914127</v>
      </c>
      <c r="H472">
        <v>320280.85707366781</v>
      </c>
      <c r="I472">
        <v>247.30024049266521</v>
      </c>
    </row>
    <row r="473" spans="2:9" x14ac:dyDescent="0.2">
      <c r="B473" s="1">
        <v>469</v>
      </c>
      <c r="C473" s="15">
        <v>43934</v>
      </c>
      <c r="D473">
        <v>57.6</v>
      </c>
      <c r="E473">
        <v>394.02104848902559</v>
      </c>
      <c r="F473">
        <v>75.360619234439611</v>
      </c>
      <c r="G473">
        <v>14233.269972508724</v>
      </c>
      <c r="H473">
        <v>319438.0626409931</v>
      </c>
      <c r="I473">
        <v>247.24612609625385</v>
      </c>
    </row>
    <row r="474" spans="2:9" x14ac:dyDescent="0.2">
      <c r="B474" s="1">
        <v>470</v>
      </c>
      <c r="C474" s="15">
        <v>43935</v>
      </c>
      <c r="D474">
        <v>58.37</v>
      </c>
      <c r="E474">
        <v>399.73869242922279</v>
      </c>
      <c r="F474">
        <v>75.451336608583986</v>
      </c>
      <c r="G474">
        <v>14423.541116238441</v>
      </c>
      <c r="H474">
        <v>324073.43202070397</v>
      </c>
      <c r="I474">
        <v>247.54375527651635</v>
      </c>
    </row>
    <row r="475" spans="2:9" x14ac:dyDescent="0.2">
      <c r="B475" s="1">
        <v>471</v>
      </c>
      <c r="C475" s="15">
        <v>43940</v>
      </c>
      <c r="D475">
        <v>59.94</v>
      </c>
      <c r="E475">
        <v>411.39674565793655</v>
      </c>
      <c r="F475">
        <v>75.636305800021205</v>
      </c>
      <c r="G475">
        <v>14811.49656514189</v>
      </c>
      <c r="H475">
        <v>333524.76958712749</v>
      </c>
      <c r="I475">
        <v>248.15060957912948</v>
      </c>
    </row>
    <row r="476" spans="2:9" x14ac:dyDescent="0.2">
      <c r="B476" s="1">
        <v>472</v>
      </c>
      <c r="C476" s="15">
        <v>43942</v>
      </c>
      <c r="D476">
        <v>56.81</v>
      </c>
      <c r="E476">
        <v>388.15489431661547</v>
      </c>
      <c r="F476">
        <v>75.267545564862928</v>
      </c>
      <c r="G476">
        <v>14038.056721149662</v>
      </c>
      <c r="H476">
        <v>314682.2940566144</v>
      </c>
      <c r="I476">
        <v>246.9407662879326</v>
      </c>
    </row>
    <row r="477" spans="2:9" x14ac:dyDescent="0.2">
      <c r="B477" s="1">
        <v>473</v>
      </c>
      <c r="C477" s="15">
        <v>43945</v>
      </c>
      <c r="D477">
        <v>56.44</v>
      </c>
      <c r="E477">
        <v>385.40745502067648</v>
      </c>
      <c r="F477">
        <v>75.223954099364974</v>
      </c>
      <c r="G477">
        <v>13946.627730006812</v>
      </c>
      <c r="H477">
        <v>312454.90877025976</v>
      </c>
      <c r="I477">
        <v>246.79774966884543</v>
      </c>
    </row>
    <row r="478" spans="2:9" x14ac:dyDescent="0.2">
      <c r="B478" s="1">
        <v>474</v>
      </c>
      <c r="C478" s="15">
        <v>43950</v>
      </c>
      <c r="D478">
        <v>56.08</v>
      </c>
      <c r="E478">
        <v>382.73427084084403</v>
      </c>
      <c r="F478">
        <v>75.181540781583195</v>
      </c>
      <c r="G478">
        <v>13857.669792678631</v>
      </c>
      <c r="H478">
        <v>310287.72308623907</v>
      </c>
      <c r="I478">
        <v>246.65859836378763</v>
      </c>
    </row>
    <row r="479" spans="2:9" x14ac:dyDescent="0.2">
      <c r="B479" s="1">
        <v>475</v>
      </c>
      <c r="C479" s="15">
        <v>43950</v>
      </c>
      <c r="D479">
        <v>56.24</v>
      </c>
      <c r="E479">
        <v>383.9223526985474</v>
      </c>
      <c r="F479">
        <v>75.200391145041763</v>
      </c>
      <c r="G479">
        <v>13897.20665371338</v>
      </c>
      <c r="H479">
        <v>311250.91672358167</v>
      </c>
      <c r="I479">
        <v>246.72044338825776</v>
      </c>
    </row>
    <row r="480" spans="2:9" x14ac:dyDescent="0.2">
      <c r="B480" s="1">
        <v>476</v>
      </c>
      <c r="C480" s="15">
        <v>43955</v>
      </c>
      <c r="D480">
        <v>56.09</v>
      </c>
      <c r="E480">
        <v>382.80852595695052</v>
      </c>
      <c r="F480">
        <v>75.182718929299355</v>
      </c>
      <c r="G480">
        <v>13860.140846493305</v>
      </c>
      <c r="H480">
        <v>310347.92268857302</v>
      </c>
      <c r="I480">
        <v>246.66246367781702</v>
      </c>
    </row>
    <row r="481" spans="2:9" x14ac:dyDescent="0.2">
      <c r="B481" s="1">
        <v>477</v>
      </c>
      <c r="C481" s="15">
        <v>43958</v>
      </c>
      <c r="D481">
        <v>55.11</v>
      </c>
      <c r="E481">
        <v>375.53152457851769</v>
      </c>
      <c r="F481">
        <v>75.067260453115608</v>
      </c>
      <c r="G481">
        <v>13617.977572655482</v>
      </c>
      <c r="H481">
        <v>304448.36165985005</v>
      </c>
      <c r="I481">
        <v>246.28366290293746</v>
      </c>
    </row>
    <row r="482" spans="2:9" x14ac:dyDescent="0.2">
      <c r="B482" s="1">
        <v>478</v>
      </c>
      <c r="C482" s="15">
        <v>43960</v>
      </c>
      <c r="D482">
        <v>56.04</v>
      </c>
      <c r="E482">
        <v>382.43725037641821</v>
      </c>
      <c r="F482">
        <v>75.176828190718552</v>
      </c>
      <c r="G482">
        <v>13847.785577419945</v>
      </c>
      <c r="H482">
        <v>310046.92467690347</v>
      </c>
      <c r="I482">
        <v>246.6431371076701</v>
      </c>
    </row>
    <row r="483" spans="2:9" x14ac:dyDescent="0.2">
      <c r="B483" s="1">
        <v>479</v>
      </c>
      <c r="C483" s="15">
        <v>43965</v>
      </c>
      <c r="D483">
        <v>55.46</v>
      </c>
      <c r="E483">
        <v>378.13045364224371</v>
      </c>
      <c r="F483">
        <v>75.108495623181241</v>
      </c>
      <c r="G483">
        <v>13704.464456168989</v>
      </c>
      <c r="H483">
        <v>306555.34774153685</v>
      </c>
      <c r="I483">
        <v>246.4189488939659</v>
      </c>
    </row>
    <row r="484" spans="2:9" x14ac:dyDescent="0.2">
      <c r="B484" s="1">
        <v>480</v>
      </c>
      <c r="C484" s="15">
        <v>43966</v>
      </c>
      <c r="D484">
        <v>54.4</v>
      </c>
      <c r="E484">
        <v>370.31702279301169</v>
      </c>
      <c r="F484">
        <v>74.982117834599606</v>
      </c>
      <c r="G484">
        <v>13442.532751813793</v>
      </c>
      <c r="H484">
        <v>300220.89626329922</v>
      </c>
      <c r="I484">
        <v>246.0043236033454</v>
      </c>
    </row>
    <row r="485" spans="2:9" x14ac:dyDescent="0.2">
      <c r="B485" s="1">
        <v>481</v>
      </c>
      <c r="C485" s="15">
        <v>43974</v>
      </c>
      <c r="D485">
        <v>53.43</v>
      </c>
      <c r="E485">
        <v>363.51602429711909</v>
      </c>
      <c r="F485">
        <v>74.857418334683175</v>
      </c>
      <c r="G485">
        <v>13202.840531790644</v>
      </c>
      <c r="H485">
        <v>294707.23705173371</v>
      </c>
      <c r="I485">
        <v>245.59520450913303</v>
      </c>
    </row>
    <row r="486" spans="2:9" x14ac:dyDescent="0.2">
      <c r="B486" s="1">
        <v>482</v>
      </c>
      <c r="C486" s="15">
        <v>43975</v>
      </c>
      <c r="D486">
        <v>53.4</v>
      </c>
      <c r="E486">
        <v>363.30568413745232</v>
      </c>
      <c r="F486">
        <v>74.853561649118745</v>
      </c>
      <c r="G486">
        <v>13195.42737034663</v>
      </c>
      <c r="H486">
        <v>294536.7115091079</v>
      </c>
      <c r="I486">
        <v>245.58255134127077</v>
      </c>
    </row>
    <row r="487" spans="2:9" x14ac:dyDescent="0.2">
      <c r="B487" s="1">
        <v>483</v>
      </c>
      <c r="C487" s="15">
        <v>43980</v>
      </c>
      <c r="D487">
        <v>53.14</v>
      </c>
      <c r="E487">
        <v>361.48273608700686</v>
      </c>
      <c r="F487">
        <v>74.820137040893727</v>
      </c>
      <c r="G487">
        <v>13131.179971165166</v>
      </c>
      <c r="H487">
        <v>293058.82347301813</v>
      </c>
      <c r="I487">
        <v>245.47289055313141</v>
      </c>
    </row>
    <row r="488" spans="2:9" x14ac:dyDescent="0.2">
      <c r="B488" s="1">
        <v>484</v>
      </c>
      <c r="C488" s="15">
        <v>43982</v>
      </c>
      <c r="D488">
        <v>51.47</v>
      </c>
      <c r="E488">
        <v>349.77380053222259</v>
      </c>
      <c r="F488">
        <v>74.605448211140683</v>
      </c>
      <c r="G488">
        <v>12718.513984114999</v>
      </c>
      <c r="H488">
        <v>283566.23493351863</v>
      </c>
      <c r="I488">
        <v>244.76853087546675</v>
      </c>
    </row>
    <row r="489" spans="2:9" x14ac:dyDescent="0.2">
      <c r="B489" s="1">
        <v>485</v>
      </c>
      <c r="C489" s="15">
        <v>43985</v>
      </c>
      <c r="D489">
        <v>51.3</v>
      </c>
      <c r="E489">
        <v>348.5818729607775</v>
      </c>
      <c r="F489">
        <v>74.583593659608937</v>
      </c>
      <c r="G489">
        <v>12676.506069265582</v>
      </c>
      <c r="H489">
        <v>282599.92352530611</v>
      </c>
      <c r="I489">
        <v>244.69682959091406</v>
      </c>
    </row>
    <row r="490" spans="2:9" x14ac:dyDescent="0.2">
      <c r="B490" s="1">
        <v>486</v>
      </c>
      <c r="C490" s="15">
        <v>43995</v>
      </c>
      <c r="D490">
        <v>49.06</v>
      </c>
      <c r="E490">
        <v>332.87647437232448</v>
      </c>
      <c r="F490">
        <v>74.295627804131797</v>
      </c>
      <c r="G490">
        <v>12122.99001477913</v>
      </c>
      <c r="H490">
        <v>269867.34967591753</v>
      </c>
      <c r="I490">
        <v>243.75205972386686</v>
      </c>
    </row>
    <row r="491" spans="2:9" x14ac:dyDescent="0.2">
      <c r="B491" s="1">
        <v>487</v>
      </c>
      <c r="C491" s="15">
        <v>43998</v>
      </c>
      <c r="D491">
        <v>49.64</v>
      </c>
      <c r="E491">
        <v>336.94305079254889</v>
      </c>
      <c r="F491">
        <v>74.370190391710693</v>
      </c>
      <c r="G491">
        <v>12266.311136030086</v>
      </c>
      <c r="H491">
        <v>273164.17683334847</v>
      </c>
      <c r="I491">
        <v>243.99668763587013</v>
      </c>
    </row>
    <row r="492" spans="2:9" x14ac:dyDescent="0.2">
      <c r="B492" s="1">
        <v>488</v>
      </c>
      <c r="C492" s="15">
        <v>44000</v>
      </c>
      <c r="D492">
        <v>48.26</v>
      </c>
      <c r="E492">
        <v>327.26740344787692</v>
      </c>
      <c r="F492">
        <v>74.192782855747097</v>
      </c>
      <c r="G492">
        <v>11925.305709605398</v>
      </c>
      <c r="H492">
        <v>265320.00187256443</v>
      </c>
      <c r="I492">
        <v>243.41464191420712</v>
      </c>
    </row>
    <row r="493" spans="2:9" x14ac:dyDescent="0.2">
      <c r="B493" s="1">
        <v>489</v>
      </c>
      <c r="C493" s="15">
        <v>44005</v>
      </c>
      <c r="D493">
        <v>46.91</v>
      </c>
      <c r="E493">
        <v>317.80209626287166</v>
      </c>
      <c r="F493">
        <v>74.019232005347931</v>
      </c>
      <c r="G493">
        <v>11591.713444624724</v>
      </c>
      <c r="H493">
        <v>257646.35245440609</v>
      </c>
      <c r="I493">
        <v>242.84524936040637</v>
      </c>
    </row>
    <row r="494" spans="2:9" x14ac:dyDescent="0.2">
      <c r="B494" s="1">
        <v>490</v>
      </c>
      <c r="C494" s="15">
        <v>44006</v>
      </c>
      <c r="D494">
        <v>47.24</v>
      </c>
      <c r="E494">
        <v>320.11583801920631</v>
      </c>
      <c r="F494">
        <v>74.061655546556622</v>
      </c>
      <c r="G494">
        <v>11673.258220508891</v>
      </c>
      <c r="H494">
        <v>259522.13342328928</v>
      </c>
      <c r="I494">
        <v>242.984434206891</v>
      </c>
    </row>
    <row r="495" spans="2:9" x14ac:dyDescent="0.2">
      <c r="B495" s="1">
        <v>491</v>
      </c>
      <c r="C495" s="15">
        <v>44010</v>
      </c>
      <c r="D495">
        <v>46.52</v>
      </c>
      <c r="E495">
        <v>315.06897367853293</v>
      </c>
      <c r="F495">
        <v>73.963981781133882</v>
      </c>
      <c r="G495">
        <v>11495.342345852532</v>
      </c>
      <c r="H495">
        <v>255430.57391503747</v>
      </c>
      <c r="I495">
        <v>242.66398222059721</v>
      </c>
    </row>
    <row r="496" spans="2:9" x14ac:dyDescent="0.2">
      <c r="B496" s="1">
        <v>492</v>
      </c>
      <c r="C496" s="15">
        <v>44014</v>
      </c>
      <c r="D496">
        <v>45.88</v>
      </c>
      <c r="E496">
        <v>310.58517648327944</v>
      </c>
      <c r="F496">
        <v>73.868093012105959</v>
      </c>
      <c r="G496">
        <v>11337.194901713547</v>
      </c>
      <c r="H496">
        <v>251795.5003705672</v>
      </c>
      <c r="I496">
        <v>242.34938652168796</v>
      </c>
    </row>
    <row r="497" spans="2:9" x14ac:dyDescent="0.2">
      <c r="B497" s="1">
        <v>493</v>
      </c>
      <c r="C497" s="15">
        <v>44015</v>
      </c>
      <c r="D497">
        <v>45.17</v>
      </c>
      <c r="E497">
        <v>305.61096396979508</v>
      </c>
      <c r="F497">
        <v>73.761716408965597</v>
      </c>
      <c r="G497">
        <v>11161.75008087186</v>
      </c>
      <c r="H497">
        <v>247762.84065717048</v>
      </c>
      <c r="I497">
        <v>242.00038191821048</v>
      </c>
    </row>
    <row r="498" spans="2:9" x14ac:dyDescent="0.2">
      <c r="B498" s="1">
        <v>494</v>
      </c>
      <c r="C498" s="15">
        <v>44022</v>
      </c>
      <c r="D498">
        <v>43.53</v>
      </c>
      <c r="E498">
        <v>294.12123365695794</v>
      </c>
      <c r="F498">
        <v>73.516001438331543</v>
      </c>
      <c r="G498">
        <v>10756.497255265707</v>
      </c>
      <c r="H498">
        <v>238447.96469946534</v>
      </c>
      <c r="I498">
        <v>241.19423043975553</v>
      </c>
    </row>
    <row r="499" spans="2:9" x14ac:dyDescent="0.2">
      <c r="B499" s="1">
        <v>495</v>
      </c>
      <c r="C499" s="15">
        <v>44025</v>
      </c>
      <c r="D499">
        <v>43.02</v>
      </c>
      <c r="E499">
        <v>290.54820776699034</v>
      </c>
      <c r="F499">
        <v>73.439590075512413</v>
      </c>
      <c r="G499">
        <v>10630.473510717455</v>
      </c>
      <c r="H499">
        <v>235551.26546871566</v>
      </c>
      <c r="I499">
        <v>240.94353699218721</v>
      </c>
    </row>
    <row r="500" spans="2:9" x14ac:dyDescent="0.2">
      <c r="B500" s="1">
        <v>496</v>
      </c>
      <c r="C500" s="15">
        <v>44030</v>
      </c>
      <c r="D500">
        <v>44.63</v>
      </c>
      <c r="E500">
        <v>301.82776008629992</v>
      </c>
      <c r="F500">
        <v>73.680810260098283</v>
      </c>
      <c r="G500">
        <v>11028.313174879589</v>
      </c>
      <c r="H500">
        <v>244695.74735402365</v>
      </c>
      <c r="I500">
        <v>241.7349417972558</v>
      </c>
    </row>
    <row r="501" spans="2:9" x14ac:dyDescent="0.2">
      <c r="B501" s="1">
        <v>497</v>
      </c>
      <c r="C501" s="15">
        <v>44030</v>
      </c>
      <c r="D501">
        <v>44.12</v>
      </c>
      <c r="E501">
        <v>298.25473419633227</v>
      </c>
      <c r="F501">
        <v>73.604398897279154</v>
      </c>
      <c r="G501">
        <v>10902.289430331333</v>
      </c>
      <c r="H501">
        <v>241799.04812327391</v>
      </c>
      <c r="I501">
        <v>241.48424834968748</v>
      </c>
    </row>
    <row r="502" spans="2:9" x14ac:dyDescent="0.2">
      <c r="B502" s="1">
        <v>498</v>
      </c>
      <c r="C502" s="15">
        <v>44038</v>
      </c>
      <c r="D502">
        <v>52.66</v>
      </c>
      <c r="E502">
        <v>358.11729353233829</v>
      </c>
      <c r="F502">
        <v>74.758430071862904</v>
      </c>
      <c r="G502">
        <v>13012.569388060925</v>
      </c>
      <c r="H502">
        <v>290330.4147910063</v>
      </c>
      <c r="I502">
        <v>245.27043986733554</v>
      </c>
    </row>
    <row r="503" spans="2:9" x14ac:dyDescent="0.2">
      <c r="B503" s="1">
        <v>499</v>
      </c>
      <c r="C503" s="15">
        <v>44040</v>
      </c>
      <c r="D503">
        <v>54.55</v>
      </c>
      <c r="E503">
        <v>371.37323807655605</v>
      </c>
      <c r="F503">
        <v>75.001284181010618</v>
      </c>
      <c r="G503">
        <v>13479.598559033868</v>
      </c>
      <c r="H503">
        <v>301077.18392915122</v>
      </c>
      <c r="I503">
        <v>246.06720531729206</v>
      </c>
    </row>
    <row r="504" spans="2:9" x14ac:dyDescent="0.2">
      <c r="B504" s="1">
        <v>500</v>
      </c>
      <c r="C504" s="15">
        <v>44045</v>
      </c>
      <c r="D504">
        <v>54.91</v>
      </c>
      <c r="E504">
        <v>374.0464222563885</v>
      </c>
      <c r="F504">
        <v>75.043697498792397</v>
      </c>
      <c r="G504">
        <v>13568.556496362047</v>
      </c>
      <c r="H504">
        <v>303244.36961317185</v>
      </c>
      <c r="I504">
        <v>246.20635662234983</v>
      </c>
    </row>
    <row r="505" spans="2:9" x14ac:dyDescent="0.2">
      <c r="B505" s="1">
        <v>501</v>
      </c>
      <c r="C505" s="15">
        <v>44046</v>
      </c>
      <c r="D505">
        <v>53.73</v>
      </c>
      <c r="E505">
        <v>365.61942589378691</v>
      </c>
      <c r="F505">
        <v>74.895985190327437</v>
      </c>
      <c r="G505">
        <v>13276.972146230793</v>
      </c>
      <c r="H505">
        <v>296412.49247799104</v>
      </c>
      <c r="I505">
        <v>245.72173618775543</v>
      </c>
    </row>
    <row r="506" spans="2:9" x14ac:dyDescent="0.2">
      <c r="B506" s="1">
        <v>502</v>
      </c>
      <c r="C506" s="15">
        <v>44060</v>
      </c>
      <c r="D506">
        <v>56.58</v>
      </c>
      <c r="E506">
        <v>386.44702664616688</v>
      </c>
      <c r="F506">
        <v>75.240448167391222</v>
      </c>
      <c r="G506">
        <v>13981.222483412215</v>
      </c>
      <c r="H506">
        <v>313297.70320293447</v>
      </c>
      <c r="I506">
        <v>246.85186406525676</v>
      </c>
    </row>
    <row r="507" spans="2:9" x14ac:dyDescent="0.2">
      <c r="B507" s="1">
        <v>503</v>
      </c>
      <c r="C507" s="15">
        <v>44065</v>
      </c>
      <c r="D507">
        <v>56.28</v>
      </c>
      <c r="E507">
        <v>384.21937316297323</v>
      </c>
      <c r="F507">
        <v>75.205103735906405</v>
      </c>
      <c r="G507">
        <v>13907.090868972065</v>
      </c>
      <c r="H507">
        <v>311491.71513291728</v>
      </c>
      <c r="I507">
        <v>246.7359046443753</v>
      </c>
    </row>
    <row r="508" spans="2:9" x14ac:dyDescent="0.2">
      <c r="B508" s="1">
        <v>504</v>
      </c>
      <c r="C508" s="15">
        <v>44075</v>
      </c>
      <c r="D508">
        <v>57.29</v>
      </c>
      <c r="E508">
        <v>391.7191398897254</v>
      </c>
      <c r="F508">
        <v>75.324096655238634</v>
      </c>
      <c r="G508">
        <v>14156.667304253901</v>
      </c>
      <c r="H508">
        <v>317571.87496864196</v>
      </c>
      <c r="I508">
        <v>247.126301361343</v>
      </c>
    </row>
    <row r="509" spans="2:9" x14ac:dyDescent="0.2">
      <c r="B509" s="1">
        <v>505</v>
      </c>
      <c r="C509" s="15">
        <v>44078</v>
      </c>
      <c r="D509">
        <v>56.77</v>
      </c>
      <c r="E509">
        <v>387.85787385218964</v>
      </c>
      <c r="F509">
        <v>75.262832973998286</v>
      </c>
      <c r="G509">
        <v>14028.172505890976</v>
      </c>
      <c r="H509">
        <v>314441.49564727879</v>
      </c>
      <c r="I509">
        <v>246.9253050318151</v>
      </c>
    </row>
    <row r="510" spans="2:9" x14ac:dyDescent="0.2">
      <c r="B510" s="1">
        <v>506</v>
      </c>
      <c r="C510" s="15">
        <v>44080</v>
      </c>
      <c r="D510">
        <v>56.56</v>
      </c>
      <c r="E510">
        <v>386.29851641395402</v>
      </c>
      <c r="F510">
        <v>75.2380918719589</v>
      </c>
      <c r="G510">
        <v>13976.280375782873</v>
      </c>
      <c r="H510">
        <v>313177.3039982667</v>
      </c>
      <c r="I510">
        <v>246.844133437198</v>
      </c>
    </row>
    <row r="511" spans="2:9" x14ac:dyDescent="0.2">
      <c r="B511" s="1">
        <v>507</v>
      </c>
      <c r="C511" s="15">
        <v>44085</v>
      </c>
      <c r="D511">
        <v>55.82</v>
      </c>
      <c r="E511">
        <v>380.80363782207615</v>
      </c>
      <c r="F511">
        <v>75.150908940963021</v>
      </c>
      <c r="G511">
        <v>13793.422393497169</v>
      </c>
      <c r="H511">
        <v>308722.53342555749</v>
      </c>
      <c r="I511">
        <v>246.5581001990237</v>
      </c>
    </row>
    <row r="512" spans="2:9" x14ac:dyDescent="0.2">
      <c r="B512" s="1">
        <v>508</v>
      </c>
      <c r="C512" s="15">
        <v>44086</v>
      </c>
      <c r="D512">
        <v>55.7</v>
      </c>
      <c r="E512">
        <v>379.91257642879867</v>
      </c>
      <c r="F512">
        <v>75.136771168369094</v>
      </c>
      <c r="G512">
        <v>13763.76974772111</v>
      </c>
      <c r="H512">
        <v>308000.13819755061</v>
      </c>
      <c r="I512">
        <v>246.5117164306711</v>
      </c>
    </row>
    <row r="513" spans="2:9" x14ac:dyDescent="0.2">
      <c r="B513" s="1">
        <v>509</v>
      </c>
      <c r="C513" s="15">
        <v>44090</v>
      </c>
      <c r="D513">
        <v>55.86</v>
      </c>
      <c r="E513">
        <v>381.10065828650198</v>
      </c>
      <c r="F513">
        <v>75.155621531827663</v>
      </c>
      <c r="G513">
        <v>13803.306608755856</v>
      </c>
      <c r="H513">
        <v>308963.33183489315</v>
      </c>
      <c r="I513">
        <v>246.57356145514123</v>
      </c>
    </row>
    <row r="514" spans="2:9" x14ac:dyDescent="0.2">
      <c r="B514" s="1">
        <v>510</v>
      </c>
      <c r="C514" s="15">
        <v>44094</v>
      </c>
      <c r="D514">
        <v>55.53</v>
      </c>
      <c r="E514">
        <v>378.65023945498888</v>
      </c>
      <c r="F514">
        <v>75.116742657194365</v>
      </c>
      <c r="G514">
        <v>13721.761832871691</v>
      </c>
      <c r="H514">
        <v>306976.74495787418</v>
      </c>
      <c r="I514">
        <v>246.44600609217159</v>
      </c>
    </row>
    <row r="515" spans="2:9" x14ac:dyDescent="0.2">
      <c r="B515" s="1">
        <v>511</v>
      </c>
      <c r="C515" s="15">
        <v>44095</v>
      </c>
      <c r="D515">
        <v>55.02</v>
      </c>
      <c r="E515">
        <v>374.86322853355961</v>
      </c>
      <c r="F515">
        <v>75.056657123670163</v>
      </c>
      <c r="G515">
        <v>13595.738088323436</v>
      </c>
      <c r="H515">
        <v>303906.56523884489</v>
      </c>
      <c r="I515">
        <v>246.24887507667304</v>
      </c>
    </row>
    <row r="516" spans="2:9" x14ac:dyDescent="0.2">
      <c r="B516" s="1">
        <v>512</v>
      </c>
      <c r="C516" s="15">
        <v>44100</v>
      </c>
      <c r="D516">
        <v>54.87</v>
      </c>
      <c r="E516">
        <v>373.74940179196267</v>
      </c>
      <c r="F516">
        <v>75.038984907927755</v>
      </c>
      <c r="G516">
        <v>13558.672281103361</v>
      </c>
      <c r="H516">
        <v>303003.57120383624</v>
      </c>
      <c r="I516">
        <v>246.1908953662323</v>
      </c>
    </row>
    <row r="517" spans="2:9" x14ac:dyDescent="0.2">
      <c r="B517" s="1">
        <v>513</v>
      </c>
      <c r="C517" s="15">
        <v>44102</v>
      </c>
      <c r="D517">
        <v>54.67</v>
      </c>
      <c r="E517">
        <v>372.26429946983359</v>
      </c>
      <c r="F517">
        <v>75.015421953604545</v>
      </c>
      <c r="G517">
        <v>13509.251204809929</v>
      </c>
      <c r="H517">
        <v>301799.57915715815</v>
      </c>
      <c r="I517">
        <v>246.11358908564463</v>
      </c>
    </row>
    <row r="518" spans="2:9" x14ac:dyDescent="0.2">
      <c r="B518" s="1">
        <v>514</v>
      </c>
      <c r="C518" s="15">
        <v>44105</v>
      </c>
      <c r="D518">
        <v>54.39</v>
      </c>
      <c r="E518">
        <v>370.2469094064561</v>
      </c>
      <c r="F518">
        <v>74.980832272744806</v>
      </c>
      <c r="G518">
        <v>13440.061697999123</v>
      </c>
      <c r="H518">
        <v>300164.0544157573</v>
      </c>
      <c r="I518">
        <v>246.0001058807247</v>
      </c>
    </row>
    <row r="519" spans="2:9" x14ac:dyDescent="0.2">
      <c r="B519" s="1">
        <v>515</v>
      </c>
      <c r="C519" s="15">
        <v>44110</v>
      </c>
      <c r="D519">
        <v>53.33</v>
      </c>
      <c r="E519">
        <v>362.81489043156313</v>
      </c>
      <c r="F519">
        <v>74.844562716135087</v>
      </c>
      <c r="G519">
        <v>13178.129993643926</v>
      </c>
      <c r="H519">
        <v>294138.81857631454</v>
      </c>
      <c r="I519">
        <v>245.55302728292557</v>
      </c>
    </row>
    <row r="520" spans="2:9" x14ac:dyDescent="0.2">
      <c r="B520" s="1">
        <v>516</v>
      </c>
      <c r="C520" s="15">
        <v>44115</v>
      </c>
      <c r="D520">
        <v>53.17</v>
      </c>
      <c r="E520">
        <v>361.69307624667363</v>
      </c>
      <c r="F520">
        <v>74.823993726458156</v>
      </c>
      <c r="G520">
        <v>13138.593132609181</v>
      </c>
      <c r="H520">
        <v>293229.34901564388</v>
      </c>
      <c r="I520">
        <v>245.48554372099366</v>
      </c>
    </row>
    <row r="521" spans="2:9" x14ac:dyDescent="0.2">
      <c r="B521" s="1">
        <v>517</v>
      </c>
      <c r="C521" s="15">
        <v>44118</v>
      </c>
      <c r="D521">
        <v>52.99</v>
      </c>
      <c r="E521">
        <v>360.43103528867294</v>
      </c>
      <c r="F521">
        <v>74.800853613071595</v>
      </c>
      <c r="G521">
        <v>13094.114163945093</v>
      </c>
      <c r="H521">
        <v>292206.1957598895</v>
      </c>
      <c r="I521">
        <v>245.40962471382019</v>
      </c>
    </row>
    <row r="522" spans="2:9" x14ac:dyDescent="0.2">
      <c r="B522" s="1">
        <v>518</v>
      </c>
      <c r="C522" s="15">
        <v>44120</v>
      </c>
      <c r="D522">
        <v>52.13</v>
      </c>
      <c r="E522">
        <v>354.4012840448919</v>
      </c>
      <c r="F522">
        <v>74.690295293558052</v>
      </c>
      <c r="G522">
        <v>12881.603535883329</v>
      </c>
      <c r="H522">
        <v>287317.79687128495</v>
      </c>
      <c r="I522">
        <v>245.046900568436</v>
      </c>
    </row>
    <row r="523" spans="2:9" x14ac:dyDescent="0.2">
      <c r="B523" s="1">
        <v>519</v>
      </c>
      <c r="C523" s="15">
        <v>44125</v>
      </c>
      <c r="D523">
        <v>50.89</v>
      </c>
      <c r="E523">
        <v>345.70722411199819</v>
      </c>
      <c r="F523">
        <v>74.530885623561772</v>
      </c>
      <c r="G523">
        <v>12575.192862864045</v>
      </c>
      <c r="H523">
        <v>280269.40777608764</v>
      </c>
      <c r="I523">
        <v>244.52390296346343</v>
      </c>
    </row>
    <row r="524" spans="2:9" x14ac:dyDescent="0.2">
      <c r="B524" s="1">
        <v>520</v>
      </c>
      <c r="C524" s="15">
        <v>44126</v>
      </c>
      <c r="D524">
        <v>51.25</v>
      </c>
      <c r="E524">
        <v>348.23130602799955</v>
      </c>
      <c r="F524">
        <v>74.577165850334893</v>
      </c>
      <c r="G524">
        <v>12664.150800192225</v>
      </c>
      <c r="H524">
        <v>282315.71428759658</v>
      </c>
      <c r="I524">
        <v>244.67574097781034</v>
      </c>
    </row>
    <row r="525" spans="2:9" x14ac:dyDescent="0.2">
      <c r="B525" s="1">
        <v>521</v>
      </c>
      <c r="C525" s="15">
        <v>44130</v>
      </c>
      <c r="D525">
        <v>50.18</v>
      </c>
      <c r="E525">
        <v>340.72917366655099</v>
      </c>
      <c r="F525">
        <v>74.43961073187036</v>
      </c>
      <c r="G525">
        <v>12399.748042022356</v>
      </c>
      <c r="H525">
        <v>276233.63660061179</v>
      </c>
      <c r="I525">
        <v>244.22444465739045</v>
      </c>
    </row>
    <row r="526" spans="2:9" x14ac:dyDescent="0.2">
      <c r="B526" s="1">
        <v>522</v>
      </c>
      <c r="C526" s="15">
        <v>44134</v>
      </c>
      <c r="D526">
        <v>50.04</v>
      </c>
      <c r="E526">
        <v>339.74758625477267</v>
      </c>
      <c r="F526">
        <v>74.421612865903043</v>
      </c>
      <c r="G526">
        <v>12365.153288616953</v>
      </c>
      <c r="H526">
        <v>275437.85073502501</v>
      </c>
      <c r="I526">
        <v>244.16539654070002</v>
      </c>
    </row>
    <row r="527" spans="2:9" x14ac:dyDescent="0.2">
      <c r="B527" s="1">
        <v>523</v>
      </c>
      <c r="C527" s="15">
        <v>44135</v>
      </c>
      <c r="D527">
        <v>49.16</v>
      </c>
      <c r="E527">
        <v>333.57760823788038</v>
      </c>
      <c r="F527">
        <v>74.308483422679885</v>
      </c>
      <c r="G527">
        <v>12147.700552925846</v>
      </c>
      <c r="H527">
        <v>270435.76815133664</v>
      </c>
      <c r="I527">
        <v>243.79423695007432</v>
      </c>
    </row>
    <row r="528" spans="2:9" x14ac:dyDescent="0.2">
      <c r="B528" s="1">
        <v>524</v>
      </c>
      <c r="C528" s="15">
        <v>44140</v>
      </c>
      <c r="D528">
        <v>48.94</v>
      </c>
      <c r="E528">
        <v>332.03511373365728</v>
      </c>
      <c r="F528">
        <v>74.280201061874095</v>
      </c>
      <c r="G528">
        <v>12093.337369003069</v>
      </c>
      <c r="H528">
        <v>269185.24750541453</v>
      </c>
      <c r="I528">
        <v>243.7014470524179</v>
      </c>
    </row>
    <row r="529" spans="2:9" x14ac:dyDescent="0.2">
      <c r="B529" s="1">
        <v>525</v>
      </c>
      <c r="C529" s="15">
        <v>44145</v>
      </c>
      <c r="D529">
        <v>48.17</v>
      </c>
      <c r="E529">
        <v>326.6363829688766</v>
      </c>
      <c r="F529">
        <v>74.181212799053824</v>
      </c>
      <c r="G529">
        <v>11903.066225273355</v>
      </c>
      <c r="H529">
        <v>264808.42524468724</v>
      </c>
      <c r="I529">
        <v>243.37668241062042</v>
      </c>
    </row>
    <row r="530" spans="2:9" x14ac:dyDescent="0.2">
      <c r="B530" s="1">
        <v>526</v>
      </c>
      <c r="C530" s="15">
        <v>44150</v>
      </c>
      <c r="D530">
        <v>48.16</v>
      </c>
      <c r="E530">
        <v>326.56626958232096</v>
      </c>
      <c r="F530">
        <v>74.179927237199024</v>
      </c>
      <c r="G530">
        <v>11900.595171458683</v>
      </c>
      <c r="H530">
        <v>264751.58339714527</v>
      </c>
      <c r="I530">
        <v>243.3724646879997</v>
      </c>
    </row>
    <row r="531" spans="2:9" x14ac:dyDescent="0.2">
      <c r="B531" s="1">
        <v>527</v>
      </c>
      <c r="C531" s="15">
        <v>44150</v>
      </c>
      <c r="D531">
        <v>47.88</v>
      </c>
      <c r="E531">
        <v>324.60309475876437</v>
      </c>
      <c r="F531">
        <v>74.143931505264376</v>
      </c>
      <c r="G531">
        <v>11831.405664647877</v>
      </c>
      <c r="H531">
        <v>263160.01166597178</v>
      </c>
      <c r="I531">
        <v>243.25436845461877</v>
      </c>
    </row>
    <row r="532" spans="2:9" x14ac:dyDescent="0.2">
      <c r="B532" s="1">
        <v>528</v>
      </c>
      <c r="C532" s="15">
        <v>44155</v>
      </c>
      <c r="D532">
        <v>46.66</v>
      </c>
      <c r="E532">
        <v>316.04980431499462</v>
      </c>
      <c r="F532">
        <v>73.984957449358745</v>
      </c>
      <c r="G532">
        <v>11529.937099257933</v>
      </c>
      <c r="H532">
        <v>256225.74625289036</v>
      </c>
      <c r="I532">
        <v>242.73280002973362</v>
      </c>
    </row>
    <row r="533" spans="2:9" x14ac:dyDescent="0.2">
      <c r="B533" s="1">
        <v>529</v>
      </c>
      <c r="C533" s="15">
        <v>44158</v>
      </c>
      <c r="D533">
        <v>46.79</v>
      </c>
      <c r="E533">
        <v>316.96073562420457</v>
      </c>
      <c r="F533">
        <v>74.003805263090229</v>
      </c>
      <c r="G533">
        <v>11562.060798848664</v>
      </c>
      <c r="H533">
        <v>256964.25028390318</v>
      </c>
      <c r="I533">
        <v>242.79463668895741</v>
      </c>
    </row>
    <row r="534" spans="2:9" x14ac:dyDescent="0.2">
      <c r="B534" s="1">
        <v>530</v>
      </c>
      <c r="C534" s="15">
        <v>44160</v>
      </c>
      <c r="D534">
        <v>47.04</v>
      </c>
      <c r="E534">
        <v>318.71357028809445</v>
      </c>
      <c r="F534">
        <v>74.035944309460447</v>
      </c>
      <c r="G534">
        <v>11623.837144215457</v>
      </c>
      <c r="H534">
        <v>258385.29647245101</v>
      </c>
      <c r="I534">
        <v>242.90007975447608</v>
      </c>
    </row>
    <row r="535" spans="2:9" x14ac:dyDescent="0.2">
      <c r="B535" s="1">
        <v>531</v>
      </c>
      <c r="C535" s="15">
        <v>44165</v>
      </c>
      <c r="D535">
        <v>46.4</v>
      </c>
      <c r="E535">
        <v>314.22826170442289</v>
      </c>
      <c r="F535">
        <v>73.946002636941145</v>
      </c>
      <c r="G535">
        <v>11465.689700076471</v>
      </c>
      <c r="H535">
        <v>254748.99762544929</v>
      </c>
      <c r="I535">
        <v>242.60499552705173</v>
      </c>
    </row>
    <row r="536" spans="2:9" x14ac:dyDescent="0.2">
      <c r="B536" s="1">
        <v>532</v>
      </c>
      <c r="C536" s="15">
        <v>44166</v>
      </c>
      <c r="D536">
        <v>47.07</v>
      </c>
      <c r="E536">
        <v>318.92391044776122</v>
      </c>
      <c r="F536">
        <v>74.039800995024876</v>
      </c>
      <c r="G536">
        <v>11631.250305659472</v>
      </c>
      <c r="H536">
        <v>258555.82201507676</v>
      </c>
      <c r="I536">
        <v>242.91273292233834</v>
      </c>
    </row>
    <row r="537" spans="2:9" x14ac:dyDescent="0.2">
      <c r="B537" s="1">
        <v>533</v>
      </c>
      <c r="C537" s="15">
        <v>44170</v>
      </c>
      <c r="D537">
        <v>46.39</v>
      </c>
      <c r="E537">
        <v>314.15820237324704</v>
      </c>
      <c r="F537">
        <v>73.944504374925089</v>
      </c>
      <c r="G537">
        <v>11463.218646261799</v>
      </c>
      <c r="H537">
        <v>254692.19960131694</v>
      </c>
      <c r="I537">
        <v>242.60007996925629</v>
      </c>
    </row>
    <row r="538" spans="2:9" x14ac:dyDescent="0.2">
      <c r="B538" s="1">
        <v>534</v>
      </c>
      <c r="C538" s="15">
        <v>44174</v>
      </c>
      <c r="D538">
        <v>46.23</v>
      </c>
      <c r="E538">
        <v>313.03725307443364</v>
      </c>
      <c r="F538">
        <v>73.920532182668111</v>
      </c>
      <c r="G538">
        <v>11423.681785227052</v>
      </c>
      <c r="H538">
        <v>253783.43121519935</v>
      </c>
      <c r="I538">
        <v>242.52143104452898</v>
      </c>
    </row>
    <row r="539" spans="2:9" x14ac:dyDescent="0.2">
      <c r="B539" s="1">
        <v>535</v>
      </c>
      <c r="C539" s="15">
        <v>44175</v>
      </c>
      <c r="D539">
        <v>42.2</v>
      </c>
      <c r="E539">
        <v>284.80334261057175</v>
      </c>
      <c r="F539">
        <v>73.316732590195372</v>
      </c>
      <c r="G539">
        <v>10427.847097914379</v>
      </c>
      <c r="H539">
        <v>230893.82748986306</v>
      </c>
      <c r="I539">
        <v>240.54046125295969</v>
      </c>
    </row>
    <row r="540" spans="2:9" x14ac:dyDescent="0.2">
      <c r="B540" s="1">
        <v>536</v>
      </c>
      <c r="C540" s="15">
        <v>44180</v>
      </c>
      <c r="D540">
        <v>44.26</v>
      </c>
      <c r="E540">
        <v>299.23556483279395</v>
      </c>
      <c r="F540">
        <v>73.625374565504018</v>
      </c>
      <c r="G540">
        <v>10936.884183736736</v>
      </c>
      <c r="H540">
        <v>242594.22046112677</v>
      </c>
      <c r="I540">
        <v>241.5530661588239</v>
      </c>
    </row>
    <row r="541" spans="2:9" x14ac:dyDescent="0.2">
      <c r="B541" s="1">
        <v>537</v>
      </c>
      <c r="C541" s="15">
        <v>44182</v>
      </c>
      <c r="D541">
        <v>45</v>
      </c>
      <c r="E541">
        <v>304.41995533980582</v>
      </c>
      <c r="F541">
        <v>73.736245954692563</v>
      </c>
      <c r="G541">
        <v>11119.742166022441</v>
      </c>
      <c r="H541">
        <v>246797.27424692051</v>
      </c>
      <c r="I541">
        <v>241.91681743568773</v>
      </c>
    </row>
    <row r="542" spans="2:9" x14ac:dyDescent="0.2">
      <c r="B542" s="1">
        <v>538</v>
      </c>
      <c r="C542" s="15">
        <v>44185</v>
      </c>
      <c r="D542">
        <v>43.47</v>
      </c>
      <c r="E542">
        <v>293.70087766990292</v>
      </c>
      <c r="F542">
        <v>73.50701186623516</v>
      </c>
      <c r="G542">
        <v>10741.670932377678</v>
      </c>
      <c r="H542">
        <v>238107.17655467128</v>
      </c>
      <c r="I542">
        <v>241.16473709298273</v>
      </c>
    </row>
    <row r="543" spans="2:9" x14ac:dyDescent="0.2">
      <c r="B543" s="1">
        <v>539</v>
      </c>
      <c r="C543" s="15">
        <v>44190</v>
      </c>
      <c r="D543">
        <v>43.73</v>
      </c>
      <c r="E543">
        <v>295.52242028047465</v>
      </c>
      <c r="F543">
        <v>73.545966678652761</v>
      </c>
      <c r="G543">
        <v>10805.918331559138</v>
      </c>
      <c r="H543">
        <v>239583.92518211232</v>
      </c>
      <c r="I543">
        <v>241.29254159566463</v>
      </c>
    </row>
    <row r="544" spans="2:9" x14ac:dyDescent="0.2">
      <c r="B544" s="1">
        <v>540</v>
      </c>
      <c r="C544" s="15">
        <v>44198</v>
      </c>
      <c r="D544">
        <v>43.62</v>
      </c>
      <c r="E544">
        <v>294.75176763754041</v>
      </c>
      <c r="F544">
        <v>73.529485796476081</v>
      </c>
      <c r="G544">
        <v>10778.736739597751</v>
      </c>
      <c r="H544">
        <v>238959.14691665646</v>
      </c>
      <c r="I544">
        <v>241.23847045991459</v>
      </c>
    </row>
    <row r="545" spans="2:9" x14ac:dyDescent="0.2">
      <c r="B545" s="1">
        <v>541</v>
      </c>
      <c r="C545" s="15">
        <v>44200</v>
      </c>
      <c r="D545">
        <v>42.34</v>
      </c>
      <c r="E545">
        <v>285.78417324703349</v>
      </c>
      <c r="F545">
        <v>73.337708258420236</v>
      </c>
      <c r="G545">
        <v>10462.441851319782</v>
      </c>
      <c r="H545">
        <v>231688.99982771598</v>
      </c>
      <c r="I545">
        <v>240.60927906209608</v>
      </c>
    </row>
    <row r="546" spans="2:9" x14ac:dyDescent="0.2">
      <c r="B546" s="1">
        <v>542</v>
      </c>
      <c r="C546" s="15">
        <v>44205</v>
      </c>
      <c r="D546">
        <v>40.93</v>
      </c>
      <c r="E546">
        <v>275.90580755124057</v>
      </c>
      <c r="F546">
        <v>73.126453314155583</v>
      </c>
      <c r="G546">
        <v>10114.023263451078</v>
      </c>
      <c r="H546">
        <v>223680.47842505484</v>
      </c>
      <c r="I546">
        <v>239.91618541293661</v>
      </c>
    </row>
    <row r="547" spans="2:9" x14ac:dyDescent="0.2">
      <c r="B547" s="1">
        <v>543</v>
      </c>
      <c r="C547" s="15">
        <v>44206</v>
      </c>
      <c r="D547">
        <v>41.93</v>
      </c>
      <c r="E547">
        <v>282.91174066882417</v>
      </c>
      <c r="F547">
        <v>73.276279515761715</v>
      </c>
      <c r="G547">
        <v>10361.128644918243</v>
      </c>
      <c r="H547">
        <v>229360.28083828965</v>
      </c>
      <c r="I547">
        <v>240.40774119248232</v>
      </c>
    </row>
    <row r="548" spans="2:9" x14ac:dyDescent="0.2">
      <c r="B548" s="1">
        <v>544</v>
      </c>
      <c r="C548" s="15">
        <v>44210</v>
      </c>
      <c r="D548">
        <v>40.76</v>
      </c>
      <c r="E548">
        <v>274.71479892125132</v>
      </c>
      <c r="F548">
        <v>73.100982859882535</v>
      </c>
      <c r="G548">
        <v>10072.015348601659</v>
      </c>
      <c r="H548">
        <v>222714.9120148049</v>
      </c>
      <c r="I548">
        <v>239.83262093041384</v>
      </c>
    </row>
    <row r="549" spans="2:9" x14ac:dyDescent="0.2">
      <c r="B549" s="1">
        <v>545</v>
      </c>
      <c r="C549" s="15">
        <v>44214</v>
      </c>
      <c r="D549">
        <v>41.26</v>
      </c>
      <c r="E549">
        <v>278.21776548004311</v>
      </c>
      <c r="F549">
        <v>73.175895960685608</v>
      </c>
      <c r="G549">
        <v>10195.568039335241</v>
      </c>
      <c r="H549">
        <v>225554.81322142229</v>
      </c>
      <c r="I549">
        <v>240.07839882018672</v>
      </c>
    </row>
    <row r="550" spans="2:9" x14ac:dyDescent="0.2">
      <c r="B550" s="1">
        <v>546</v>
      </c>
      <c r="C550" s="15">
        <v>44215</v>
      </c>
      <c r="D550">
        <v>40.92</v>
      </c>
      <c r="E550">
        <v>275.83574822006472</v>
      </c>
      <c r="F550">
        <v>73.124955052139512</v>
      </c>
      <c r="G550">
        <v>10111.552209636406</v>
      </c>
      <c r="H550">
        <v>223623.68040092249</v>
      </c>
      <c r="I550">
        <v>239.91126985514114</v>
      </c>
    </row>
    <row r="551" spans="2:9" x14ac:dyDescent="0.2">
      <c r="B551" s="1">
        <v>547</v>
      </c>
      <c r="C551" s="15">
        <v>44220</v>
      </c>
      <c r="D551">
        <v>39.89</v>
      </c>
      <c r="E551">
        <v>268.5767675587997</v>
      </c>
      <c r="F551">
        <v>72.964675137424535</v>
      </c>
      <c r="G551">
        <v>9857.033666725225</v>
      </c>
      <c r="H551">
        <v>217738.72900536904</v>
      </c>
      <c r="I551">
        <v>239.38541711657703</v>
      </c>
    </row>
    <row r="552" spans="2:9" x14ac:dyDescent="0.2">
      <c r="B552" s="1">
        <v>548</v>
      </c>
      <c r="C552" s="15">
        <v>44222</v>
      </c>
      <c r="D552">
        <v>39.770000000000003</v>
      </c>
      <c r="E552">
        <v>267.70980892133014</v>
      </c>
      <c r="F552">
        <v>72.943047670541588</v>
      </c>
      <c r="G552">
        <v>9827.3810209491658</v>
      </c>
      <c r="H552">
        <v>217035.87419950229</v>
      </c>
      <c r="I552">
        <v>239.31446086039966</v>
      </c>
    </row>
    <row r="553" spans="2:9" x14ac:dyDescent="0.2">
      <c r="B553" s="1">
        <v>549</v>
      </c>
      <c r="C553" s="15">
        <v>44225</v>
      </c>
      <c r="D553">
        <v>39.42</v>
      </c>
      <c r="E553">
        <v>265.18117956204378</v>
      </c>
      <c r="F553">
        <v>72.879967558799677</v>
      </c>
      <c r="G553">
        <v>9740.8941374356582</v>
      </c>
      <c r="H553">
        <v>214985.8810157243</v>
      </c>
      <c r="I553">
        <v>239.10750511321575</v>
      </c>
    </row>
    <row r="554" spans="2:9" x14ac:dyDescent="0.2">
      <c r="B554" s="1">
        <v>550</v>
      </c>
      <c r="C554" s="15">
        <v>44230</v>
      </c>
      <c r="D554">
        <v>39.49</v>
      </c>
      <c r="E554">
        <v>265.68690543390107</v>
      </c>
      <c r="F554">
        <v>72.89258358114806</v>
      </c>
      <c r="G554">
        <v>9758.1915141383597</v>
      </c>
      <c r="H554">
        <v>215395.87965247993</v>
      </c>
      <c r="I554">
        <v>239.14889626265253</v>
      </c>
    </row>
    <row r="555" spans="2:9" x14ac:dyDescent="0.2">
      <c r="B555" s="1">
        <v>551</v>
      </c>
      <c r="C555" s="15">
        <v>44230</v>
      </c>
      <c r="D555">
        <v>39.42</v>
      </c>
      <c r="E555">
        <v>265.18117956204378</v>
      </c>
      <c r="F555">
        <v>72.879967558799677</v>
      </c>
      <c r="G555">
        <v>9740.8941374356582</v>
      </c>
      <c r="H555">
        <v>214985.8810157243</v>
      </c>
      <c r="I555">
        <v>239.10750511321575</v>
      </c>
    </row>
    <row r="556" spans="2:9" x14ac:dyDescent="0.2">
      <c r="B556" s="1">
        <v>552</v>
      </c>
      <c r="C556" s="15">
        <v>44235</v>
      </c>
      <c r="D556">
        <v>38.270000000000003</v>
      </c>
      <c r="E556">
        <v>256.87282595296028</v>
      </c>
      <c r="F556">
        <v>72.672704334504829</v>
      </c>
      <c r="G556">
        <v>9456.7229487484183</v>
      </c>
      <c r="H556">
        <v>208250.18912616817</v>
      </c>
      <c r="I556">
        <v>238.42750765818289</v>
      </c>
    </row>
    <row r="557" spans="2:9" x14ac:dyDescent="0.2">
      <c r="B557" s="1">
        <v>553</v>
      </c>
      <c r="C557" s="15">
        <v>44240</v>
      </c>
      <c r="D557">
        <v>38.630000000000003</v>
      </c>
      <c r="E557">
        <v>259.47370186536904</v>
      </c>
      <c r="F557">
        <v>72.737586735153641</v>
      </c>
      <c r="G557">
        <v>9545.6808860765959</v>
      </c>
      <c r="H557">
        <v>210358.75354376834</v>
      </c>
      <c r="I557">
        <v>238.64037642671488</v>
      </c>
    </row>
    <row r="558" spans="2:9" x14ac:dyDescent="0.2">
      <c r="B558" s="1">
        <v>554</v>
      </c>
      <c r="C558" s="15">
        <v>44245</v>
      </c>
      <c r="D558">
        <v>37.11</v>
      </c>
      <c r="E558">
        <v>248.49222579075425</v>
      </c>
      <c r="F558">
        <v>72.46363882130305</v>
      </c>
      <c r="G558">
        <v>9170.0807062465046</v>
      </c>
      <c r="H558">
        <v>201455.92600278973</v>
      </c>
      <c r="I558">
        <v>237.74159718180184</v>
      </c>
    </row>
    <row r="559" spans="2:9" x14ac:dyDescent="0.2">
      <c r="B559" s="1">
        <v>555</v>
      </c>
      <c r="C559" s="15">
        <v>44246</v>
      </c>
      <c r="D559">
        <v>38.22</v>
      </c>
      <c r="E559">
        <v>256.5115931873479</v>
      </c>
      <c r="F559">
        <v>72.663692889970264</v>
      </c>
      <c r="G559">
        <v>9444.3676796750588</v>
      </c>
      <c r="H559">
        <v>207957.33295705696</v>
      </c>
      <c r="I559">
        <v>238.3979425514423</v>
      </c>
    </row>
    <row r="560" spans="2:9" x14ac:dyDescent="0.2">
      <c r="B560" s="1">
        <v>556</v>
      </c>
      <c r="C560" s="15">
        <v>44250</v>
      </c>
      <c r="D560">
        <v>37.159999999999997</v>
      </c>
      <c r="E560">
        <v>248.85345855636655</v>
      </c>
      <c r="F560">
        <v>72.472650265837615</v>
      </c>
      <c r="G560">
        <v>9182.4359753198623</v>
      </c>
      <c r="H560">
        <v>201748.78217190085</v>
      </c>
      <c r="I560">
        <v>237.77116228854243</v>
      </c>
    </row>
    <row r="561" spans="2:9" x14ac:dyDescent="0.2">
      <c r="B561" s="1">
        <v>557</v>
      </c>
      <c r="C561" s="15">
        <v>44254</v>
      </c>
      <c r="D561">
        <v>37.17</v>
      </c>
      <c r="E561">
        <v>248.92570510948906</v>
      </c>
      <c r="F561">
        <v>72.474452554744531</v>
      </c>
      <c r="G561">
        <v>9184.9070291345361</v>
      </c>
      <c r="H561">
        <v>201807.35340572312</v>
      </c>
      <c r="I561">
        <v>237.77707530989053</v>
      </c>
    </row>
    <row r="562" spans="2:9" x14ac:dyDescent="0.2">
      <c r="B562" s="1">
        <v>558</v>
      </c>
      <c r="C562" s="15">
        <v>44255</v>
      </c>
      <c r="D562">
        <v>36.53</v>
      </c>
      <c r="E562">
        <v>244.30192570965127</v>
      </c>
      <c r="F562">
        <v>72.359106064702175</v>
      </c>
      <c r="G562">
        <v>9026.7595849955487</v>
      </c>
      <c r="H562">
        <v>198058.79444110056</v>
      </c>
      <c r="I562">
        <v>237.39864194361135</v>
      </c>
    </row>
    <row r="563" spans="2:9" x14ac:dyDescent="0.2">
      <c r="B563" s="1">
        <v>559</v>
      </c>
      <c r="C563" s="15">
        <v>44260</v>
      </c>
      <c r="D563">
        <v>35.880000000000003</v>
      </c>
      <c r="E563">
        <v>239.605899756691</v>
      </c>
      <c r="F563">
        <v>72.241957285752903</v>
      </c>
      <c r="G563">
        <v>8866.1410870418913</v>
      </c>
      <c r="H563">
        <v>194251.66424265574</v>
      </c>
      <c r="I563">
        <v>237.01429555598406</v>
      </c>
    </row>
    <row r="564" spans="2:9" x14ac:dyDescent="0.2">
      <c r="B564" s="1">
        <v>560</v>
      </c>
      <c r="C564" s="15">
        <v>44262</v>
      </c>
      <c r="D564">
        <v>36.72</v>
      </c>
      <c r="E564">
        <v>245.6746102189781</v>
      </c>
      <c r="F564">
        <v>72.39334955393349</v>
      </c>
      <c r="G564">
        <v>9073.7096074743113</v>
      </c>
      <c r="H564">
        <v>199171.64788372285</v>
      </c>
      <c r="I564">
        <v>237.51098934922547</v>
      </c>
    </row>
    <row r="565" spans="2:9" x14ac:dyDescent="0.2">
      <c r="B565" s="1">
        <v>561</v>
      </c>
      <c r="C565" s="15">
        <v>44265</v>
      </c>
      <c r="D565">
        <v>35.42</v>
      </c>
      <c r="E565">
        <v>236.28255831305759</v>
      </c>
      <c r="F565">
        <v>72.159051996034961</v>
      </c>
      <c r="G565">
        <v>8752.4726115669964</v>
      </c>
      <c r="H565">
        <v>191557.38748683329</v>
      </c>
      <c r="I565">
        <v>236.74229657397089</v>
      </c>
    </row>
    <row r="566" spans="2:9" x14ac:dyDescent="0.2">
      <c r="B566" s="1">
        <v>562</v>
      </c>
      <c r="C566" s="15">
        <v>44270</v>
      </c>
      <c r="D566">
        <v>36.18</v>
      </c>
      <c r="E566">
        <v>241.77329635036494</v>
      </c>
      <c r="F566">
        <v>72.296025952960264</v>
      </c>
      <c r="G566">
        <v>8940.2727014820412</v>
      </c>
      <c r="H566">
        <v>196008.80125732257</v>
      </c>
      <c r="I566">
        <v>237.19168619642744</v>
      </c>
    </row>
    <row r="567" spans="2:9" x14ac:dyDescent="0.2">
      <c r="B567" s="1">
        <v>563</v>
      </c>
      <c r="C567" s="15">
        <v>44270</v>
      </c>
      <c r="D567">
        <v>37.06</v>
      </c>
      <c r="E567">
        <v>248.13099302514195</v>
      </c>
      <c r="F567">
        <v>72.454627376768499</v>
      </c>
      <c r="G567">
        <v>9157.7254371731487</v>
      </c>
      <c r="H567">
        <v>201163.06983367863</v>
      </c>
      <c r="I567">
        <v>237.7120320750613</v>
      </c>
    </row>
    <row r="568" spans="2:9" x14ac:dyDescent="0.2">
      <c r="B568" s="1">
        <v>564</v>
      </c>
      <c r="C568" s="15">
        <v>44275</v>
      </c>
      <c r="D568">
        <v>33.82</v>
      </c>
      <c r="E568">
        <v>224.66920013315578</v>
      </c>
      <c r="F568">
        <v>71.848350347684573</v>
      </c>
      <c r="G568">
        <v>8357.1040012195317</v>
      </c>
      <c r="H568">
        <v>182142.28478617873</v>
      </c>
      <c r="I568">
        <v>235.72293421062068</v>
      </c>
    </row>
    <row r="569" spans="2:9" x14ac:dyDescent="0.2">
      <c r="B569" s="1">
        <v>565</v>
      </c>
      <c r="C569" s="15">
        <v>44278</v>
      </c>
      <c r="D569">
        <v>35.57</v>
      </c>
      <c r="E569">
        <v>237.36625660989455</v>
      </c>
      <c r="F569">
        <v>72.186086329638641</v>
      </c>
      <c r="G569">
        <v>8789.5384187870714</v>
      </c>
      <c r="H569">
        <v>192435.9559941667</v>
      </c>
      <c r="I569">
        <v>236.83099189419258</v>
      </c>
    </row>
    <row r="570" spans="2:9" x14ac:dyDescent="0.2">
      <c r="B570" s="1">
        <v>566</v>
      </c>
      <c r="C570" s="15">
        <v>44280</v>
      </c>
      <c r="D570">
        <v>34.880000000000003</v>
      </c>
      <c r="E570">
        <v>232.38124444444446</v>
      </c>
      <c r="F570">
        <v>72.061728395061735</v>
      </c>
      <c r="G570">
        <v>8619.0357055747281</v>
      </c>
      <c r="H570">
        <v>188394.54086043302</v>
      </c>
      <c r="I570">
        <v>236.42299342117286</v>
      </c>
    </row>
    <row r="571" spans="2:9" x14ac:dyDescent="0.2">
      <c r="B571" s="1">
        <v>567</v>
      </c>
      <c r="C571" s="15">
        <v>44285</v>
      </c>
      <c r="D571">
        <v>34.520000000000003</v>
      </c>
      <c r="E571">
        <v>229.7790536617843</v>
      </c>
      <c r="F571">
        <v>71.996301227992305</v>
      </c>
      <c r="G571">
        <v>8530.0777682465487</v>
      </c>
      <c r="H571">
        <v>186284.91046017187</v>
      </c>
      <c r="I571">
        <v>236.20833736123467</v>
      </c>
    </row>
    <row r="572" spans="2:9" x14ac:dyDescent="0.2">
      <c r="B572" s="1">
        <v>568</v>
      </c>
      <c r="C572" s="15">
        <v>44286</v>
      </c>
      <c r="D572">
        <v>34.049999999999997</v>
      </c>
      <c r="E572">
        <v>226.34815200684798</v>
      </c>
      <c r="F572">
        <v>71.896962779785682</v>
      </c>
      <c r="G572">
        <v>8413.9382389569782</v>
      </c>
      <c r="H572">
        <v>183503.43322191932</v>
      </c>
      <c r="I572">
        <v>235.88242381725098</v>
      </c>
    </row>
    <row r="573" spans="2:9" x14ac:dyDescent="0.2">
      <c r="B573" s="1">
        <v>569</v>
      </c>
      <c r="C573" s="15">
        <v>44290</v>
      </c>
      <c r="D573">
        <v>32.31</v>
      </c>
      <c r="E573">
        <v>213.64651609282862</v>
      </c>
      <c r="F573">
        <v>71.529199163020735</v>
      </c>
      <c r="G573">
        <v>7983.9748752041123</v>
      </c>
      <c r="H573">
        <v>173206.04940370785</v>
      </c>
      <c r="I573">
        <v>234.67585027143906</v>
      </c>
    </row>
    <row r="574" spans="2:9" x14ac:dyDescent="0.2">
      <c r="B574" s="1">
        <v>570</v>
      </c>
      <c r="C574" s="15">
        <v>44294</v>
      </c>
      <c r="D574">
        <v>32.83</v>
      </c>
      <c r="E574">
        <v>217.44240728552404</v>
      </c>
      <c r="F574">
        <v>71.639105531249342</v>
      </c>
      <c r="G574">
        <v>8112.4696735670377</v>
      </c>
      <c r="H574">
        <v>176283.42847581703</v>
      </c>
      <c r="I574">
        <v>235.03643546903803</v>
      </c>
    </row>
    <row r="575" spans="2:9" x14ac:dyDescent="0.2">
      <c r="B575" s="1">
        <v>571</v>
      </c>
      <c r="C575" s="15">
        <v>44295</v>
      </c>
      <c r="D575">
        <v>31.81</v>
      </c>
      <c r="E575">
        <v>209.99662071523682</v>
      </c>
      <c r="F575">
        <v>71.423519962800924</v>
      </c>
      <c r="G575">
        <v>7860.4221844705298</v>
      </c>
      <c r="H575">
        <v>170247.03106514132</v>
      </c>
      <c r="I575">
        <v>234.32913373528621</v>
      </c>
    </row>
    <row r="576" spans="2:9" x14ac:dyDescent="0.2">
      <c r="B576" s="1">
        <v>572</v>
      </c>
      <c r="C576" s="15">
        <v>44300</v>
      </c>
      <c r="D576">
        <v>31.85</v>
      </c>
      <c r="E576">
        <v>210.28861234544419</v>
      </c>
      <c r="F576">
        <v>71.431974298818503</v>
      </c>
      <c r="G576">
        <v>7870.3063997292156</v>
      </c>
      <c r="H576">
        <v>170483.75253222667</v>
      </c>
      <c r="I576">
        <v>234.3568710581784</v>
      </c>
    </row>
    <row r="577" spans="2:9" x14ac:dyDescent="0.2">
      <c r="B577" s="1">
        <v>573</v>
      </c>
      <c r="C577" s="15">
        <v>44302</v>
      </c>
      <c r="D577">
        <v>33.28</v>
      </c>
      <c r="E577">
        <v>220.72731312535666</v>
      </c>
      <c r="F577">
        <v>71.734216811447169</v>
      </c>
      <c r="G577">
        <v>8223.6670952272616</v>
      </c>
      <c r="H577">
        <v>178946.5449805269</v>
      </c>
      <c r="I577">
        <v>235.34848035157557</v>
      </c>
    </row>
    <row r="578" spans="2:9" x14ac:dyDescent="0.2">
      <c r="B578" s="1">
        <v>574</v>
      </c>
      <c r="C578" s="15">
        <v>44310</v>
      </c>
      <c r="D578">
        <v>32.85</v>
      </c>
      <c r="E578">
        <v>217.58840310062774</v>
      </c>
      <c r="F578">
        <v>71.643332699258139</v>
      </c>
      <c r="G578">
        <v>8117.4117811963815</v>
      </c>
      <c r="H578">
        <v>176401.7892093597</v>
      </c>
      <c r="I578">
        <v>235.05030413048414</v>
      </c>
    </row>
    <row r="579" spans="2:9" x14ac:dyDescent="0.2">
      <c r="B579" s="1">
        <v>575</v>
      </c>
      <c r="C579" s="15">
        <v>44310</v>
      </c>
      <c r="D579">
        <v>31.86</v>
      </c>
      <c r="E579">
        <v>210.361610252996</v>
      </c>
      <c r="F579">
        <v>71.434087882822908</v>
      </c>
      <c r="G579">
        <v>7872.7774535438875</v>
      </c>
      <c r="H579">
        <v>170542.93289899797</v>
      </c>
      <c r="I579">
        <v>234.36380538890148</v>
      </c>
    </row>
    <row r="580" spans="2:9" x14ac:dyDescent="0.2">
      <c r="B580" s="1">
        <v>576</v>
      </c>
      <c r="C580" s="15">
        <v>44315</v>
      </c>
      <c r="D580">
        <v>30.14</v>
      </c>
      <c r="E580">
        <v>197.80597015408028</v>
      </c>
      <c r="F580">
        <v>71.070551434066743</v>
      </c>
      <c r="G580">
        <v>7447.7561974203627</v>
      </c>
      <c r="H580">
        <v>160363.90981432915</v>
      </c>
      <c r="I580">
        <v>233.17110050453564</v>
      </c>
    </row>
    <row r="581" spans="2:9" x14ac:dyDescent="0.2">
      <c r="B581" s="1">
        <v>577</v>
      </c>
      <c r="C581" s="15">
        <v>44320</v>
      </c>
      <c r="D581">
        <v>30.76</v>
      </c>
      <c r="E581">
        <v>202.33184042229411</v>
      </c>
      <c r="F581">
        <v>71.201593642339319</v>
      </c>
      <c r="G581">
        <v>7600.9615339300062</v>
      </c>
      <c r="H581">
        <v>164033.09255415166</v>
      </c>
      <c r="I581">
        <v>233.60102900936522</v>
      </c>
    </row>
    <row r="582" spans="2:9" x14ac:dyDescent="0.2">
      <c r="B582" s="1">
        <v>578</v>
      </c>
      <c r="C582" s="15">
        <v>44325</v>
      </c>
      <c r="D582">
        <v>33</v>
      </c>
      <c r="E582">
        <v>218.68337171390527</v>
      </c>
      <c r="F582">
        <v>71.675036459324076</v>
      </c>
      <c r="G582">
        <v>8154.4775884164565</v>
      </c>
      <c r="H582">
        <v>177289.49471092963</v>
      </c>
      <c r="I582">
        <v>235.15431909133</v>
      </c>
    </row>
    <row r="583" spans="2:9" x14ac:dyDescent="0.2">
      <c r="B583" s="1">
        <v>579</v>
      </c>
      <c r="C583" s="15">
        <v>44326</v>
      </c>
      <c r="D583">
        <v>33.200000000000003</v>
      </c>
      <c r="E583">
        <v>220.14332986494199</v>
      </c>
      <c r="F583">
        <v>71.717308139411998</v>
      </c>
      <c r="G583">
        <v>8203.8986647098882</v>
      </c>
      <c r="H583">
        <v>178473.10204635625</v>
      </c>
      <c r="I583">
        <v>235.2930057057911</v>
      </c>
    </row>
    <row r="584" spans="2:9" x14ac:dyDescent="0.2">
      <c r="B584" s="1">
        <v>580</v>
      </c>
      <c r="C584" s="15">
        <v>44330</v>
      </c>
      <c r="D584">
        <v>31.96</v>
      </c>
      <c r="E584">
        <v>211.09158932851437</v>
      </c>
      <c r="F584">
        <v>71.455223722866862</v>
      </c>
      <c r="G584">
        <v>7897.4879916906048</v>
      </c>
      <c r="H584">
        <v>171134.7365667113</v>
      </c>
      <c r="I584">
        <v>234.43314869613204</v>
      </c>
    </row>
    <row r="585" spans="2:9" x14ac:dyDescent="0.2">
      <c r="B585" s="1">
        <v>581</v>
      </c>
      <c r="C585" s="15">
        <v>44334</v>
      </c>
      <c r="D585">
        <v>31.51</v>
      </c>
      <c r="E585">
        <v>207.80668348868176</v>
      </c>
      <c r="F585">
        <v>71.360112442669035</v>
      </c>
      <c r="G585">
        <v>7786.29057003038</v>
      </c>
      <c r="H585">
        <v>168471.62006200143</v>
      </c>
      <c r="I585">
        <v>234.12110381359449</v>
      </c>
    </row>
    <row r="586" spans="2:9" x14ac:dyDescent="0.2">
      <c r="B586" s="1">
        <v>582</v>
      </c>
      <c r="C586" s="15">
        <v>44335</v>
      </c>
      <c r="D586">
        <v>31.32</v>
      </c>
      <c r="E586">
        <v>206.41972324519688</v>
      </c>
      <c r="F586">
        <v>71.319954346585504</v>
      </c>
      <c r="G586">
        <v>7739.3405475516183</v>
      </c>
      <c r="H586">
        <v>167347.19309334614</v>
      </c>
      <c r="I586">
        <v>233.98935152985638</v>
      </c>
    </row>
    <row r="587" spans="2:9" x14ac:dyDescent="0.2">
      <c r="B587" s="1">
        <v>583</v>
      </c>
      <c r="C587" s="15">
        <v>44340</v>
      </c>
      <c r="D587">
        <v>30.12</v>
      </c>
      <c r="E587">
        <v>197.65997433897661</v>
      </c>
      <c r="F587">
        <v>71.066324266057961</v>
      </c>
      <c r="G587">
        <v>7442.8140897910198</v>
      </c>
      <c r="H587">
        <v>160245.5490807865</v>
      </c>
      <c r="I587">
        <v>233.15723184308956</v>
      </c>
    </row>
    <row r="588" spans="2:9" x14ac:dyDescent="0.2">
      <c r="B588" s="1">
        <v>584</v>
      </c>
      <c r="C588" s="15">
        <v>44342</v>
      </c>
      <c r="D588">
        <v>31.32</v>
      </c>
      <c r="E588">
        <v>206.41972324519688</v>
      </c>
      <c r="F588">
        <v>71.319954346585504</v>
      </c>
      <c r="G588">
        <v>7739.3405475516183</v>
      </c>
      <c r="H588">
        <v>167347.19309334614</v>
      </c>
      <c r="I588">
        <v>233.98935152985638</v>
      </c>
    </row>
    <row r="589" spans="2:9" x14ac:dyDescent="0.2">
      <c r="B589" s="1">
        <v>585</v>
      </c>
      <c r="C589" s="15">
        <v>44345</v>
      </c>
      <c r="D589">
        <v>29.11</v>
      </c>
      <c r="E589">
        <v>190.52340853299705</v>
      </c>
      <c r="F589">
        <v>70.837420017747888</v>
      </c>
      <c r="G589">
        <v>7193.2376545091829</v>
      </c>
      <c r="H589">
        <v>154459.84102352883</v>
      </c>
      <c r="I589">
        <v>232.40623365309889</v>
      </c>
    </row>
    <row r="590" spans="2:9" x14ac:dyDescent="0.2">
      <c r="B590" s="1">
        <v>586</v>
      </c>
      <c r="C590" s="15">
        <v>44350</v>
      </c>
      <c r="D590">
        <v>28.9</v>
      </c>
      <c r="E590">
        <v>189.06170613703236</v>
      </c>
      <c r="F590">
        <v>70.788379804773243</v>
      </c>
      <c r="G590">
        <v>7141.3455244010775</v>
      </c>
      <c r="H590">
        <v>153274.8196057259</v>
      </c>
      <c r="I590">
        <v>232.24534056591239</v>
      </c>
    </row>
    <row r="591" spans="2:9" x14ac:dyDescent="0.2">
      <c r="B591" s="1">
        <v>587</v>
      </c>
      <c r="C591" s="15">
        <v>44350</v>
      </c>
      <c r="D591">
        <v>28.91</v>
      </c>
      <c r="E591">
        <v>189.13131101303068</v>
      </c>
      <c r="F591">
        <v>70.790715053010132</v>
      </c>
      <c r="G591">
        <v>7143.8165782157494</v>
      </c>
      <c r="H591">
        <v>153331.24919704985</v>
      </c>
      <c r="I591">
        <v>232.25300214149269</v>
      </c>
    </row>
    <row r="592" spans="2:9" x14ac:dyDescent="0.2">
      <c r="B592" s="1">
        <v>588</v>
      </c>
      <c r="C592" s="15">
        <v>44365</v>
      </c>
      <c r="D592">
        <v>26.83</v>
      </c>
      <c r="E592">
        <v>174.6534968053804</v>
      </c>
      <c r="F592">
        <v>70.304983419737511</v>
      </c>
      <c r="G592">
        <v>6629.837384764046</v>
      </c>
      <c r="H592">
        <v>141593.89420166853</v>
      </c>
      <c r="I592">
        <v>230.65939442078837</v>
      </c>
    </row>
    <row r="593" spans="2:9" x14ac:dyDescent="0.2">
      <c r="B593" s="1">
        <v>589</v>
      </c>
      <c r="C593" s="15">
        <v>44366</v>
      </c>
      <c r="D593">
        <v>27.02</v>
      </c>
      <c r="E593">
        <v>175.97598944934845</v>
      </c>
      <c r="F593">
        <v>70.349353136238378</v>
      </c>
      <c r="G593">
        <v>6676.7874072428076</v>
      </c>
      <c r="H593">
        <v>142666.05643682356</v>
      </c>
      <c r="I593">
        <v>230.80496435681425</v>
      </c>
    </row>
    <row r="594" spans="2:9" x14ac:dyDescent="0.2">
      <c r="B594" s="1">
        <v>590</v>
      </c>
      <c r="C594" s="15">
        <v>44370</v>
      </c>
      <c r="D594">
        <v>26.56</v>
      </c>
      <c r="E594">
        <v>172.7741651534258</v>
      </c>
      <c r="F594">
        <v>70.241931717341558</v>
      </c>
      <c r="G594">
        <v>6563.1189317679109</v>
      </c>
      <c r="H594">
        <v>140070.29523592192</v>
      </c>
      <c r="I594">
        <v>230.45253188012006</v>
      </c>
    </row>
    <row r="595" spans="2:9" x14ac:dyDescent="0.2">
      <c r="B595" s="1">
        <v>591</v>
      </c>
      <c r="C595" s="15">
        <v>44375</v>
      </c>
      <c r="D595">
        <v>26.14</v>
      </c>
      <c r="E595">
        <v>169.85076036149641</v>
      </c>
      <c r="F595">
        <v>70.143851291392281</v>
      </c>
      <c r="G595">
        <v>6459.3346715517018</v>
      </c>
      <c r="H595">
        <v>137700.25240031609</v>
      </c>
      <c r="I595">
        <v>230.13074570574707</v>
      </c>
    </row>
    <row r="596" spans="2:9" x14ac:dyDescent="0.2">
      <c r="B596" s="1">
        <v>592</v>
      </c>
      <c r="C596" s="15">
        <v>44380</v>
      </c>
      <c r="D596">
        <v>25.56</v>
      </c>
      <c r="E596">
        <v>165.81367755359392</v>
      </c>
      <c r="F596">
        <v>70.00840689365279</v>
      </c>
      <c r="G596">
        <v>6316.0135503007459</v>
      </c>
      <c r="H596">
        <v>134427.33610352705</v>
      </c>
      <c r="I596">
        <v>229.68637432208911</v>
      </c>
    </row>
    <row r="597" spans="2:9" x14ac:dyDescent="0.2">
      <c r="B597" s="1">
        <v>593</v>
      </c>
      <c r="C597" s="15">
        <v>44385</v>
      </c>
      <c r="D597">
        <v>24.91</v>
      </c>
      <c r="E597">
        <v>161.19564577376471</v>
      </c>
      <c r="F597">
        <v>69.828888331521895</v>
      </c>
      <c r="G597">
        <v>6155.3950523470885</v>
      </c>
      <c r="H597">
        <v>130683.43681027833</v>
      </c>
      <c r="I597">
        <v>229.09740266155703</v>
      </c>
    </row>
    <row r="598" spans="2:9" x14ac:dyDescent="0.2">
      <c r="B598" s="1">
        <v>594</v>
      </c>
      <c r="C598" s="15">
        <v>44390</v>
      </c>
      <c r="D598">
        <v>25.5</v>
      </c>
      <c r="E598">
        <v>165.39238517682466</v>
      </c>
      <c r="F598">
        <v>69.993311596020405</v>
      </c>
      <c r="G598">
        <v>6301.1872274127163</v>
      </c>
      <c r="H598">
        <v>134085.78881523709</v>
      </c>
      <c r="I598">
        <v>229.63684906738987</v>
      </c>
    </row>
    <row r="599" spans="2:9" x14ac:dyDescent="0.2">
      <c r="B599" s="1">
        <v>595</v>
      </c>
      <c r="C599" s="15">
        <v>44398</v>
      </c>
      <c r="D599">
        <v>56.77</v>
      </c>
      <c r="E599">
        <v>387.85787385218964</v>
      </c>
      <c r="F599">
        <v>75.262832973998286</v>
      </c>
      <c r="G599">
        <v>14028.172505890976</v>
      </c>
      <c r="H599">
        <v>314441.49564727879</v>
      </c>
      <c r="I599">
        <v>246.9253050318151</v>
      </c>
    </row>
    <row r="600" spans="2:9" x14ac:dyDescent="0.2">
      <c r="B600" s="1">
        <v>596</v>
      </c>
      <c r="C600" s="15">
        <v>44400</v>
      </c>
      <c r="D600">
        <v>55.92</v>
      </c>
      <c r="E600">
        <v>381.54618898314072</v>
      </c>
      <c r="F600">
        <v>75.162690418124626</v>
      </c>
      <c r="G600">
        <v>13818.132931643886</v>
      </c>
      <c r="H600">
        <v>309324.52944889659</v>
      </c>
      <c r="I600">
        <v>246.59675333931753</v>
      </c>
    </row>
    <row r="601" spans="2:9" x14ac:dyDescent="0.2">
      <c r="B601" s="1">
        <v>597</v>
      </c>
      <c r="C601" s="15">
        <v>44406</v>
      </c>
      <c r="D601">
        <v>56.31</v>
      </c>
      <c r="E601">
        <v>384.44213851129257</v>
      </c>
      <c r="F601">
        <v>75.208638179054887</v>
      </c>
      <c r="G601">
        <v>13914.504030416081</v>
      </c>
      <c r="H601">
        <v>311672.313939919</v>
      </c>
      <c r="I601">
        <v>246.74750058646345</v>
      </c>
    </row>
    <row r="602" spans="2:9" x14ac:dyDescent="0.2">
      <c r="B602" s="1">
        <v>598</v>
      </c>
      <c r="C602" s="15">
        <v>44410</v>
      </c>
      <c r="D602">
        <v>55.52</v>
      </c>
      <c r="E602">
        <v>378.57598433888245</v>
      </c>
      <c r="F602">
        <v>75.115564509478205</v>
      </c>
      <c r="G602">
        <v>13719.290779057021</v>
      </c>
      <c r="H602">
        <v>306916.54535554029</v>
      </c>
      <c r="I602">
        <v>246.4421407781422</v>
      </c>
    </row>
    <row r="603" spans="2:9" x14ac:dyDescent="0.2">
      <c r="B603" s="1">
        <v>599</v>
      </c>
      <c r="C603" s="15">
        <v>44414</v>
      </c>
      <c r="D603">
        <v>55</v>
      </c>
      <c r="E603">
        <v>374.71471830134664</v>
      </c>
      <c r="F603">
        <v>75.054300828237842</v>
      </c>
      <c r="G603">
        <v>13590.795980694093</v>
      </c>
      <c r="H603">
        <v>303786.16603417706</v>
      </c>
      <c r="I603">
        <v>246.24114444861428</v>
      </c>
    </row>
    <row r="604" spans="2:9" x14ac:dyDescent="0.2">
      <c r="B604" s="1">
        <v>600</v>
      </c>
      <c r="C604" s="15">
        <v>44415</v>
      </c>
      <c r="D604">
        <v>54.3</v>
      </c>
      <c r="E604">
        <v>369.61588892745573</v>
      </c>
      <c r="F604">
        <v>74.969262216051519</v>
      </c>
      <c r="G604">
        <v>13417.822213667076</v>
      </c>
      <c r="H604">
        <v>299652.47778788005</v>
      </c>
      <c r="I604">
        <v>245.96214637713794</v>
      </c>
    </row>
    <row r="605" spans="2:9" x14ac:dyDescent="0.2">
      <c r="B605" s="1">
        <v>601</v>
      </c>
      <c r="C605" s="15">
        <v>44420</v>
      </c>
      <c r="D605">
        <v>52.26</v>
      </c>
      <c r="E605">
        <v>355.31275807011457</v>
      </c>
      <c r="F605">
        <v>74.707007597670568</v>
      </c>
      <c r="G605">
        <v>12913.72723547406</v>
      </c>
      <c r="H605">
        <v>288056.74088932981</v>
      </c>
      <c r="I605">
        <v>245.10173096250571</v>
      </c>
    </row>
    <row r="606" spans="2:9" x14ac:dyDescent="0.2">
      <c r="B606" s="1">
        <v>602</v>
      </c>
      <c r="C606" s="15">
        <v>44425</v>
      </c>
      <c r="D606">
        <v>51.72</v>
      </c>
      <c r="E606">
        <v>351.52663519611247</v>
      </c>
      <c r="F606">
        <v>74.637587257510901</v>
      </c>
      <c r="G606">
        <v>12780.29032948179</v>
      </c>
      <c r="H606">
        <v>284987.28112206643</v>
      </c>
      <c r="I606">
        <v>244.87397394098542</v>
      </c>
    </row>
    <row r="607" spans="2:9" x14ac:dyDescent="0.2">
      <c r="B607" s="1">
        <v>603</v>
      </c>
      <c r="C607" s="15">
        <v>44430</v>
      </c>
      <c r="D607">
        <v>52.63</v>
      </c>
      <c r="E607">
        <v>357.90695337267158</v>
      </c>
      <c r="F607">
        <v>74.754573386298489</v>
      </c>
      <c r="G607">
        <v>13005.156226616911</v>
      </c>
      <c r="H607">
        <v>290159.88924838061</v>
      </c>
      <c r="I607">
        <v>245.25778669947334</v>
      </c>
    </row>
    <row r="608" spans="2:9" x14ac:dyDescent="0.2">
      <c r="B608" s="1">
        <v>604</v>
      </c>
      <c r="C608" s="15">
        <v>44430</v>
      </c>
      <c r="D608">
        <v>52.89</v>
      </c>
      <c r="E608">
        <v>359.72990142311698</v>
      </c>
      <c r="F608">
        <v>74.787997994523508</v>
      </c>
      <c r="G608">
        <v>13069.403625798375</v>
      </c>
      <c r="H608">
        <v>291637.77728447033</v>
      </c>
      <c r="I608">
        <v>245.36744748761274</v>
      </c>
    </row>
    <row r="609" spans="2:9" x14ac:dyDescent="0.2">
      <c r="B609" s="1">
        <v>605</v>
      </c>
      <c r="C609" s="15">
        <v>44435</v>
      </c>
      <c r="D609">
        <v>51.65</v>
      </c>
      <c r="E609">
        <v>351.03584149022333</v>
      </c>
      <c r="F609">
        <v>74.628588324527229</v>
      </c>
      <c r="G609">
        <v>12762.992952779088</v>
      </c>
      <c r="H609">
        <v>284589.38818927307</v>
      </c>
      <c r="I609">
        <v>244.84444988264016</v>
      </c>
    </row>
    <row r="610" spans="2:9" x14ac:dyDescent="0.2">
      <c r="B610" s="1">
        <v>606</v>
      </c>
      <c r="C610" s="15">
        <v>44438</v>
      </c>
      <c r="D610">
        <v>51.99</v>
      </c>
      <c r="E610">
        <v>353.41969663311352</v>
      </c>
      <c r="F610">
        <v>74.672297427590735</v>
      </c>
      <c r="G610">
        <v>12847.008782477926</v>
      </c>
      <c r="H610">
        <v>286522.01100569812</v>
      </c>
      <c r="I610">
        <v>244.98785245174557</v>
      </c>
    </row>
    <row r="611" spans="2:9" x14ac:dyDescent="0.2">
      <c r="B611" s="1">
        <v>607</v>
      </c>
      <c r="C611" s="15">
        <v>44440</v>
      </c>
      <c r="D611">
        <v>51.51</v>
      </c>
      <c r="E611">
        <v>350.05425407844501</v>
      </c>
      <c r="F611">
        <v>74.610590458559912</v>
      </c>
      <c r="G611">
        <v>12728.398199373685</v>
      </c>
      <c r="H611">
        <v>283793.6023236863</v>
      </c>
      <c r="I611">
        <v>244.78540176594973</v>
      </c>
    </row>
    <row r="612" spans="2:9" x14ac:dyDescent="0.2">
      <c r="B612" s="1">
        <v>608</v>
      </c>
      <c r="C612" s="15">
        <v>44445</v>
      </c>
      <c r="D612">
        <v>51.03</v>
      </c>
      <c r="E612">
        <v>346.68881152377651</v>
      </c>
      <c r="F612">
        <v>74.548883489529103</v>
      </c>
      <c r="G612">
        <v>12609.787616269448</v>
      </c>
      <c r="H612">
        <v>281065.19364167447</v>
      </c>
      <c r="I612">
        <v>244.58295108015392</v>
      </c>
    </row>
    <row r="613" spans="2:9" x14ac:dyDescent="0.2">
      <c r="B613" s="1">
        <v>609</v>
      </c>
      <c r="C613" s="15">
        <v>44446</v>
      </c>
      <c r="D613">
        <v>50.83</v>
      </c>
      <c r="E613">
        <v>345.28654379266459</v>
      </c>
      <c r="F613">
        <v>74.523172252432929</v>
      </c>
      <c r="G613">
        <v>12560.366539976014</v>
      </c>
      <c r="H613">
        <v>279928.35669083614</v>
      </c>
      <c r="I613">
        <v>244.49859662773898</v>
      </c>
    </row>
    <row r="614" spans="2:9" x14ac:dyDescent="0.2">
      <c r="B614" s="1">
        <v>610</v>
      </c>
      <c r="C614" s="15">
        <v>44450</v>
      </c>
      <c r="D614">
        <v>49.93</v>
      </c>
      <c r="E614">
        <v>338.97633900266112</v>
      </c>
      <c r="F614">
        <v>74.407471685500141</v>
      </c>
      <c r="G614">
        <v>12337.971696655564</v>
      </c>
      <c r="H614">
        <v>274812.59041206399</v>
      </c>
      <c r="I614">
        <v>244.11900159187178</v>
      </c>
    </row>
    <row r="615" spans="2:9" x14ac:dyDescent="0.2">
      <c r="B615" s="1">
        <v>611</v>
      </c>
      <c r="C615" s="15">
        <v>44454</v>
      </c>
      <c r="D615">
        <v>48.07</v>
      </c>
      <c r="E615">
        <v>325.93524910332064</v>
      </c>
      <c r="F615">
        <v>74.168357180505737</v>
      </c>
      <c r="G615">
        <v>11878.355687126637</v>
      </c>
      <c r="H615">
        <v>264240.00676926813</v>
      </c>
      <c r="I615">
        <v>243.33450518441296</v>
      </c>
    </row>
    <row r="616" spans="2:9" x14ac:dyDescent="0.2">
      <c r="B616" s="1">
        <v>612</v>
      </c>
      <c r="C616" s="15">
        <v>44455</v>
      </c>
      <c r="D616">
        <v>47.86</v>
      </c>
      <c r="E616">
        <v>324.46286798565313</v>
      </c>
      <c r="F616">
        <v>74.141360381554762</v>
      </c>
      <c r="G616">
        <v>11826.463557018533</v>
      </c>
      <c r="H616">
        <v>263046.32797088788</v>
      </c>
      <c r="I616">
        <v>243.2459330093773</v>
      </c>
    </row>
    <row r="617" spans="2:9" x14ac:dyDescent="0.2">
      <c r="B617" s="1">
        <v>613</v>
      </c>
      <c r="C617" s="15">
        <v>44460</v>
      </c>
      <c r="D617">
        <v>47.21</v>
      </c>
      <c r="E617">
        <v>319.90549785953954</v>
      </c>
      <c r="F617">
        <v>74.057798860992193</v>
      </c>
      <c r="G617">
        <v>11665.845059064875</v>
      </c>
      <c r="H617">
        <v>259351.60788066353</v>
      </c>
      <c r="I617">
        <v>242.97178103902877</v>
      </c>
    </row>
    <row r="618" spans="2:9" x14ac:dyDescent="0.2">
      <c r="B618" s="1">
        <v>614</v>
      </c>
      <c r="C618" s="15">
        <v>44465</v>
      </c>
      <c r="D618">
        <v>46.04</v>
      </c>
      <c r="E618">
        <v>311.70612578209278</v>
      </c>
      <c r="F618">
        <v>73.892065204362936</v>
      </c>
      <c r="G618">
        <v>11376.731762748292</v>
      </c>
      <c r="H618">
        <v>252704.26875668473</v>
      </c>
      <c r="I618">
        <v>242.42803544641527</v>
      </c>
    </row>
    <row r="619" spans="2:9" x14ac:dyDescent="0.2">
      <c r="B619" s="1">
        <v>615</v>
      </c>
      <c r="C619" s="15">
        <v>44475</v>
      </c>
      <c r="D619">
        <v>49.37</v>
      </c>
      <c r="E619">
        <v>335.04998935554784</v>
      </c>
      <c r="F619">
        <v>74.33548022163086</v>
      </c>
      <c r="G619">
        <v>12199.59268303395</v>
      </c>
      <c r="H619">
        <v>271629.44694971677</v>
      </c>
      <c r="I619">
        <v>243.88280912510999</v>
      </c>
    </row>
    <row r="620" spans="2:9" x14ac:dyDescent="0.2">
      <c r="B620" s="1">
        <v>616</v>
      </c>
      <c r="C620" s="15">
        <v>44478</v>
      </c>
      <c r="D620">
        <v>47.92</v>
      </c>
      <c r="E620">
        <v>324.88354830498673</v>
      </c>
      <c r="F620">
        <v>74.149073752683606</v>
      </c>
      <c r="G620">
        <v>11841.289879906564</v>
      </c>
      <c r="H620">
        <v>263387.37905613938</v>
      </c>
      <c r="I620">
        <v>243.27123934510175</v>
      </c>
    </row>
    <row r="621" spans="2:9" x14ac:dyDescent="0.2">
      <c r="B621" s="1">
        <v>617</v>
      </c>
      <c r="C621" s="15">
        <v>44480</v>
      </c>
      <c r="D621">
        <v>47.91</v>
      </c>
      <c r="E621">
        <v>324.81343491843108</v>
      </c>
      <c r="F621">
        <v>74.147788190828805</v>
      </c>
      <c r="G621">
        <v>11838.818826091891</v>
      </c>
      <c r="H621">
        <v>263330.53720859747</v>
      </c>
      <c r="I621">
        <v>243.26702162248102</v>
      </c>
    </row>
    <row r="622" spans="2:9" x14ac:dyDescent="0.2">
      <c r="B622" s="1">
        <v>618</v>
      </c>
      <c r="C622" s="15">
        <v>44485</v>
      </c>
      <c r="D622">
        <v>46.28</v>
      </c>
      <c r="E622">
        <v>313.38754973031286</v>
      </c>
      <c r="F622">
        <v>73.928023492748409</v>
      </c>
      <c r="G622">
        <v>11436.037054300412</v>
      </c>
      <c r="H622">
        <v>254067.42133586115</v>
      </c>
      <c r="I622">
        <v>242.54600883350625</v>
      </c>
    </row>
    <row r="623" spans="2:9" x14ac:dyDescent="0.2">
      <c r="B623" s="1">
        <v>619</v>
      </c>
      <c r="C623" s="15">
        <v>44486</v>
      </c>
      <c r="D623">
        <v>46.06</v>
      </c>
      <c r="E623">
        <v>311.84624444444449</v>
      </c>
      <c r="F623">
        <v>73.895061728395063</v>
      </c>
      <c r="G623">
        <v>11381.673870377637</v>
      </c>
      <c r="H623">
        <v>252817.8648049495</v>
      </c>
      <c r="I623">
        <v>242.43786656200618</v>
      </c>
    </row>
    <row r="624" spans="2:9" x14ac:dyDescent="0.2">
      <c r="B624" s="1">
        <v>620</v>
      </c>
      <c r="C624" s="15">
        <v>44494</v>
      </c>
      <c r="D624">
        <v>45.95</v>
      </c>
      <c r="E624">
        <v>311.07559180151026</v>
      </c>
      <c r="F624">
        <v>73.878580846218384</v>
      </c>
      <c r="G624">
        <v>11354.492278416248</v>
      </c>
      <c r="H624">
        <v>252193.08653949364</v>
      </c>
      <c r="I624">
        <v>242.38379542625614</v>
      </c>
    </row>
    <row r="625" spans="2:9" x14ac:dyDescent="0.2">
      <c r="B625" s="1">
        <v>621</v>
      </c>
      <c r="C625" s="15">
        <v>44495</v>
      </c>
      <c r="D625">
        <v>46.08</v>
      </c>
      <c r="E625">
        <v>311.98636310679615</v>
      </c>
      <c r="F625">
        <v>73.898058252427191</v>
      </c>
      <c r="G625">
        <v>11386.615978006979</v>
      </c>
      <c r="H625">
        <v>252931.46085321417</v>
      </c>
      <c r="I625">
        <v>242.44769767759712</v>
      </c>
    </row>
    <row r="626" spans="2:9" x14ac:dyDescent="0.2">
      <c r="B626" s="1">
        <v>622</v>
      </c>
      <c r="C626" s="15">
        <v>44500</v>
      </c>
      <c r="D626">
        <v>44.08</v>
      </c>
      <c r="E626">
        <v>297.9744968716289</v>
      </c>
      <c r="F626">
        <v>73.598405849214913</v>
      </c>
      <c r="G626">
        <v>10892.405215072647</v>
      </c>
      <c r="H626">
        <v>241571.8560267445</v>
      </c>
      <c r="I626">
        <v>241.46458611850565</v>
      </c>
    </row>
    <row r="627" spans="2:9" x14ac:dyDescent="0.2">
      <c r="B627" s="1">
        <v>623</v>
      </c>
      <c r="C627" s="15">
        <v>44502</v>
      </c>
      <c r="D627">
        <v>44.65</v>
      </c>
      <c r="E627">
        <v>301.96787874865157</v>
      </c>
      <c r="F627">
        <v>73.683806784130411</v>
      </c>
      <c r="G627">
        <v>11033.255282508931</v>
      </c>
      <c r="H627">
        <v>244809.34340228836</v>
      </c>
      <c r="I627">
        <v>241.74477291284671</v>
      </c>
    </row>
    <row r="628" spans="2:9" x14ac:dyDescent="0.2">
      <c r="B628" s="1">
        <v>624</v>
      </c>
      <c r="C628" s="15">
        <v>44505</v>
      </c>
      <c r="D628">
        <v>44.06</v>
      </c>
      <c r="E628">
        <v>297.83437820927725</v>
      </c>
      <c r="F628">
        <v>73.595409325182786</v>
      </c>
      <c r="G628">
        <v>10887.463107443304</v>
      </c>
      <c r="H628">
        <v>241458.25997847979</v>
      </c>
      <c r="I628">
        <v>241.45475500291474</v>
      </c>
    </row>
    <row r="629" spans="2:9" x14ac:dyDescent="0.2">
      <c r="B629" s="1">
        <v>625</v>
      </c>
      <c r="C629" s="15">
        <v>44510</v>
      </c>
      <c r="D629">
        <v>43.55</v>
      </c>
      <c r="E629">
        <v>294.26135231930959</v>
      </c>
      <c r="F629">
        <v>73.518997962363656</v>
      </c>
      <c r="G629">
        <v>10761.439362895051</v>
      </c>
      <c r="H629">
        <v>238561.56074773005</v>
      </c>
      <c r="I629">
        <v>241.20406155534641</v>
      </c>
    </row>
    <row r="630" spans="2:9" x14ac:dyDescent="0.2">
      <c r="B630" s="1">
        <v>626</v>
      </c>
      <c r="C630" s="15">
        <v>44515</v>
      </c>
      <c r="D630">
        <v>42.63</v>
      </c>
      <c r="E630">
        <v>287.81589385113273</v>
      </c>
      <c r="F630">
        <v>73.38115785688602</v>
      </c>
      <c r="G630">
        <v>10534.10241194526</v>
      </c>
      <c r="H630">
        <v>233336.14252755404</v>
      </c>
      <c r="I630">
        <v>240.75183023816436</v>
      </c>
    </row>
    <row r="631" spans="2:9" x14ac:dyDescent="0.2">
      <c r="B631" s="1">
        <v>627</v>
      </c>
      <c r="C631" s="15">
        <v>44518</v>
      </c>
      <c r="D631">
        <v>42.77</v>
      </c>
      <c r="E631">
        <v>288.79672448759442</v>
      </c>
      <c r="F631">
        <v>73.40213352511087</v>
      </c>
      <c r="G631">
        <v>10568.697165350663</v>
      </c>
      <c r="H631">
        <v>234131.31486540692</v>
      </c>
      <c r="I631">
        <v>240.82064804730075</v>
      </c>
    </row>
    <row r="632" spans="2:9" x14ac:dyDescent="0.2">
      <c r="B632" s="1">
        <v>628</v>
      </c>
      <c r="C632" s="15">
        <v>44520</v>
      </c>
      <c r="D632">
        <v>41.41</v>
      </c>
      <c r="E632">
        <v>279.26865544768066</v>
      </c>
      <c r="F632">
        <v>73.198369890926529</v>
      </c>
      <c r="G632">
        <v>10232.633846555314</v>
      </c>
      <c r="H632">
        <v>226406.78358340752</v>
      </c>
      <c r="I632">
        <v>240.15213218711855</v>
      </c>
    </row>
    <row r="633" spans="2:9" x14ac:dyDescent="0.2">
      <c r="B633" s="1">
        <v>629</v>
      </c>
      <c r="C633" s="15">
        <v>44525</v>
      </c>
      <c r="D633">
        <v>41.27</v>
      </c>
      <c r="E633">
        <v>278.28782481121902</v>
      </c>
      <c r="F633">
        <v>73.177394222701665</v>
      </c>
      <c r="G633">
        <v>10198.039093149913</v>
      </c>
      <c r="H633">
        <v>225611.6112455547</v>
      </c>
      <c r="I633">
        <v>240.08331437798216</v>
      </c>
    </row>
    <row r="634" spans="2:9" x14ac:dyDescent="0.2">
      <c r="B634" s="1">
        <v>630</v>
      </c>
      <c r="C634" s="15">
        <v>44526</v>
      </c>
      <c r="D634">
        <v>41.02</v>
      </c>
      <c r="E634">
        <v>276.5363415318231</v>
      </c>
      <c r="F634">
        <v>73.139937672300135</v>
      </c>
      <c r="G634">
        <v>10136.262747783121</v>
      </c>
      <c r="H634">
        <v>224191.66064224599</v>
      </c>
      <c r="I634">
        <v>239.96042543309574</v>
      </c>
    </row>
    <row r="635" spans="2:9" x14ac:dyDescent="0.2">
      <c r="B635" s="1">
        <v>631</v>
      </c>
      <c r="C635" s="15">
        <v>44530</v>
      </c>
      <c r="D635">
        <v>40.9</v>
      </c>
      <c r="E635">
        <v>275.69562955771306</v>
      </c>
      <c r="F635">
        <v>73.121958528107399</v>
      </c>
      <c r="G635">
        <v>10106.610102007062</v>
      </c>
      <c r="H635">
        <v>223510.08435265781</v>
      </c>
      <c r="I635">
        <v>239.90143873955026</v>
      </c>
    </row>
    <row r="636" spans="2:9" x14ac:dyDescent="0.2">
      <c r="B636" s="1">
        <v>632</v>
      </c>
      <c r="C636" s="15">
        <v>44534</v>
      </c>
      <c r="D636">
        <v>42.4</v>
      </c>
      <c r="E636">
        <v>286.20452923408845</v>
      </c>
      <c r="F636">
        <v>73.346697830516604</v>
      </c>
      <c r="G636">
        <v>10477.268174207809</v>
      </c>
      <c r="H636">
        <v>232029.78797251001</v>
      </c>
      <c r="I636">
        <v>240.63877240886885</v>
      </c>
    </row>
    <row r="637" spans="2:9" x14ac:dyDescent="0.2">
      <c r="B637" s="1">
        <v>633</v>
      </c>
      <c r="C637" s="15">
        <v>44535</v>
      </c>
      <c r="D637">
        <v>40.33</v>
      </c>
      <c r="E637">
        <v>271.70224768069039</v>
      </c>
      <c r="F637">
        <v>73.036557593191901</v>
      </c>
      <c r="G637">
        <v>9965.7600345707779</v>
      </c>
      <c r="H637">
        <v>220272.59697711395</v>
      </c>
      <c r="I637">
        <v>239.6212519452092</v>
      </c>
    </row>
    <row r="638" spans="2:9" x14ac:dyDescent="0.2">
      <c r="B638" s="1">
        <v>634</v>
      </c>
      <c r="C638" s="15">
        <v>44540</v>
      </c>
      <c r="D638">
        <v>40.270000000000003</v>
      </c>
      <c r="E638">
        <v>271.28189169363543</v>
      </c>
      <c r="F638">
        <v>73.027568021095533</v>
      </c>
      <c r="G638">
        <v>9950.9337116827501</v>
      </c>
      <c r="H638">
        <v>219931.80883231992</v>
      </c>
      <c r="I638">
        <v>239.59175859843643</v>
      </c>
    </row>
    <row r="639" spans="2:9" x14ac:dyDescent="0.2">
      <c r="B639" s="1">
        <v>635</v>
      </c>
      <c r="C639" s="15">
        <v>44542</v>
      </c>
      <c r="D639">
        <v>39.81</v>
      </c>
      <c r="E639">
        <v>267.99879513381995</v>
      </c>
      <c r="F639">
        <v>72.950256826169237</v>
      </c>
      <c r="G639">
        <v>9837.2652362078534</v>
      </c>
      <c r="H639">
        <v>217270.15913479117</v>
      </c>
      <c r="I639">
        <v>239.33811294579212</v>
      </c>
    </row>
    <row r="640" spans="2:9" x14ac:dyDescent="0.2">
      <c r="B640" s="1">
        <v>636</v>
      </c>
      <c r="C640" s="15">
        <v>44550</v>
      </c>
      <c r="D640">
        <v>38.58</v>
      </c>
      <c r="E640">
        <v>259.11246909975665</v>
      </c>
      <c r="F640">
        <v>72.728575290619091</v>
      </c>
      <c r="G640">
        <v>9533.3256170032382</v>
      </c>
      <c r="H640">
        <v>210065.89737465716</v>
      </c>
      <c r="I640">
        <v>238.61081131997435</v>
      </c>
    </row>
    <row r="641" spans="2:9" x14ac:dyDescent="0.2">
      <c r="B641" s="1">
        <v>637</v>
      </c>
      <c r="C641" s="15">
        <v>44555</v>
      </c>
      <c r="D641">
        <v>43.09</v>
      </c>
      <c r="E641">
        <v>291.03862308522116</v>
      </c>
      <c r="F641">
        <v>73.450077909624838</v>
      </c>
      <c r="G641">
        <v>10647.770887420156</v>
      </c>
      <c r="H641">
        <v>235948.85163764207</v>
      </c>
      <c r="I641">
        <v>240.97794589675539</v>
      </c>
    </row>
    <row r="642" spans="2:9" x14ac:dyDescent="0.2">
      <c r="B642" s="1">
        <v>638</v>
      </c>
      <c r="C642" s="15">
        <v>44558</v>
      </c>
      <c r="D642">
        <v>39.47</v>
      </c>
      <c r="E642">
        <v>265.54241232765611</v>
      </c>
      <c r="F642">
        <v>72.888979003334228</v>
      </c>
      <c r="G642">
        <v>9753.2494065090159</v>
      </c>
      <c r="H642">
        <v>215278.73718483542</v>
      </c>
      <c r="I642">
        <v>239.13707021995629</v>
      </c>
    </row>
    <row r="643" spans="2:9" x14ac:dyDescent="0.2">
      <c r="B643" s="1">
        <v>639</v>
      </c>
      <c r="C643" s="15">
        <v>44570</v>
      </c>
      <c r="D643">
        <v>54.35</v>
      </c>
      <c r="E643">
        <v>369.96645586023374</v>
      </c>
      <c r="F643">
        <v>74.975690025325562</v>
      </c>
      <c r="G643">
        <v>13430.177482740435</v>
      </c>
      <c r="H643">
        <v>299936.68702558969</v>
      </c>
      <c r="I643">
        <v>245.98323499024167</v>
      </c>
    </row>
    <row r="644" spans="2:9" x14ac:dyDescent="0.2">
      <c r="B644" s="1">
        <v>640</v>
      </c>
      <c r="C644" s="15">
        <v>44575</v>
      </c>
      <c r="D644">
        <v>54.07</v>
      </c>
      <c r="E644">
        <v>368.00328103667709</v>
      </c>
      <c r="F644">
        <v>74.939694293390929</v>
      </c>
      <c r="G644">
        <v>13360.987975929631</v>
      </c>
      <c r="H644">
        <v>298345.11529441609</v>
      </c>
      <c r="I644">
        <v>245.8651387568608</v>
      </c>
    </row>
    <row r="645" spans="2:9" x14ac:dyDescent="0.2">
      <c r="B645" s="1">
        <v>641</v>
      </c>
      <c r="C645" s="15">
        <v>44585</v>
      </c>
      <c r="D645">
        <v>52.93</v>
      </c>
      <c r="E645">
        <v>360.01035496933935</v>
      </c>
      <c r="F645">
        <v>74.793140241942737</v>
      </c>
      <c r="G645">
        <v>13079.287841057061</v>
      </c>
      <c r="H645">
        <v>291865.144674638</v>
      </c>
      <c r="I645">
        <v>245.38431837809568</v>
      </c>
    </row>
    <row r="646" spans="2:9" x14ac:dyDescent="0.2">
      <c r="B646" s="1">
        <v>642</v>
      </c>
      <c r="C646" s="15">
        <v>44620</v>
      </c>
      <c r="D646">
        <v>52.3</v>
      </c>
      <c r="E646">
        <v>355.59321161633693</v>
      </c>
      <c r="F646">
        <v>74.712149845089797</v>
      </c>
      <c r="G646">
        <v>12923.611450732746</v>
      </c>
      <c r="H646">
        <v>288284.10827949742</v>
      </c>
      <c r="I646">
        <v>245.11860185298869</v>
      </c>
    </row>
    <row r="647" spans="2:9" x14ac:dyDescent="0.2">
      <c r="B647" s="1">
        <v>643</v>
      </c>
      <c r="C647" s="15">
        <v>44630</v>
      </c>
      <c r="D647">
        <v>51.6</v>
      </c>
      <c r="E647">
        <v>350.68527455744538</v>
      </c>
      <c r="F647">
        <v>74.622160515253185</v>
      </c>
      <c r="G647">
        <v>12750.637683705731</v>
      </c>
      <c r="H647">
        <v>284305.17895156355</v>
      </c>
      <c r="I647">
        <v>244.82336126953641</v>
      </c>
    </row>
    <row r="648" spans="2:9" x14ac:dyDescent="0.2">
      <c r="B648" s="1">
        <v>644</v>
      </c>
      <c r="C648" s="15">
        <v>44635</v>
      </c>
      <c r="D648">
        <v>50.32</v>
      </c>
      <c r="E648">
        <v>341.71076107832931</v>
      </c>
      <c r="F648">
        <v>74.457608597837691</v>
      </c>
      <c r="G648">
        <v>12434.342795427759</v>
      </c>
      <c r="H648">
        <v>277029.42246619862</v>
      </c>
      <c r="I648">
        <v>244.28349277408091</v>
      </c>
    </row>
    <row r="649" spans="2:9" x14ac:dyDescent="0.2">
      <c r="B649" s="1">
        <v>645</v>
      </c>
      <c r="C649" s="15">
        <v>44655</v>
      </c>
      <c r="D649">
        <v>45.77</v>
      </c>
      <c r="E649">
        <v>309.81452384034526</v>
      </c>
      <c r="F649">
        <v>73.851612129929279</v>
      </c>
      <c r="G649">
        <v>11310.013309752159</v>
      </c>
      <c r="H649">
        <v>251170.72210511137</v>
      </c>
      <c r="I649">
        <v>242.29531538593793</v>
      </c>
    </row>
    <row r="650" spans="2:9" x14ac:dyDescent="0.2">
      <c r="B650" s="1">
        <v>646</v>
      </c>
      <c r="C650" s="15">
        <v>44660</v>
      </c>
      <c r="D650">
        <v>44.95</v>
      </c>
      <c r="E650">
        <v>304.06965868392666</v>
      </c>
      <c r="F650">
        <v>73.728754644612252</v>
      </c>
      <c r="G650">
        <v>11107.386896949083</v>
      </c>
      <c r="H650">
        <v>246513.2841262588</v>
      </c>
      <c r="I650">
        <v>241.89223964671044</v>
      </c>
    </row>
    <row r="651" spans="2:9" x14ac:dyDescent="0.2">
      <c r="B651" s="1">
        <v>647</v>
      </c>
      <c r="C651" s="15">
        <v>44665</v>
      </c>
      <c r="D651">
        <v>43.79</v>
      </c>
      <c r="E651">
        <v>295.94277626752967</v>
      </c>
      <c r="F651">
        <v>73.554956250749129</v>
      </c>
      <c r="G651">
        <v>10820.74465444717</v>
      </c>
      <c r="H651">
        <v>239924.71332690641</v>
      </c>
      <c r="I651">
        <v>241.32203494243737</v>
      </c>
    </row>
    <row r="652" spans="2:9" x14ac:dyDescent="0.2">
      <c r="B652" s="1">
        <v>648</v>
      </c>
      <c r="C652" s="15">
        <v>44670</v>
      </c>
      <c r="D652">
        <v>43.5</v>
      </c>
      <c r="E652">
        <v>293.91105566343043</v>
      </c>
      <c r="F652">
        <v>73.511506652283359</v>
      </c>
      <c r="G652">
        <v>10749.084093821693</v>
      </c>
      <c r="H652">
        <v>238277.57062706834</v>
      </c>
      <c r="I652">
        <v>241.17948376636915</v>
      </c>
    </row>
    <row r="653" spans="2:9" x14ac:dyDescent="0.2">
      <c r="B653" s="1">
        <v>649</v>
      </c>
      <c r="C653" s="15">
        <v>44675</v>
      </c>
      <c r="D653">
        <v>42.54</v>
      </c>
      <c r="E653">
        <v>287.18535987055014</v>
      </c>
      <c r="F653">
        <v>73.367673498741453</v>
      </c>
      <c r="G653">
        <v>10511.862927613212</v>
      </c>
      <c r="H653">
        <v>232824.96031036286</v>
      </c>
      <c r="I653">
        <v>240.70759021800521</v>
      </c>
    </row>
    <row r="654" spans="2:9" x14ac:dyDescent="0.2">
      <c r="B654" s="1">
        <v>650</v>
      </c>
      <c r="C654" s="15">
        <v>44680</v>
      </c>
      <c r="D654">
        <v>40.950000000000003</v>
      </c>
      <c r="E654">
        <v>276.04592621359222</v>
      </c>
      <c r="F654">
        <v>73.129449838187696</v>
      </c>
      <c r="G654">
        <v>10118.96537108042</v>
      </c>
      <c r="H654">
        <v>223794.07447331955</v>
      </c>
      <c r="I654">
        <v>239.9260165285275</v>
      </c>
    </row>
    <row r="655" spans="2:9" x14ac:dyDescent="0.2">
      <c r="B655" s="1">
        <v>651</v>
      </c>
      <c r="C655" s="15">
        <v>44685</v>
      </c>
      <c r="D655">
        <v>41.68</v>
      </c>
      <c r="E655">
        <v>281.16025738942824</v>
      </c>
      <c r="F655">
        <v>73.238822965360185</v>
      </c>
      <c r="G655">
        <v>10299.35229955145</v>
      </c>
      <c r="H655">
        <v>227940.33023498091</v>
      </c>
      <c r="I655">
        <v>240.28485224759592</v>
      </c>
    </row>
    <row r="656" spans="2:9" x14ac:dyDescent="0.2">
      <c r="B656" s="1">
        <v>652</v>
      </c>
      <c r="C656" s="15">
        <v>44690</v>
      </c>
      <c r="D656">
        <v>40</v>
      </c>
      <c r="E656">
        <v>269.37147964314681</v>
      </c>
      <c r="F656">
        <v>72.984500315400552</v>
      </c>
      <c r="G656">
        <v>9884.2152586866141</v>
      </c>
      <c r="H656">
        <v>218383.01257741352</v>
      </c>
      <c r="I656">
        <v>239.45046035140624</v>
      </c>
    </row>
    <row r="657" spans="2:9" x14ac:dyDescent="0.2">
      <c r="B657" s="1">
        <v>653</v>
      </c>
      <c r="C657" s="15">
        <v>44695</v>
      </c>
      <c r="D657">
        <v>38.53</v>
      </c>
      <c r="E657">
        <v>258.75123633414438</v>
      </c>
      <c r="F657">
        <v>72.719563846084526</v>
      </c>
      <c r="G657">
        <v>9520.9703479298805</v>
      </c>
      <c r="H657">
        <v>209773.04120554606</v>
      </c>
      <c r="I657">
        <v>238.58124621323375</v>
      </c>
    </row>
    <row r="658" spans="2:9" x14ac:dyDescent="0.2">
      <c r="B658" s="1">
        <v>654</v>
      </c>
      <c r="C658" s="15">
        <v>44700</v>
      </c>
      <c r="D658">
        <v>38.47</v>
      </c>
      <c r="E658">
        <v>258.31775701540954</v>
      </c>
      <c r="F658">
        <v>72.70875011264306</v>
      </c>
      <c r="G658">
        <v>9506.1440250418491</v>
      </c>
      <c r="H658">
        <v>209421.61380261264</v>
      </c>
      <c r="I658">
        <v>238.54576808514511</v>
      </c>
    </row>
    <row r="659" spans="2:9" x14ac:dyDescent="0.2">
      <c r="B659" s="1">
        <v>655</v>
      </c>
      <c r="C659" s="15">
        <v>44705</v>
      </c>
      <c r="D659">
        <v>38.619999999999997</v>
      </c>
      <c r="E659">
        <v>259.40145531224653</v>
      </c>
      <c r="F659">
        <v>72.73578444624674</v>
      </c>
      <c r="G659">
        <v>9543.209832261924</v>
      </c>
      <c r="H659">
        <v>210300.18230994607</v>
      </c>
      <c r="I659">
        <v>238.6344634053668</v>
      </c>
    </row>
    <row r="660" spans="2:9" x14ac:dyDescent="0.2">
      <c r="B660" s="1">
        <v>656</v>
      </c>
      <c r="C660" s="15">
        <v>44710</v>
      </c>
      <c r="D660">
        <v>37.25</v>
      </c>
      <c r="E660">
        <v>249.50367753446878</v>
      </c>
      <c r="F660">
        <v>72.488870865999814</v>
      </c>
      <c r="G660">
        <v>9204.6754596519095</v>
      </c>
      <c r="H660">
        <v>202275.92327630092</v>
      </c>
      <c r="I660">
        <v>237.82437948067539</v>
      </c>
    </row>
    <row r="661" spans="2:9" x14ac:dyDescent="0.2">
      <c r="B661" s="1">
        <v>657</v>
      </c>
      <c r="C661" s="15">
        <v>44715</v>
      </c>
      <c r="D661">
        <v>35.659999999999997</v>
      </c>
      <c r="E661">
        <v>238.01647558799672</v>
      </c>
      <c r="F661">
        <v>72.202306929800841</v>
      </c>
      <c r="G661">
        <v>8811.7779031191149</v>
      </c>
      <c r="H661">
        <v>192963.09709856671</v>
      </c>
      <c r="I661">
        <v>236.88420908632557</v>
      </c>
    </row>
    <row r="662" spans="2:9" x14ac:dyDescent="0.2">
      <c r="B662" s="1">
        <v>658</v>
      </c>
      <c r="C662" s="15">
        <v>44720</v>
      </c>
      <c r="D662">
        <v>35.56</v>
      </c>
      <c r="E662">
        <v>237.29401005677212</v>
      </c>
      <c r="F662">
        <v>72.184284040731725</v>
      </c>
      <c r="G662">
        <v>8787.0673649724013</v>
      </c>
      <c r="H662">
        <v>192377.38476034449</v>
      </c>
      <c r="I662">
        <v>236.82507887284447</v>
      </c>
    </row>
    <row r="663" spans="2:9" x14ac:dyDescent="0.2">
      <c r="B663" s="1">
        <v>659</v>
      </c>
      <c r="C663" s="15">
        <v>44725</v>
      </c>
      <c r="D663">
        <v>35.82</v>
      </c>
      <c r="E663">
        <v>239.17242043795619</v>
      </c>
      <c r="F663">
        <v>72.231143552311437</v>
      </c>
      <c r="G663">
        <v>8851.3147641538617</v>
      </c>
      <c r="H663">
        <v>193900.23683972238</v>
      </c>
      <c r="I663">
        <v>236.97881742789539</v>
      </c>
    </row>
    <row r="664" spans="2:9" x14ac:dyDescent="0.2">
      <c r="B664" s="1">
        <v>660</v>
      </c>
      <c r="C664" s="15">
        <v>44730</v>
      </c>
      <c r="D664">
        <v>34.44</v>
      </c>
      <c r="E664">
        <v>229.19507040136958</v>
      </c>
      <c r="F664">
        <v>71.979392555957133</v>
      </c>
      <c r="G664">
        <v>8510.3093377291734</v>
      </c>
      <c r="H664">
        <v>185811.46752600119</v>
      </c>
      <c r="I664">
        <v>236.1528627154502</v>
      </c>
    </row>
    <row r="665" spans="2:9" x14ac:dyDescent="0.2">
      <c r="B665" s="1">
        <v>661</v>
      </c>
      <c r="C665" s="15">
        <v>44735</v>
      </c>
      <c r="D665">
        <v>33.22</v>
      </c>
      <c r="E665">
        <v>220.28932568004564</v>
      </c>
      <c r="F665">
        <v>71.721535307420794</v>
      </c>
      <c r="G665">
        <v>8208.840772339232</v>
      </c>
      <c r="H665">
        <v>178591.46277989889</v>
      </c>
      <c r="I665">
        <v>235.30687436723724</v>
      </c>
    </row>
    <row r="666" spans="2:9" x14ac:dyDescent="0.2">
      <c r="B666" s="1">
        <v>662</v>
      </c>
      <c r="C666" s="15">
        <v>44740</v>
      </c>
      <c r="D666">
        <v>32.659999999999997</v>
      </c>
      <c r="E666">
        <v>216.20144285714284</v>
      </c>
      <c r="F666">
        <v>71.603174603174608</v>
      </c>
      <c r="G666">
        <v>8070.461758717619</v>
      </c>
      <c r="H666">
        <v>175277.36224070439</v>
      </c>
      <c r="I666">
        <v>234.91855184674606</v>
      </c>
    </row>
    <row r="667" spans="2:9" x14ac:dyDescent="0.2">
      <c r="B667" s="1">
        <v>663</v>
      </c>
      <c r="C667" s="15">
        <v>44745</v>
      </c>
      <c r="D667">
        <v>32.54</v>
      </c>
      <c r="E667">
        <v>215.32546796652082</v>
      </c>
      <c r="F667">
        <v>71.577811595121844</v>
      </c>
      <c r="G667">
        <v>8040.8091129415598</v>
      </c>
      <c r="H667">
        <v>174567.19783944843</v>
      </c>
      <c r="I667">
        <v>234.83533987806933</v>
      </c>
    </row>
    <row r="668" spans="2:9" x14ac:dyDescent="0.2">
      <c r="B668" s="1">
        <v>664</v>
      </c>
      <c r="C668" s="15">
        <v>44755</v>
      </c>
      <c r="D668">
        <v>61.82</v>
      </c>
      <c r="E668">
        <v>425.35670748595061</v>
      </c>
      <c r="F668">
        <v>75.857797570659415</v>
      </c>
      <c r="G668">
        <v>15276.054682300162</v>
      </c>
      <c r="H668">
        <v>344842.29482590221</v>
      </c>
      <c r="I668">
        <v>248.87728861665352</v>
      </c>
    </row>
    <row r="669" spans="2:9" x14ac:dyDescent="0.2">
      <c r="B669" s="1">
        <v>665</v>
      </c>
      <c r="C669" s="15">
        <v>44760</v>
      </c>
      <c r="D669">
        <v>56.3</v>
      </c>
      <c r="E669">
        <v>384.36788339518608</v>
      </c>
      <c r="F669">
        <v>75.207460031338726</v>
      </c>
      <c r="G669">
        <v>13912.032976601407</v>
      </c>
      <c r="H669">
        <v>311612.11433758505</v>
      </c>
      <c r="I669">
        <v>246.74363527243406</v>
      </c>
    </row>
    <row r="670" spans="2:9" x14ac:dyDescent="0.2">
      <c r="B670" s="1">
        <v>666</v>
      </c>
      <c r="C670" s="15">
        <v>44780</v>
      </c>
      <c r="D670">
        <v>53.38</v>
      </c>
      <c r="E670">
        <v>363.16545736434114</v>
      </c>
      <c r="F670">
        <v>74.850990525409131</v>
      </c>
      <c r="G670">
        <v>13190.485262717286</v>
      </c>
      <c r="H670">
        <v>294423.02781402413</v>
      </c>
      <c r="I670">
        <v>245.5741158960293</v>
      </c>
    </row>
    <row r="671" spans="2:9" x14ac:dyDescent="0.2">
      <c r="B671" s="1">
        <v>667</v>
      </c>
      <c r="C671" s="15">
        <v>44790</v>
      </c>
      <c r="D671">
        <v>68.5</v>
      </c>
      <c r="E671">
        <v>478.73501387929281</v>
      </c>
      <c r="F671">
        <v>76.617873512610359</v>
      </c>
      <c r="G671">
        <v>16926.718630500825</v>
      </c>
      <c r="H671">
        <v>388116.79208114592</v>
      </c>
      <c r="I671">
        <v>251.37097609023587</v>
      </c>
    </row>
    <row r="672" spans="2:9" x14ac:dyDescent="0.2">
      <c r="B672" s="1">
        <v>668</v>
      </c>
      <c r="C672" s="15">
        <v>44795</v>
      </c>
      <c r="D672">
        <v>55.77</v>
      </c>
      <c r="E672">
        <v>380.4323622415439</v>
      </c>
      <c r="F672">
        <v>75.145018202382218</v>
      </c>
      <c r="G672">
        <v>13781.067124423811</v>
      </c>
      <c r="H672">
        <v>308421.53541388799</v>
      </c>
      <c r="I672">
        <v>246.53877362887678</v>
      </c>
    </row>
    <row r="673" spans="2:9" x14ac:dyDescent="0.2">
      <c r="B673" s="1">
        <v>669</v>
      </c>
      <c r="C673" s="15">
        <v>44800</v>
      </c>
      <c r="D673">
        <v>55.11</v>
      </c>
      <c r="E673">
        <v>375.53152457851769</v>
      </c>
      <c r="F673">
        <v>75.067260453115608</v>
      </c>
      <c r="G673">
        <v>13617.977572655482</v>
      </c>
      <c r="H673">
        <v>304448.36165985005</v>
      </c>
      <c r="I673">
        <v>246.28366290293746</v>
      </c>
    </row>
    <row r="674" spans="2:9" x14ac:dyDescent="0.2">
      <c r="B674" s="1">
        <v>670</v>
      </c>
      <c r="C674" s="15">
        <v>44805</v>
      </c>
      <c r="D674">
        <v>53.81</v>
      </c>
      <c r="E674">
        <v>366.18033298623169</v>
      </c>
      <c r="F674">
        <v>74.906269685165896</v>
      </c>
      <c r="G674">
        <v>13296.740576748169</v>
      </c>
      <c r="H674">
        <v>296867.22725832637</v>
      </c>
      <c r="I674">
        <v>245.75547796872138</v>
      </c>
    </row>
    <row r="675" spans="2:9" x14ac:dyDescent="0.2">
      <c r="B675" s="1">
        <v>671</v>
      </c>
      <c r="C675" s="15">
        <v>44810</v>
      </c>
      <c r="D675">
        <v>53.34</v>
      </c>
      <c r="E675">
        <v>362.88500381811878</v>
      </c>
      <c r="F675">
        <v>74.845848277989901</v>
      </c>
      <c r="G675">
        <v>13180.6010474586</v>
      </c>
      <c r="H675">
        <v>294195.66042385646</v>
      </c>
      <c r="I675">
        <v>245.55724500554632</v>
      </c>
    </row>
    <row r="676" spans="2:9" x14ac:dyDescent="0.2">
      <c r="B676" s="1">
        <v>672</v>
      </c>
      <c r="C676" s="15">
        <v>44815</v>
      </c>
      <c r="D676">
        <v>53.8</v>
      </c>
      <c r="E676">
        <v>366.11021959967604</v>
      </c>
      <c r="F676">
        <v>74.904984123311095</v>
      </c>
      <c r="G676">
        <v>13294.269522933495</v>
      </c>
      <c r="H676">
        <v>296810.38541078439</v>
      </c>
      <c r="I676">
        <v>245.75126024610066</v>
      </c>
    </row>
    <row r="677" spans="2:9" x14ac:dyDescent="0.2">
      <c r="B677" s="1">
        <v>673</v>
      </c>
      <c r="C677" s="15">
        <v>44820</v>
      </c>
      <c r="D677">
        <v>53.19</v>
      </c>
      <c r="E677">
        <v>361.83330301978481</v>
      </c>
      <c r="F677">
        <v>74.82656485016777</v>
      </c>
      <c r="G677">
        <v>13143.535240238523</v>
      </c>
      <c r="H677">
        <v>293343.03271072771</v>
      </c>
      <c r="I677">
        <v>245.49397916623514</v>
      </c>
    </row>
    <row r="678" spans="2:9" x14ac:dyDescent="0.2">
      <c r="B678" s="1">
        <v>674</v>
      </c>
      <c r="C678" s="15">
        <v>44825</v>
      </c>
      <c r="D678">
        <v>50.63</v>
      </c>
      <c r="E678">
        <v>343.88427606155273</v>
      </c>
      <c r="F678">
        <v>74.497461015336754</v>
      </c>
      <c r="G678">
        <v>12510.945463682581</v>
      </c>
      <c r="H678">
        <v>278791.51973999786</v>
      </c>
      <c r="I678">
        <v>244.41424217532403</v>
      </c>
    </row>
    <row r="679" spans="2:9" x14ac:dyDescent="0.2">
      <c r="B679" s="1">
        <v>675</v>
      </c>
      <c r="C679" s="15">
        <v>44830</v>
      </c>
      <c r="D679">
        <v>50.97</v>
      </c>
      <c r="E679">
        <v>346.26813120444291</v>
      </c>
      <c r="F679">
        <v>74.541170118400245</v>
      </c>
      <c r="G679">
        <v>12594.961293381417</v>
      </c>
      <c r="H679">
        <v>280724.14255642297</v>
      </c>
      <c r="I679">
        <v>244.55764474442941</v>
      </c>
    </row>
    <row r="680" spans="2:9" x14ac:dyDescent="0.2">
      <c r="B680" s="1">
        <v>676</v>
      </c>
      <c r="C680" s="15">
        <v>44835</v>
      </c>
      <c r="D680">
        <v>50.52</v>
      </c>
      <c r="E680">
        <v>343.11302880944123</v>
      </c>
      <c r="F680">
        <v>74.483319834933852</v>
      </c>
      <c r="G680">
        <v>12483.763871721194</v>
      </c>
      <c r="H680">
        <v>278166.2594170369</v>
      </c>
      <c r="I680">
        <v>244.3678472264958</v>
      </c>
    </row>
    <row r="681" spans="2:9" x14ac:dyDescent="0.2">
      <c r="B681" s="1">
        <v>677</v>
      </c>
      <c r="C681" s="15">
        <v>44840</v>
      </c>
      <c r="D681">
        <v>49.67</v>
      </c>
      <c r="E681">
        <v>337.15339095221572</v>
      </c>
      <c r="F681">
        <v>74.374047077275122</v>
      </c>
      <c r="G681">
        <v>12273.724297474102</v>
      </c>
      <c r="H681">
        <v>273334.70237597422</v>
      </c>
      <c r="I681">
        <v>244.00934080373239</v>
      </c>
    </row>
    <row r="682" spans="2:9" x14ac:dyDescent="0.2">
      <c r="B682" s="1">
        <v>678</v>
      </c>
      <c r="C682" s="15">
        <v>44845</v>
      </c>
      <c r="D682">
        <v>48.5</v>
      </c>
      <c r="E682">
        <v>328.9501247252112</v>
      </c>
      <c r="F682">
        <v>74.223636340262516</v>
      </c>
      <c r="G682">
        <v>11984.61100115752</v>
      </c>
      <c r="H682">
        <v>266684.20621357037</v>
      </c>
      <c r="I682">
        <v>243.51586725710507</v>
      </c>
    </row>
    <row r="683" spans="2:9" x14ac:dyDescent="0.2">
      <c r="B683" s="1">
        <v>679</v>
      </c>
      <c r="C683" s="15">
        <v>44850</v>
      </c>
      <c r="D683">
        <v>48.01</v>
      </c>
      <c r="E683">
        <v>325.51456878398704</v>
      </c>
      <c r="F683">
        <v>74.160643809376893</v>
      </c>
      <c r="G683">
        <v>11863.529364238608</v>
      </c>
      <c r="H683">
        <v>263898.95568401663</v>
      </c>
      <c r="I683">
        <v>243.30919884868851</v>
      </c>
    </row>
    <row r="684" spans="2:9" x14ac:dyDescent="0.2">
      <c r="B684" s="1">
        <v>680</v>
      </c>
      <c r="C684" s="15">
        <v>44855</v>
      </c>
      <c r="D684">
        <v>47.15</v>
      </c>
      <c r="E684">
        <v>319.48481754020594</v>
      </c>
      <c r="F684">
        <v>74.050085489863349</v>
      </c>
      <c r="G684">
        <v>11651.018736176844</v>
      </c>
      <c r="H684">
        <v>259010.55679541201</v>
      </c>
      <c r="I684">
        <v>242.94647470330432</v>
      </c>
    </row>
    <row r="685" spans="2:9" x14ac:dyDescent="0.2">
      <c r="B685" s="1">
        <v>681</v>
      </c>
      <c r="C685" s="15">
        <v>44860</v>
      </c>
      <c r="D685">
        <v>46.64</v>
      </c>
      <c r="E685">
        <v>315.90968565264296</v>
      </c>
      <c r="F685">
        <v>73.981960925326618</v>
      </c>
      <c r="G685">
        <v>11524.994991628591</v>
      </c>
      <c r="H685">
        <v>256112.15020462562</v>
      </c>
      <c r="I685">
        <v>242.72296891414268</v>
      </c>
    </row>
    <row r="686" spans="2:9" x14ac:dyDescent="0.2">
      <c r="B686" s="1">
        <v>682</v>
      </c>
      <c r="C686" s="15">
        <v>44865</v>
      </c>
      <c r="D686">
        <v>46.3</v>
      </c>
      <c r="E686">
        <v>313.52766839266451</v>
      </c>
      <c r="F686">
        <v>73.931020016780536</v>
      </c>
      <c r="G686">
        <v>11440.979161929754</v>
      </c>
      <c r="H686">
        <v>254181.01738412579</v>
      </c>
      <c r="I686">
        <v>242.55583994909716</v>
      </c>
    </row>
    <row r="687" spans="2:9" x14ac:dyDescent="0.2">
      <c r="B687" s="1">
        <v>683</v>
      </c>
      <c r="C687" s="15">
        <v>44870</v>
      </c>
      <c r="D687">
        <v>46.42</v>
      </c>
      <c r="E687">
        <v>314.36838036677455</v>
      </c>
      <c r="F687">
        <v>73.948999160973273</v>
      </c>
      <c r="G687">
        <v>11470.631807705815</v>
      </c>
      <c r="H687">
        <v>254862.593673714</v>
      </c>
      <c r="I687">
        <v>242.61482664264264</v>
      </c>
    </row>
    <row r="688" spans="2:9" x14ac:dyDescent="0.2">
      <c r="B688" s="1">
        <v>684</v>
      </c>
      <c r="C688" s="15">
        <v>44875</v>
      </c>
      <c r="D688">
        <v>45.47</v>
      </c>
      <c r="E688">
        <v>307.71274390507011</v>
      </c>
      <c r="F688">
        <v>73.806664269447438</v>
      </c>
      <c r="G688">
        <v>11235.881695312008</v>
      </c>
      <c r="H688">
        <v>249466.7813811409</v>
      </c>
      <c r="I688">
        <v>242.1478486520742</v>
      </c>
    </row>
    <row r="689" spans="2:9" x14ac:dyDescent="0.2">
      <c r="B689" s="1">
        <v>685</v>
      </c>
      <c r="C689" s="15">
        <v>44880</v>
      </c>
      <c r="D689">
        <v>45.57</v>
      </c>
      <c r="E689">
        <v>308.4133372168285</v>
      </c>
      <c r="F689">
        <v>73.821646889608061</v>
      </c>
      <c r="G689">
        <v>11260.592233458725</v>
      </c>
      <c r="H689">
        <v>250034.7616224644</v>
      </c>
      <c r="I689">
        <v>242.1970042300288</v>
      </c>
    </row>
    <row r="690" spans="2:9" x14ac:dyDescent="0.2">
      <c r="B690" s="1">
        <v>686</v>
      </c>
      <c r="C690" s="15">
        <v>44885</v>
      </c>
      <c r="D690">
        <v>44.96</v>
      </c>
      <c r="E690">
        <v>304.13971801510252</v>
      </c>
      <c r="F690">
        <v>73.730252906628309</v>
      </c>
      <c r="G690">
        <v>11109.857950763753</v>
      </c>
      <c r="H690">
        <v>246570.08215039116</v>
      </c>
      <c r="I690">
        <v>241.89715520450588</v>
      </c>
    </row>
    <row r="691" spans="2:9" x14ac:dyDescent="0.2">
      <c r="B691" s="1">
        <v>687</v>
      </c>
      <c r="C691" s="15">
        <v>44890</v>
      </c>
      <c r="D691">
        <v>43.4</v>
      </c>
      <c r="E691">
        <v>293.21046235167205</v>
      </c>
      <c r="F691">
        <v>73.496524032122736</v>
      </c>
      <c r="G691">
        <v>10724.373555674976</v>
      </c>
      <c r="H691">
        <v>237709.59038574481</v>
      </c>
      <c r="I691">
        <v>241.13032818841455</v>
      </c>
    </row>
    <row r="692" spans="2:9" x14ac:dyDescent="0.2">
      <c r="B692" s="1">
        <v>688</v>
      </c>
      <c r="C692" s="15">
        <v>44895</v>
      </c>
      <c r="D692">
        <v>42.62</v>
      </c>
      <c r="E692">
        <v>287.74583451995682</v>
      </c>
      <c r="F692">
        <v>73.379659594869949</v>
      </c>
      <c r="G692">
        <v>10531.631358130586</v>
      </c>
      <c r="H692">
        <v>233279.34450342163</v>
      </c>
      <c r="I692">
        <v>240.74691468036889</v>
      </c>
    </row>
    <row r="693" spans="2:9" x14ac:dyDescent="0.2">
      <c r="B693" s="1">
        <v>689</v>
      </c>
      <c r="C693" s="15">
        <v>44900</v>
      </c>
      <c r="D693">
        <v>42.46</v>
      </c>
      <c r="E693">
        <v>286.62488522114347</v>
      </c>
      <c r="F693">
        <v>73.355687402612972</v>
      </c>
      <c r="G693">
        <v>10492.094497095841</v>
      </c>
      <c r="H693">
        <v>232370.5761173041</v>
      </c>
      <c r="I693">
        <v>240.66826575564158</v>
      </c>
    </row>
    <row r="694" spans="2:9" x14ac:dyDescent="0.2">
      <c r="B694" s="1">
        <v>690</v>
      </c>
      <c r="C694" s="15">
        <v>44905</v>
      </c>
      <c r="D694">
        <v>42.14</v>
      </c>
      <c r="E694">
        <v>284.38298662351673</v>
      </c>
      <c r="F694">
        <v>73.307743018099004</v>
      </c>
      <c r="G694">
        <v>10413.020775026347</v>
      </c>
      <c r="H694">
        <v>230553.03934506897</v>
      </c>
      <c r="I694">
        <v>240.51096790618692</v>
      </c>
    </row>
    <row r="695" spans="2:9" x14ac:dyDescent="0.2">
      <c r="B695" s="1">
        <v>691</v>
      </c>
      <c r="C695" s="15">
        <v>44910</v>
      </c>
      <c r="D695">
        <v>40.83</v>
      </c>
      <c r="E695">
        <v>275.20521423948219</v>
      </c>
      <c r="F695">
        <v>73.11147069399496</v>
      </c>
      <c r="G695">
        <v>10089.31272530436</v>
      </c>
      <c r="H695">
        <v>223112.49818373137</v>
      </c>
      <c r="I695">
        <v>239.86702983498202</v>
      </c>
    </row>
    <row r="696" spans="2:9" x14ac:dyDescent="0.2">
      <c r="B696" s="1">
        <v>692</v>
      </c>
      <c r="C696" s="15">
        <v>44915</v>
      </c>
      <c r="D696">
        <v>40.17</v>
      </c>
      <c r="E696">
        <v>270.58129838187705</v>
      </c>
      <c r="F696">
        <v>73.01258540093491</v>
      </c>
      <c r="G696">
        <v>9926.2231735360328</v>
      </c>
      <c r="H696">
        <v>219363.82859099639</v>
      </c>
      <c r="I696">
        <v>239.54260302048183</v>
      </c>
    </row>
    <row r="697" spans="2:9" x14ac:dyDescent="0.2">
      <c r="B697" s="1">
        <v>693</v>
      </c>
      <c r="C697" s="15">
        <v>44920</v>
      </c>
      <c r="D697">
        <v>41.73</v>
      </c>
      <c r="E697">
        <v>281.5105540453074</v>
      </c>
      <c r="F697">
        <v>73.246314275440483</v>
      </c>
      <c r="G697">
        <v>10311.707568624808</v>
      </c>
      <c r="H697">
        <v>228224.32035564267</v>
      </c>
      <c r="I697">
        <v>240.30943003657316</v>
      </c>
    </row>
    <row r="698" spans="2:9" x14ac:dyDescent="0.2">
      <c r="B698" s="1">
        <v>694</v>
      </c>
      <c r="C698" s="15">
        <v>44925</v>
      </c>
      <c r="D698">
        <v>48.23</v>
      </c>
      <c r="E698">
        <v>327.05706328821009</v>
      </c>
      <c r="F698">
        <v>74.188926170182683</v>
      </c>
      <c r="G698">
        <v>11917.892548161384</v>
      </c>
      <c r="H698">
        <v>265149.47632993868</v>
      </c>
      <c r="I698">
        <v>243.40198874634493</v>
      </c>
    </row>
    <row r="699" spans="2:9" x14ac:dyDescent="0.2">
      <c r="B699" s="1">
        <v>695</v>
      </c>
      <c r="C699" s="15">
        <v>44930</v>
      </c>
      <c r="D699">
        <v>47.93</v>
      </c>
      <c r="E699">
        <v>324.95366169154232</v>
      </c>
      <c r="F699">
        <v>74.15035931453842</v>
      </c>
      <c r="G699">
        <v>11843.760933721234</v>
      </c>
      <c r="H699">
        <v>263444.2209036813</v>
      </c>
      <c r="I699">
        <v>243.27545706772253</v>
      </c>
    </row>
    <row r="700" spans="2:9" x14ac:dyDescent="0.2">
      <c r="B700" s="1">
        <v>696</v>
      </c>
      <c r="C700" s="15">
        <v>44935</v>
      </c>
      <c r="D700">
        <v>47.05</v>
      </c>
      <c r="E700">
        <v>318.78368367464998</v>
      </c>
      <c r="F700">
        <v>74.037229871315262</v>
      </c>
      <c r="G700">
        <v>11626.308198030129</v>
      </c>
      <c r="H700">
        <v>258442.1383199929</v>
      </c>
      <c r="I700">
        <v>242.90429747709683</v>
      </c>
    </row>
    <row r="701" spans="2:9" x14ac:dyDescent="0.2">
      <c r="B701" s="1">
        <v>697</v>
      </c>
      <c r="C701" s="15">
        <v>44940</v>
      </c>
      <c r="D701">
        <v>46.96</v>
      </c>
      <c r="E701">
        <v>318.15266319564967</v>
      </c>
      <c r="F701">
        <v>74.025659814621974</v>
      </c>
      <c r="G701">
        <v>11604.068713698083</v>
      </c>
      <c r="H701">
        <v>257930.56169211571</v>
      </c>
      <c r="I701">
        <v>242.8663379735101</v>
      </c>
    </row>
    <row r="702" spans="2:9" x14ac:dyDescent="0.2">
      <c r="B702" s="1">
        <v>698</v>
      </c>
      <c r="C702" s="15">
        <v>44945</v>
      </c>
      <c r="D702">
        <v>46.57</v>
      </c>
      <c r="E702">
        <v>315.41927033441209</v>
      </c>
      <c r="F702">
        <v>73.971473091214193</v>
      </c>
      <c r="G702">
        <v>11507.69761492589</v>
      </c>
      <c r="H702">
        <v>255714.56403569921</v>
      </c>
      <c r="I702">
        <v>242.6885600095745</v>
      </c>
    </row>
    <row r="703" spans="2:9" x14ac:dyDescent="0.2">
      <c r="B703" s="1">
        <v>699</v>
      </c>
      <c r="C703" s="15">
        <v>44950</v>
      </c>
      <c r="D703">
        <v>45.81</v>
      </c>
      <c r="E703">
        <v>310.09476116504857</v>
      </c>
      <c r="F703">
        <v>73.857605177993534</v>
      </c>
      <c r="G703">
        <v>11319.897525010845</v>
      </c>
      <c r="H703">
        <v>251397.91420164076</v>
      </c>
      <c r="I703">
        <v>242.31497761711978</v>
      </c>
    </row>
    <row r="704" spans="2:9" x14ac:dyDescent="0.2">
      <c r="B704" s="1">
        <v>700</v>
      </c>
      <c r="C704" s="15">
        <v>44955</v>
      </c>
      <c r="D704">
        <v>45.32</v>
      </c>
      <c r="E704">
        <v>306.66185393743257</v>
      </c>
      <c r="F704">
        <v>73.784190339206518</v>
      </c>
      <c r="G704">
        <v>11198.815888091933</v>
      </c>
      <c r="H704">
        <v>248614.81101915566</v>
      </c>
      <c r="I704">
        <v>242.07411528514234</v>
      </c>
    </row>
    <row r="705" spans="2:9" x14ac:dyDescent="0.2">
      <c r="B705" s="1">
        <v>701</v>
      </c>
      <c r="C705" s="15">
        <v>44960</v>
      </c>
      <c r="D705">
        <v>45.27</v>
      </c>
      <c r="E705">
        <v>306.31155728155341</v>
      </c>
      <c r="F705">
        <v>73.77669902912622</v>
      </c>
      <c r="G705">
        <v>11186.460619018575</v>
      </c>
      <c r="H705">
        <v>248330.82089849396</v>
      </c>
      <c r="I705">
        <v>242.04953749616507</v>
      </c>
    </row>
    <row r="706" spans="2:9" x14ac:dyDescent="0.2">
      <c r="B706" s="1">
        <v>702</v>
      </c>
      <c r="C706" s="15">
        <v>44965</v>
      </c>
      <c r="D706">
        <v>44.79</v>
      </c>
      <c r="E706">
        <v>302.94870938511326</v>
      </c>
      <c r="F706">
        <v>73.704782452355275</v>
      </c>
      <c r="G706">
        <v>11067.850035914335</v>
      </c>
      <c r="H706">
        <v>245604.51574014121</v>
      </c>
      <c r="I706">
        <v>241.81359072198313</v>
      </c>
    </row>
    <row r="707" spans="2:9" x14ac:dyDescent="0.2">
      <c r="B707" s="1">
        <v>703</v>
      </c>
      <c r="C707" s="15">
        <v>44970</v>
      </c>
      <c r="D707">
        <v>44.07</v>
      </c>
      <c r="E707">
        <v>297.9044375404531</v>
      </c>
      <c r="F707">
        <v>73.596907587198857</v>
      </c>
      <c r="G707">
        <v>10889.934161257976</v>
      </c>
      <c r="H707">
        <v>241515.0580026122</v>
      </c>
      <c r="I707">
        <v>241.45967056071021</v>
      </c>
    </row>
    <row r="708" spans="2:9" x14ac:dyDescent="0.2">
      <c r="B708" s="1">
        <v>704</v>
      </c>
      <c r="C708" s="15">
        <v>44975</v>
      </c>
      <c r="D708">
        <v>42.23</v>
      </c>
      <c r="E708">
        <v>285.0135206040992</v>
      </c>
      <c r="F708">
        <v>73.321227376243556</v>
      </c>
      <c r="G708">
        <v>10435.260259358391</v>
      </c>
      <c r="H708">
        <v>231064.22156226006</v>
      </c>
      <c r="I708">
        <v>240.55520792634604</v>
      </c>
    </row>
    <row r="709" spans="2:9" x14ac:dyDescent="0.2">
      <c r="B709" s="1">
        <v>705</v>
      </c>
      <c r="C709" s="15">
        <v>44980</v>
      </c>
      <c r="D709">
        <v>42.54</v>
      </c>
      <c r="E709">
        <v>287.18535987055014</v>
      </c>
      <c r="F709">
        <v>73.367673498741453</v>
      </c>
      <c r="G709">
        <v>10511.862927613212</v>
      </c>
      <c r="H709">
        <v>232824.96031036286</v>
      </c>
      <c r="I709">
        <v>240.70759021800521</v>
      </c>
    </row>
    <row r="710" spans="2:9" x14ac:dyDescent="0.2">
      <c r="B710" s="1">
        <v>706</v>
      </c>
      <c r="C710" s="15">
        <v>44985</v>
      </c>
      <c r="D710">
        <v>42.19</v>
      </c>
      <c r="E710">
        <v>284.73328327939589</v>
      </c>
      <c r="F710">
        <v>73.315234328179315</v>
      </c>
      <c r="G710">
        <v>10425.376044099705</v>
      </c>
      <c r="H710">
        <v>230837.02946573071</v>
      </c>
      <c r="I710">
        <v>240.53554569516425</v>
      </c>
    </row>
    <row r="711" spans="2:9" x14ac:dyDescent="0.2">
      <c r="B711" s="1">
        <v>707</v>
      </c>
      <c r="C711" s="15">
        <v>44990</v>
      </c>
      <c r="D711">
        <v>40.36</v>
      </c>
      <c r="E711">
        <v>271.9124256742179</v>
      </c>
      <c r="F711">
        <v>73.041052379240085</v>
      </c>
      <c r="G711">
        <v>9973.1731960147936</v>
      </c>
      <c r="H711">
        <v>220442.99104951098</v>
      </c>
      <c r="I711">
        <v>239.63599861859555</v>
      </c>
    </row>
    <row r="712" spans="2:9" x14ac:dyDescent="0.2">
      <c r="B712" s="1">
        <v>708</v>
      </c>
      <c r="C712" s="15">
        <v>44990</v>
      </c>
      <c r="D712">
        <v>40.6</v>
      </c>
      <c r="E712">
        <v>273.59384962243797</v>
      </c>
      <c r="F712">
        <v>73.077010667625558</v>
      </c>
      <c r="G712">
        <v>10032.478487566914</v>
      </c>
      <c r="H712">
        <v>221806.14362868736</v>
      </c>
      <c r="I712">
        <v>239.75397200568653</v>
      </c>
    </row>
    <row r="713" spans="2:9" x14ac:dyDescent="0.2">
      <c r="B713" s="1">
        <v>709</v>
      </c>
      <c r="C713" s="15">
        <v>44995</v>
      </c>
      <c r="D713">
        <v>39.979999999999997</v>
      </c>
      <c r="E713">
        <v>269.22698653690185</v>
      </c>
      <c r="F713">
        <v>72.980895737586735</v>
      </c>
      <c r="G713">
        <v>9879.2731510572703</v>
      </c>
      <c r="H713">
        <v>218265.87010976902</v>
      </c>
      <c r="I713">
        <v>239.43863430871002</v>
      </c>
    </row>
    <row r="714" spans="2:9" x14ac:dyDescent="0.2">
      <c r="B714" s="1">
        <v>710</v>
      </c>
      <c r="C714" s="15">
        <v>45000</v>
      </c>
      <c r="D714">
        <v>39.380000000000003</v>
      </c>
      <c r="E714">
        <v>264.89219334955396</v>
      </c>
      <c r="F714">
        <v>72.872758403172028</v>
      </c>
      <c r="G714">
        <v>9731.0099221769706</v>
      </c>
      <c r="H714">
        <v>214751.59608043541</v>
      </c>
      <c r="I714">
        <v>239.0838530278233</v>
      </c>
    </row>
    <row r="715" spans="2:9" x14ac:dyDescent="0.2">
      <c r="B715" s="1">
        <v>711</v>
      </c>
      <c r="C715" s="15">
        <v>45005</v>
      </c>
      <c r="D715">
        <v>39.32</v>
      </c>
      <c r="E715">
        <v>264.45871403081912</v>
      </c>
      <c r="F715">
        <v>72.861944669730562</v>
      </c>
      <c r="G715">
        <v>9716.183599288941</v>
      </c>
      <c r="H715">
        <v>214400.16867750199</v>
      </c>
      <c r="I715">
        <v>239.04837489973463</v>
      </c>
    </row>
    <row r="716" spans="2:9" x14ac:dyDescent="0.2">
      <c r="B716" s="1">
        <v>712</v>
      </c>
      <c r="C716" s="15">
        <v>45005</v>
      </c>
      <c r="D716">
        <v>39.42</v>
      </c>
      <c r="E716">
        <v>265.18117956204378</v>
      </c>
      <c r="F716">
        <v>72.879967558799677</v>
      </c>
      <c r="G716">
        <v>9740.8941374356582</v>
      </c>
      <c r="H716">
        <v>214985.8810157243</v>
      </c>
      <c r="I716">
        <v>239.10750511321575</v>
      </c>
    </row>
    <row r="717" spans="2:9" x14ac:dyDescent="0.2">
      <c r="B717" s="1">
        <v>713</v>
      </c>
      <c r="C717" s="15">
        <v>45010</v>
      </c>
      <c r="D717">
        <v>46.68</v>
      </c>
      <c r="E717">
        <v>316.18992297734627</v>
      </c>
      <c r="F717">
        <v>73.987953973390873</v>
      </c>
      <c r="G717">
        <v>11534.879206887277</v>
      </c>
      <c r="H717">
        <v>256339.342301155</v>
      </c>
      <c r="I717">
        <v>242.74263114532457</v>
      </c>
    </row>
    <row r="718" spans="2:9" x14ac:dyDescent="0.2">
      <c r="B718" s="1">
        <v>714</v>
      </c>
      <c r="C718" s="15">
        <v>45015</v>
      </c>
      <c r="D718">
        <v>46.83</v>
      </c>
      <c r="E718">
        <v>317.24118917042694</v>
      </c>
      <c r="F718">
        <v>74.008947510509472</v>
      </c>
      <c r="G718">
        <v>11571.945014107352</v>
      </c>
      <c r="H718">
        <v>257191.61767407085</v>
      </c>
      <c r="I718">
        <v>242.81150757944042</v>
      </c>
    </row>
    <row r="719" spans="2:9" x14ac:dyDescent="0.2">
      <c r="B719" s="1">
        <v>715</v>
      </c>
      <c r="C719" s="15">
        <v>45020</v>
      </c>
      <c r="D719">
        <v>47.61</v>
      </c>
      <c r="E719">
        <v>322.71003332176326</v>
      </c>
      <c r="F719">
        <v>74.109221335184543</v>
      </c>
      <c r="G719">
        <v>11764.687211651741</v>
      </c>
      <c r="H719">
        <v>261625.28178234005</v>
      </c>
      <c r="I719">
        <v>243.14048994385863</v>
      </c>
    </row>
    <row r="720" spans="2:9" x14ac:dyDescent="0.2">
      <c r="B720" s="1">
        <v>716</v>
      </c>
      <c r="C720" s="15">
        <v>45025</v>
      </c>
      <c r="D720">
        <v>47.98</v>
      </c>
      <c r="E720">
        <v>325.30422862432027</v>
      </c>
      <c r="F720">
        <v>74.156787123812464</v>
      </c>
      <c r="G720">
        <v>11856.116202794592</v>
      </c>
      <c r="H720">
        <v>263728.43014139088</v>
      </c>
      <c r="I720">
        <v>243.29654568082626</v>
      </c>
    </row>
    <row r="721" spans="2:9" x14ac:dyDescent="0.2">
      <c r="B721" s="1">
        <v>717</v>
      </c>
      <c r="C721" s="15">
        <v>45030</v>
      </c>
      <c r="D721">
        <v>46.95</v>
      </c>
      <c r="E721">
        <v>318.08254980909408</v>
      </c>
      <c r="F721">
        <v>74.024374252767174</v>
      </c>
      <c r="G721">
        <v>11601.597659883413</v>
      </c>
      <c r="H721">
        <v>257873.71984457379</v>
      </c>
      <c r="I721">
        <v>242.86212025088938</v>
      </c>
    </row>
    <row r="722" spans="2:9" x14ac:dyDescent="0.2">
      <c r="B722" s="1">
        <v>718</v>
      </c>
      <c r="C722" s="15">
        <v>45035</v>
      </c>
      <c r="D722">
        <v>45.89</v>
      </c>
      <c r="E722">
        <v>310.65523581445524</v>
      </c>
      <c r="F722">
        <v>73.869591274122016</v>
      </c>
      <c r="G722">
        <v>11339.665955528219</v>
      </c>
      <c r="H722">
        <v>251852.29839469952</v>
      </c>
      <c r="I722">
        <v>242.3543020794834</v>
      </c>
    </row>
    <row r="723" spans="2:9" x14ac:dyDescent="0.2">
      <c r="B723" s="1">
        <v>719</v>
      </c>
      <c r="C723" s="15">
        <v>45040</v>
      </c>
      <c r="D723">
        <v>61.74</v>
      </c>
      <c r="E723">
        <v>424.76266655709895</v>
      </c>
      <c r="F723">
        <v>75.84837238893013</v>
      </c>
      <c r="G723">
        <v>15256.286251782789</v>
      </c>
      <c r="H723">
        <v>344360.69800723094</v>
      </c>
      <c r="I723">
        <v>248.84636610441845</v>
      </c>
    </row>
    <row r="724" spans="2:9" x14ac:dyDescent="0.2">
      <c r="B724" s="1">
        <v>720</v>
      </c>
      <c r="C724" s="15">
        <v>45050</v>
      </c>
      <c r="D724">
        <v>55.83</v>
      </c>
      <c r="E724">
        <v>380.87789293818258</v>
      </c>
      <c r="F724">
        <v>75.152087088679181</v>
      </c>
      <c r="G724">
        <v>13795.893447311841</v>
      </c>
      <c r="H724">
        <v>308782.73302789137</v>
      </c>
      <c r="I724">
        <v>246.56196551305308</v>
      </c>
    </row>
    <row r="725" spans="2:9" x14ac:dyDescent="0.2">
      <c r="B725" s="1">
        <v>721</v>
      </c>
      <c r="C725" s="15">
        <v>45055</v>
      </c>
      <c r="D725">
        <v>53.67</v>
      </c>
      <c r="E725">
        <v>365.19874557445337</v>
      </c>
      <c r="F725">
        <v>74.888271819198579</v>
      </c>
      <c r="G725">
        <v>13262.145823342764</v>
      </c>
      <c r="H725">
        <v>296071.44139273959</v>
      </c>
      <c r="I725">
        <v>245.69642985203095</v>
      </c>
    </row>
    <row r="726" spans="2:9" x14ac:dyDescent="0.2">
      <c r="B726" s="1">
        <v>722</v>
      </c>
      <c r="C726" s="15">
        <v>45060</v>
      </c>
      <c r="D726">
        <v>53.66</v>
      </c>
      <c r="E726">
        <v>365.12863218789772</v>
      </c>
      <c r="F726">
        <v>74.886986257343779</v>
      </c>
      <c r="G726">
        <v>13259.674769528092</v>
      </c>
      <c r="H726">
        <v>296014.59954519768</v>
      </c>
      <c r="I726">
        <v>245.69221212941022</v>
      </c>
    </row>
    <row r="727" spans="2:9" x14ac:dyDescent="0.2">
      <c r="B727" s="1">
        <v>723</v>
      </c>
      <c r="C727" s="15">
        <v>45070</v>
      </c>
      <c r="D727">
        <v>54.02</v>
      </c>
      <c r="E727">
        <v>367.65271410389914</v>
      </c>
      <c r="F727">
        <v>74.933266484116885</v>
      </c>
      <c r="G727">
        <v>13348.632706856273</v>
      </c>
      <c r="H727">
        <v>298060.90605670656</v>
      </c>
      <c r="I727">
        <v>245.84405014375707</v>
      </c>
    </row>
    <row r="728" spans="2:9" x14ac:dyDescent="0.2">
      <c r="B728" s="1">
        <v>724</v>
      </c>
      <c r="C728" s="15">
        <v>45080</v>
      </c>
      <c r="D728">
        <v>52.17</v>
      </c>
      <c r="E728">
        <v>354.68173759111426</v>
      </c>
      <c r="F728">
        <v>74.695437540977281</v>
      </c>
      <c r="G728">
        <v>12891.487751142015</v>
      </c>
      <c r="H728">
        <v>287545.16426145262</v>
      </c>
      <c r="I728">
        <v>245.06377145891898</v>
      </c>
    </row>
    <row r="729" spans="2:9" x14ac:dyDescent="0.2">
      <c r="B729" s="1">
        <v>725</v>
      </c>
      <c r="C729" s="15">
        <v>45085</v>
      </c>
      <c r="D729">
        <v>53.37</v>
      </c>
      <c r="E729">
        <v>363.09534397778549</v>
      </c>
      <c r="F729">
        <v>74.849704963554316</v>
      </c>
      <c r="G729">
        <v>13188.014208902614</v>
      </c>
      <c r="H729">
        <v>294366.18596648215</v>
      </c>
      <c r="I729">
        <v>245.56989817340855</v>
      </c>
    </row>
    <row r="730" spans="2:9" x14ac:dyDescent="0.2">
      <c r="B730" s="1">
        <v>726</v>
      </c>
      <c r="C730" s="15">
        <v>45090</v>
      </c>
      <c r="D730">
        <v>54.12</v>
      </c>
      <c r="E730">
        <v>368.35384796945505</v>
      </c>
      <c r="F730">
        <v>74.946122102664972</v>
      </c>
      <c r="G730">
        <v>13373.343245002989</v>
      </c>
      <c r="H730">
        <v>298629.32453212567</v>
      </c>
      <c r="I730">
        <v>245.88622736996453</v>
      </c>
    </row>
    <row r="731" spans="2:9" x14ac:dyDescent="0.2">
      <c r="B731" s="1">
        <v>727</v>
      </c>
      <c r="C731" s="15">
        <v>45095</v>
      </c>
      <c r="D731">
        <v>53.71</v>
      </c>
      <c r="E731">
        <v>365.47919912067573</v>
      </c>
      <c r="F731">
        <v>74.893414066617822</v>
      </c>
      <c r="G731">
        <v>13272.030038601451</v>
      </c>
      <c r="H731">
        <v>296298.8087829072</v>
      </c>
      <c r="I731">
        <v>245.71330074251395</v>
      </c>
    </row>
    <row r="732" spans="2:9" x14ac:dyDescent="0.2">
      <c r="B732" s="1">
        <v>728</v>
      </c>
      <c r="C732" s="15">
        <v>45100</v>
      </c>
      <c r="D732">
        <v>53.51</v>
      </c>
      <c r="E732">
        <v>364.07693138956381</v>
      </c>
      <c r="F732">
        <v>74.867702829521647</v>
      </c>
      <c r="G732">
        <v>13222.608962308017</v>
      </c>
      <c r="H732">
        <v>295161.97183206893</v>
      </c>
      <c r="I732">
        <v>245.62894629009901</v>
      </c>
    </row>
    <row r="733" spans="2:9" x14ac:dyDescent="0.2">
      <c r="B733" s="1">
        <v>729</v>
      </c>
      <c r="C733" s="15">
        <v>45105</v>
      </c>
      <c r="D733">
        <v>53.26</v>
      </c>
      <c r="E733">
        <v>362.32409672567394</v>
      </c>
      <c r="F733">
        <v>74.835563783151429</v>
      </c>
      <c r="G733">
        <v>13160.832616941225</v>
      </c>
      <c r="H733">
        <v>293740.92564352113</v>
      </c>
      <c r="I733">
        <v>245.52350322458034</v>
      </c>
    </row>
    <row r="734" spans="2:9" x14ac:dyDescent="0.2">
      <c r="B734" s="1">
        <v>730</v>
      </c>
      <c r="C734" s="15">
        <v>45110</v>
      </c>
      <c r="D734">
        <v>52.23</v>
      </c>
      <c r="E734">
        <v>355.10241791044774</v>
      </c>
      <c r="F734">
        <v>74.703150912106139</v>
      </c>
      <c r="G734">
        <v>12906.314074030044</v>
      </c>
      <c r="H734">
        <v>287886.215346704</v>
      </c>
      <c r="I734">
        <v>245.08907779464346</v>
      </c>
    </row>
    <row r="735" spans="2:9" x14ac:dyDescent="0.2">
      <c r="B735" s="1">
        <v>731</v>
      </c>
      <c r="C735" s="15">
        <v>45115</v>
      </c>
      <c r="D735">
        <v>51.89</v>
      </c>
      <c r="E735">
        <v>352.71856276755761</v>
      </c>
      <c r="F735">
        <v>74.659441809042647</v>
      </c>
      <c r="G735">
        <v>12822.298244331208</v>
      </c>
      <c r="H735">
        <v>285953.59253027901</v>
      </c>
      <c r="I735">
        <v>244.94567522553811</v>
      </c>
    </row>
    <row r="736" spans="2:9" x14ac:dyDescent="0.2">
      <c r="B736" s="1">
        <v>732</v>
      </c>
      <c r="C736" s="15">
        <v>45120</v>
      </c>
      <c r="D736">
        <v>49.83</v>
      </c>
      <c r="E736">
        <v>338.27520513710516</v>
      </c>
      <c r="F736">
        <v>74.394616066952068</v>
      </c>
      <c r="G736">
        <v>12313.261158508847</v>
      </c>
      <c r="H736">
        <v>274244.17193664482</v>
      </c>
      <c r="I736">
        <v>244.07682436566435</v>
      </c>
    </row>
    <row r="737" spans="2:9" x14ac:dyDescent="0.2">
      <c r="B737" s="1">
        <v>733</v>
      </c>
      <c r="C737" s="15">
        <v>45125</v>
      </c>
      <c r="D737">
        <v>49.07</v>
      </c>
      <c r="E737">
        <v>332.94658775888001</v>
      </c>
      <c r="F737">
        <v>74.296913365986612</v>
      </c>
      <c r="G737">
        <v>12125.461068593802</v>
      </c>
      <c r="H737">
        <v>269924.19152345945</v>
      </c>
      <c r="I737">
        <v>243.75627744648762</v>
      </c>
    </row>
    <row r="738" spans="2:9" x14ac:dyDescent="0.2">
      <c r="B738" s="1">
        <v>734</v>
      </c>
      <c r="C738" s="15">
        <v>45150</v>
      </c>
      <c r="D738">
        <v>54.39</v>
      </c>
      <c r="E738">
        <v>370.2469094064561</v>
      </c>
      <c r="F738">
        <v>74.980832272744806</v>
      </c>
      <c r="G738">
        <v>13440.061697999123</v>
      </c>
      <c r="H738">
        <v>300164.0544157573</v>
      </c>
      <c r="I738">
        <v>246.0001058807247</v>
      </c>
    </row>
    <row r="739" spans="2:9" x14ac:dyDescent="0.2">
      <c r="B739" s="1">
        <v>735</v>
      </c>
      <c r="C739" s="15">
        <v>45155</v>
      </c>
      <c r="D739">
        <v>54.39</v>
      </c>
      <c r="E739">
        <v>370.2469094064561</v>
      </c>
      <c r="F739">
        <v>74.980832272744806</v>
      </c>
      <c r="G739">
        <v>13440.061697999123</v>
      </c>
      <c r="H739">
        <v>300164.0544157573</v>
      </c>
      <c r="I739">
        <v>246.0001058807247</v>
      </c>
    </row>
    <row r="740" spans="2:9" x14ac:dyDescent="0.2">
      <c r="B740" s="1">
        <v>736</v>
      </c>
      <c r="C740" s="15">
        <v>45160</v>
      </c>
      <c r="D740">
        <v>53.08</v>
      </c>
      <c r="E740">
        <v>361.06205576767326</v>
      </c>
      <c r="F740">
        <v>74.812423669764868</v>
      </c>
      <c r="G740">
        <v>13116.353648277136</v>
      </c>
      <c r="H740">
        <v>292717.77238776663</v>
      </c>
      <c r="I740">
        <v>245.4475842174069</v>
      </c>
    </row>
    <row r="741" spans="2:9" x14ac:dyDescent="0.2">
      <c r="B741" s="1">
        <v>737</v>
      </c>
      <c r="C741" s="15">
        <v>45165</v>
      </c>
      <c r="D741">
        <v>52.7</v>
      </c>
      <c r="E741">
        <v>358.39774707856071</v>
      </c>
      <c r="F741">
        <v>74.763572319282147</v>
      </c>
      <c r="G741">
        <v>13022.453603319615</v>
      </c>
      <c r="H741">
        <v>290557.78218117397</v>
      </c>
      <c r="I741">
        <v>245.28731075781855</v>
      </c>
    </row>
    <row r="742" spans="2:9" x14ac:dyDescent="0.2">
      <c r="B742" s="1">
        <v>738</v>
      </c>
      <c r="C742" s="15">
        <v>45175</v>
      </c>
      <c r="D742">
        <v>51.98</v>
      </c>
      <c r="E742">
        <v>353.34958324655793</v>
      </c>
      <c r="F742">
        <v>74.67101186573592</v>
      </c>
      <c r="G742">
        <v>12844.537728663252</v>
      </c>
      <c r="H742">
        <v>286465.1691581562</v>
      </c>
      <c r="I742">
        <v>244.98363472912482</v>
      </c>
    </row>
    <row r="743" spans="2:9" x14ac:dyDescent="0.2">
      <c r="B743" s="1">
        <v>739</v>
      </c>
      <c r="C743" s="15">
        <v>45180</v>
      </c>
      <c r="D743">
        <v>50.38</v>
      </c>
      <c r="E743">
        <v>342.13144139766291</v>
      </c>
      <c r="F743">
        <v>74.465321968966535</v>
      </c>
      <c r="G743">
        <v>12449.169118315791</v>
      </c>
      <c r="H743">
        <v>277370.47355145012</v>
      </c>
      <c r="I743">
        <v>244.30879910980536</v>
      </c>
    </row>
    <row r="744" spans="2:9" x14ac:dyDescent="0.2">
      <c r="B744" s="1">
        <v>740</v>
      </c>
      <c r="C744" s="15">
        <v>45185</v>
      </c>
      <c r="D744">
        <v>50.58</v>
      </c>
      <c r="E744">
        <v>343.53370912877472</v>
      </c>
      <c r="F744">
        <v>74.49103320606271</v>
      </c>
      <c r="G744">
        <v>12498.590194609222</v>
      </c>
      <c r="H744">
        <v>278507.31050228834</v>
      </c>
      <c r="I744">
        <v>244.39315356222031</v>
      </c>
    </row>
    <row r="745" spans="2:9" x14ac:dyDescent="0.2">
      <c r="B745" s="1">
        <v>741</v>
      </c>
      <c r="C745" s="15">
        <v>45190</v>
      </c>
      <c r="D745">
        <v>49.11</v>
      </c>
      <c r="E745">
        <v>333.22704130510243</v>
      </c>
      <c r="F745">
        <v>74.302055613405841</v>
      </c>
      <c r="G745">
        <v>12135.345283852488</v>
      </c>
      <c r="H745">
        <v>270151.55891362706</v>
      </c>
      <c r="I745">
        <v>243.77314833697059</v>
      </c>
    </row>
    <row r="746" spans="2:9" x14ac:dyDescent="0.2">
      <c r="B746" s="1">
        <v>742</v>
      </c>
      <c r="C746" s="15">
        <v>45195</v>
      </c>
      <c r="D746">
        <v>48.61</v>
      </c>
      <c r="E746">
        <v>329.72137197732269</v>
      </c>
      <c r="F746">
        <v>74.237777520665404</v>
      </c>
      <c r="G746">
        <v>12011.792593118907</v>
      </c>
      <c r="H746">
        <v>267309.4665365314</v>
      </c>
      <c r="I746">
        <v>243.56226220593325</v>
      </c>
    </row>
    <row r="747" spans="2:9" x14ac:dyDescent="0.2">
      <c r="B747" s="1">
        <v>743</v>
      </c>
      <c r="C747" s="15">
        <v>45200</v>
      </c>
      <c r="D747">
        <v>46.83</v>
      </c>
      <c r="E747">
        <v>317.24118917042694</v>
      </c>
      <c r="F747">
        <v>74.008947510509472</v>
      </c>
      <c r="G747">
        <v>11571.945014107352</v>
      </c>
      <c r="H747">
        <v>257191.61767407085</v>
      </c>
      <c r="I747">
        <v>242.81150757944042</v>
      </c>
    </row>
    <row r="748" spans="2:9" x14ac:dyDescent="0.2">
      <c r="B748" s="1">
        <v>744</v>
      </c>
      <c r="C748" s="15">
        <v>45205</v>
      </c>
      <c r="D748">
        <v>46.19</v>
      </c>
      <c r="E748">
        <v>312.75701574973033</v>
      </c>
      <c r="F748">
        <v>73.914539134603856</v>
      </c>
      <c r="G748">
        <v>11413.797569968367</v>
      </c>
      <c r="H748">
        <v>253556.23911866997</v>
      </c>
      <c r="I748">
        <v>242.50176881334713</v>
      </c>
    </row>
    <row r="749" spans="2:9" x14ac:dyDescent="0.2">
      <c r="B749" s="1">
        <v>745</v>
      </c>
      <c r="C749" s="15">
        <v>45210</v>
      </c>
      <c r="D749">
        <v>44.57</v>
      </c>
      <c r="E749">
        <v>301.4074040992449</v>
      </c>
      <c r="F749">
        <v>73.671820688001915</v>
      </c>
      <c r="G749">
        <v>11013.486851991558</v>
      </c>
      <c r="H749">
        <v>244354.95920922959</v>
      </c>
      <c r="I749">
        <v>241.70544845048303</v>
      </c>
    </row>
    <row r="750" spans="2:9" x14ac:dyDescent="0.2">
      <c r="B750" s="1">
        <v>746</v>
      </c>
      <c r="C750" s="15">
        <v>45215</v>
      </c>
      <c r="D750">
        <v>44.23</v>
      </c>
      <c r="E750">
        <v>299.02538683926645</v>
      </c>
      <c r="F750">
        <v>73.620879779455834</v>
      </c>
      <c r="G750">
        <v>10929.471022292721</v>
      </c>
      <c r="H750">
        <v>242423.82638872974</v>
      </c>
      <c r="I750">
        <v>241.53831948543751</v>
      </c>
    </row>
    <row r="751" spans="2:9" x14ac:dyDescent="0.2">
      <c r="B751" s="1">
        <v>747</v>
      </c>
      <c r="C751" s="15">
        <v>45220</v>
      </c>
      <c r="D751">
        <v>45.94</v>
      </c>
      <c r="E751">
        <v>311.0055324703344</v>
      </c>
      <c r="F751">
        <v>73.877082584202327</v>
      </c>
      <c r="G751">
        <v>11352.021224601576</v>
      </c>
      <c r="H751">
        <v>252136.28851536123</v>
      </c>
      <c r="I751">
        <v>242.3788798684607</v>
      </c>
    </row>
    <row r="752" spans="2:9" x14ac:dyDescent="0.2">
      <c r="B752" s="1">
        <v>748</v>
      </c>
      <c r="C752" s="15">
        <v>45225</v>
      </c>
      <c r="D752">
        <v>47.35</v>
      </c>
      <c r="E752">
        <v>320.88708527131786</v>
      </c>
      <c r="F752">
        <v>74.075796726959524</v>
      </c>
      <c r="G752">
        <v>11700.439812470278</v>
      </c>
      <c r="H752">
        <v>260147.39374625034</v>
      </c>
      <c r="I752">
        <v>243.03082915571923</v>
      </c>
    </row>
    <row r="753" spans="2:9" x14ac:dyDescent="0.2">
      <c r="B753" s="1">
        <v>749</v>
      </c>
      <c r="C753" s="15">
        <v>45230</v>
      </c>
      <c r="D753">
        <v>46.75</v>
      </c>
      <c r="E753">
        <v>316.68033829557714</v>
      </c>
      <c r="F753">
        <v>73.998441807503298</v>
      </c>
      <c r="G753">
        <v>11552.176583589979</v>
      </c>
      <c r="H753">
        <v>256736.92847008145</v>
      </c>
      <c r="I753">
        <v>242.77704004989275</v>
      </c>
    </row>
    <row r="754" spans="2:9" x14ac:dyDescent="0.2">
      <c r="B754" s="1">
        <v>750</v>
      </c>
      <c r="C754" s="15">
        <v>45235</v>
      </c>
      <c r="D754">
        <v>46.62</v>
      </c>
      <c r="E754">
        <v>315.76956699029125</v>
      </c>
      <c r="F754">
        <v>73.978964401294505</v>
      </c>
      <c r="G754">
        <v>11520.052883999246</v>
      </c>
      <c r="H754">
        <v>255998.55415636091</v>
      </c>
      <c r="I754">
        <v>242.71313779855183</v>
      </c>
    </row>
    <row r="755" spans="2:9" x14ac:dyDescent="0.2">
      <c r="B755" s="1">
        <v>751</v>
      </c>
      <c r="C755" s="15">
        <v>45240</v>
      </c>
      <c r="D755">
        <v>44.09</v>
      </c>
      <c r="E755">
        <v>298.04455620280476</v>
      </c>
      <c r="F755">
        <v>73.59990411123097</v>
      </c>
      <c r="G755">
        <v>10894.876268887319</v>
      </c>
      <c r="H755">
        <v>241628.65405087685</v>
      </c>
      <c r="I755">
        <v>241.46950167630109</v>
      </c>
    </row>
    <row r="756" spans="2:9" x14ac:dyDescent="0.2">
      <c r="B756" s="1">
        <v>752</v>
      </c>
      <c r="C756" s="15">
        <v>45245</v>
      </c>
      <c r="D756">
        <v>43.53</v>
      </c>
      <c r="E756">
        <v>294.12123365695794</v>
      </c>
      <c r="F756">
        <v>73.516001438331543</v>
      </c>
      <c r="G756">
        <v>10756.497255265707</v>
      </c>
      <c r="H756">
        <v>238447.96469946534</v>
      </c>
      <c r="I756">
        <v>241.19423043975553</v>
      </c>
    </row>
    <row r="757" spans="2:9" x14ac:dyDescent="0.2">
      <c r="B757" s="1">
        <v>753</v>
      </c>
      <c r="C757" s="15">
        <v>45250</v>
      </c>
      <c r="D757">
        <v>43.07</v>
      </c>
      <c r="E757">
        <v>290.89850442286945</v>
      </c>
      <c r="F757">
        <v>73.44708138559271</v>
      </c>
      <c r="G757">
        <v>10642.828779790812</v>
      </c>
      <c r="H757">
        <v>235835.25558937731</v>
      </c>
      <c r="I757">
        <v>240.96811478116445</v>
      </c>
    </row>
    <row r="758" spans="2:9" x14ac:dyDescent="0.2">
      <c r="B758" s="1">
        <v>754</v>
      </c>
      <c r="C758" s="15">
        <v>45260</v>
      </c>
      <c r="D758">
        <v>42.79</v>
      </c>
      <c r="E758">
        <v>288.93684314994607</v>
      </c>
      <c r="F758">
        <v>73.405130049142997</v>
      </c>
      <c r="G758">
        <v>10573.639272980005</v>
      </c>
      <c r="H758">
        <v>234244.9109136716</v>
      </c>
      <c r="I758">
        <v>240.83047916289166</v>
      </c>
    </row>
    <row r="759" spans="2:9" x14ac:dyDescent="0.2">
      <c r="B759" s="1">
        <v>755</v>
      </c>
      <c r="C759" s="15">
        <v>45270</v>
      </c>
      <c r="D759">
        <v>41.57</v>
      </c>
      <c r="E759">
        <v>280.38960474649406</v>
      </c>
      <c r="F759">
        <v>73.222342083183506</v>
      </c>
      <c r="G759">
        <v>10272.170707590063</v>
      </c>
      <c r="H759">
        <v>227315.55196952511</v>
      </c>
      <c r="I759">
        <v>240.23078111184586</v>
      </c>
    </row>
    <row r="760" spans="2:9" x14ac:dyDescent="0.2">
      <c r="B760" s="1">
        <v>756</v>
      </c>
      <c r="C760" s="15">
        <v>45275</v>
      </c>
      <c r="D760">
        <v>42.94</v>
      </c>
      <c r="E760">
        <v>289.98773311758362</v>
      </c>
      <c r="F760">
        <v>73.427603979383917</v>
      </c>
      <c r="G760">
        <v>10610.705080200079</v>
      </c>
      <c r="H760">
        <v>235096.88127565684</v>
      </c>
      <c r="I760">
        <v>240.90421252982352</v>
      </c>
    </row>
    <row r="761" spans="2:9" x14ac:dyDescent="0.2">
      <c r="B761" s="1">
        <v>757</v>
      </c>
      <c r="C761" s="15">
        <v>45280</v>
      </c>
      <c r="D761">
        <v>40.229999999999997</v>
      </c>
      <c r="E761">
        <v>271.00165436893201</v>
      </c>
      <c r="F761">
        <v>73.021574973031278</v>
      </c>
      <c r="G761">
        <v>9941.0494964240606</v>
      </c>
      <c r="H761">
        <v>219704.61673579045</v>
      </c>
      <c r="I761">
        <v>239.57209636725457</v>
      </c>
    </row>
    <row r="762" spans="2:9" x14ac:dyDescent="0.2">
      <c r="B762" s="1">
        <v>758</v>
      </c>
      <c r="C762" s="15">
        <v>45285</v>
      </c>
      <c r="D762">
        <v>39.69</v>
      </c>
      <c r="E762">
        <v>267.13183649635033</v>
      </c>
      <c r="F762">
        <v>72.92862935928629</v>
      </c>
      <c r="G762">
        <v>9807.6125904317923</v>
      </c>
      <c r="H762">
        <v>216567.30432892442</v>
      </c>
      <c r="I762">
        <v>239.26715668961475</v>
      </c>
    </row>
    <row r="763" spans="2:9" x14ac:dyDescent="0.2">
      <c r="B763" s="1">
        <v>759</v>
      </c>
      <c r="C763" s="15">
        <v>45290</v>
      </c>
      <c r="D763">
        <v>39.4</v>
      </c>
      <c r="E763">
        <v>265.03668645579887</v>
      </c>
      <c r="F763">
        <v>72.876362980985846</v>
      </c>
      <c r="G763">
        <v>9735.9520298063144</v>
      </c>
      <c r="H763">
        <v>214868.73854807985</v>
      </c>
      <c r="I763">
        <v>239.09567907051951</v>
      </c>
    </row>
    <row r="764" spans="2:9" x14ac:dyDescent="0.2">
      <c r="B764" s="1">
        <v>760</v>
      </c>
      <c r="C764" s="15">
        <v>45295</v>
      </c>
      <c r="D764">
        <v>38.770000000000003</v>
      </c>
      <c r="E764">
        <v>260.48515360908357</v>
      </c>
      <c r="F764">
        <v>72.762818779850406</v>
      </c>
      <c r="G764">
        <v>9580.2756394820008</v>
      </c>
      <c r="H764">
        <v>211178.75081727954</v>
      </c>
      <c r="I764">
        <v>238.72315872558843</v>
      </c>
    </row>
    <row r="765" spans="2:9" x14ac:dyDescent="0.2">
      <c r="B765" s="1">
        <v>761</v>
      </c>
      <c r="C765" s="15">
        <v>45300</v>
      </c>
      <c r="D765">
        <v>38.32</v>
      </c>
      <c r="E765">
        <v>257.23405871857261</v>
      </c>
      <c r="F765">
        <v>72.681715779039379</v>
      </c>
      <c r="G765">
        <v>9469.078217821776</v>
      </c>
      <c r="H765">
        <v>208543.04529527927</v>
      </c>
      <c r="I765">
        <v>238.45707276492342</v>
      </c>
    </row>
    <row r="766" spans="2:9" x14ac:dyDescent="0.2">
      <c r="B766" s="1">
        <v>762</v>
      </c>
      <c r="C766" s="15">
        <v>45305</v>
      </c>
      <c r="D766">
        <v>38.630000000000003</v>
      </c>
      <c r="E766">
        <v>259.47370186536904</v>
      </c>
      <c r="F766">
        <v>72.737586735153641</v>
      </c>
      <c r="G766">
        <v>9545.6808860765959</v>
      </c>
      <c r="H766">
        <v>210358.75354376834</v>
      </c>
      <c r="I766">
        <v>238.64037642671488</v>
      </c>
    </row>
    <row r="767" spans="2:9" x14ac:dyDescent="0.2">
      <c r="B767" s="1">
        <v>763</v>
      </c>
      <c r="C767" s="15">
        <v>45310</v>
      </c>
      <c r="D767">
        <v>39.19</v>
      </c>
      <c r="E767">
        <v>263.51950884022705</v>
      </c>
      <c r="F767">
        <v>72.838514913940699</v>
      </c>
      <c r="G767">
        <v>9684.059899698208</v>
      </c>
      <c r="H767">
        <v>213638.74263781303</v>
      </c>
      <c r="I767">
        <v>238.97150562220915</v>
      </c>
    </row>
    <row r="768" spans="2:9" x14ac:dyDescent="0.2">
      <c r="B768" s="1">
        <v>764</v>
      </c>
      <c r="C768" s="15">
        <v>45315</v>
      </c>
      <c r="D768">
        <v>37.14</v>
      </c>
      <c r="E768">
        <v>248.70896545012167</v>
      </c>
      <c r="F768">
        <v>72.469045688023783</v>
      </c>
      <c r="G768">
        <v>9177.4938676905203</v>
      </c>
      <c r="H768">
        <v>201631.63970425643</v>
      </c>
      <c r="I768">
        <v>237.75933624584616</v>
      </c>
    </row>
    <row r="769" spans="2:9" x14ac:dyDescent="0.2">
      <c r="B769" s="1">
        <v>765</v>
      </c>
      <c r="C769" s="15">
        <v>45320</v>
      </c>
      <c r="D769">
        <v>37.130000000000003</v>
      </c>
      <c r="E769">
        <v>248.63671889699921</v>
      </c>
      <c r="F769">
        <v>72.467243399116882</v>
      </c>
      <c r="G769">
        <v>9175.0228138758503</v>
      </c>
      <c r="H769">
        <v>201573.06847043423</v>
      </c>
      <c r="I769">
        <v>237.75342322449808</v>
      </c>
    </row>
    <row r="770" spans="2:9" x14ac:dyDescent="0.2">
      <c r="B770" s="1">
        <v>766</v>
      </c>
      <c r="C770" s="15">
        <v>45325</v>
      </c>
      <c r="D770">
        <v>43.52</v>
      </c>
      <c r="E770">
        <v>294.05117432578214</v>
      </c>
      <c r="F770">
        <v>73.514503176315472</v>
      </c>
      <c r="G770">
        <v>10754.026201451035</v>
      </c>
      <c r="H770">
        <v>238391.16667533305</v>
      </c>
      <c r="I770">
        <v>241.18931488196003</v>
      </c>
    </row>
    <row r="771" spans="2:9" x14ac:dyDescent="0.2">
      <c r="B771" s="1">
        <v>767</v>
      </c>
      <c r="C771" s="15">
        <v>45330</v>
      </c>
      <c r="D771">
        <v>49.42</v>
      </c>
      <c r="E771">
        <v>335.40055628832584</v>
      </c>
      <c r="F771">
        <v>74.341908030904904</v>
      </c>
      <c r="G771">
        <v>12211.94795210731</v>
      </c>
      <c r="H771">
        <v>271913.65618742642</v>
      </c>
      <c r="I771">
        <v>243.90389773821371</v>
      </c>
    </row>
    <row r="772" spans="2:9" x14ac:dyDescent="0.2">
      <c r="B772" s="1">
        <v>768</v>
      </c>
      <c r="C772" s="15">
        <v>45335</v>
      </c>
      <c r="D772">
        <v>50.7</v>
      </c>
      <c r="E772">
        <v>344.37506976744191</v>
      </c>
      <c r="F772">
        <v>74.506459948320412</v>
      </c>
      <c r="G772">
        <v>12528.242840385283</v>
      </c>
      <c r="H772">
        <v>279189.41267279134</v>
      </c>
      <c r="I772">
        <v>244.44376623366927</v>
      </c>
    </row>
    <row r="773" spans="2:9" x14ac:dyDescent="0.2">
      <c r="B773" s="1">
        <v>769</v>
      </c>
      <c r="C773" s="15">
        <v>45340</v>
      </c>
      <c r="D773">
        <v>53.78</v>
      </c>
      <c r="E773">
        <v>365.96999282656486</v>
      </c>
      <c r="F773">
        <v>74.902412999601481</v>
      </c>
      <c r="G773">
        <v>13289.327415304153</v>
      </c>
      <c r="H773">
        <v>296696.70171570062</v>
      </c>
      <c r="I773">
        <v>245.74282480085918</v>
      </c>
    </row>
    <row r="774" spans="2:9" x14ac:dyDescent="0.2">
      <c r="B774" s="1">
        <v>770</v>
      </c>
      <c r="C774" s="15">
        <v>45345</v>
      </c>
      <c r="D774">
        <v>52.41</v>
      </c>
      <c r="E774">
        <v>356.36445886844842</v>
      </c>
      <c r="F774">
        <v>74.726291025492685</v>
      </c>
      <c r="G774">
        <v>12950.793042694135</v>
      </c>
      <c r="H774">
        <v>288909.36860245839</v>
      </c>
      <c r="I774">
        <v>245.16499680181687</v>
      </c>
    </row>
    <row r="775" spans="2:9" x14ac:dyDescent="0.2">
      <c r="B775" s="1">
        <v>771</v>
      </c>
      <c r="C775" s="15">
        <v>45355</v>
      </c>
      <c r="D775">
        <v>55.86</v>
      </c>
      <c r="E775">
        <v>381.10065828650198</v>
      </c>
      <c r="F775">
        <v>75.155621531827663</v>
      </c>
      <c r="G775">
        <v>13803.306608755856</v>
      </c>
      <c r="H775">
        <v>308963.33183489315</v>
      </c>
      <c r="I775">
        <v>246.57356145514123</v>
      </c>
    </row>
    <row r="776" spans="2:9" x14ac:dyDescent="0.2">
      <c r="B776" s="1">
        <v>772</v>
      </c>
      <c r="C776" s="15">
        <v>45360</v>
      </c>
      <c r="D776">
        <v>49.57</v>
      </c>
      <c r="E776">
        <v>336.45225708665976</v>
      </c>
      <c r="F776">
        <v>74.361191458727035</v>
      </c>
      <c r="G776">
        <v>12249.013759327385</v>
      </c>
      <c r="H776">
        <v>272766.28390055511</v>
      </c>
      <c r="I776">
        <v>243.96716357752493</v>
      </c>
    </row>
    <row r="777" spans="2:9" x14ac:dyDescent="0.2">
      <c r="B777" s="1">
        <v>773</v>
      </c>
      <c r="C777" s="15">
        <v>45365</v>
      </c>
      <c r="D777">
        <v>53.02</v>
      </c>
      <c r="E777">
        <v>360.64137544833977</v>
      </c>
      <c r="F777">
        <v>74.804710298636024</v>
      </c>
      <c r="G777">
        <v>13101.527325389106</v>
      </c>
      <c r="H777">
        <v>292376.72130251525</v>
      </c>
      <c r="I777">
        <v>245.42227788168245</v>
      </c>
    </row>
    <row r="778" spans="2:9" x14ac:dyDescent="0.2">
      <c r="B778" s="1">
        <v>774</v>
      </c>
      <c r="C778" s="15">
        <v>45370</v>
      </c>
      <c r="D778">
        <v>52.68</v>
      </c>
      <c r="E778">
        <v>358.25752030544953</v>
      </c>
      <c r="F778">
        <v>74.761001195572518</v>
      </c>
      <c r="G778">
        <v>13017.511495690269</v>
      </c>
      <c r="H778">
        <v>290444.09848609014</v>
      </c>
      <c r="I778">
        <v>245.27887531257704</v>
      </c>
    </row>
    <row r="779" spans="2:9" x14ac:dyDescent="0.2">
      <c r="B779" s="1">
        <v>775</v>
      </c>
      <c r="C779" s="15">
        <v>45375</v>
      </c>
      <c r="D779">
        <v>55.06</v>
      </c>
      <c r="E779">
        <v>375.16024899798543</v>
      </c>
      <c r="F779">
        <v>75.061369714534806</v>
      </c>
      <c r="G779">
        <v>13605.622303582124</v>
      </c>
      <c r="H779">
        <v>304147.36364818056</v>
      </c>
      <c r="I779">
        <v>246.26433633279058</v>
      </c>
    </row>
    <row r="780" spans="2:9" x14ac:dyDescent="0.2">
      <c r="B780" s="1">
        <v>776</v>
      </c>
      <c r="C780" s="15">
        <v>45380</v>
      </c>
      <c r="D780">
        <v>52.31</v>
      </c>
      <c r="E780">
        <v>355.66332500289258</v>
      </c>
      <c r="F780">
        <v>74.713435406944612</v>
      </c>
      <c r="G780">
        <v>12926.082504547419</v>
      </c>
      <c r="H780">
        <v>288340.95012703934</v>
      </c>
      <c r="I780">
        <v>245.12281957560947</v>
      </c>
    </row>
    <row r="781" spans="2:9" x14ac:dyDescent="0.2">
      <c r="B781" s="1">
        <v>777</v>
      </c>
      <c r="C781" s="15">
        <v>45385</v>
      </c>
      <c r="D781">
        <v>52.09</v>
      </c>
      <c r="E781">
        <v>354.12083049866948</v>
      </c>
      <c r="F781">
        <v>74.685153046138822</v>
      </c>
      <c r="G781">
        <v>12871.719320624643</v>
      </c>
      <c r="H781">
        <v>287090.42948111729</v>
      </c>
      <c r="I781">
        <v>245.03002967795302</v>
      </c>
    </row>
    <row r="782" spans="2:9" x14ac:dyDescent="0.2">
      <c r="B782" s="1">
        <v>778</v>
      </c>
      <c r="C782" s="15">
        <v>45390</v>
      </c>
      <c r="D782">
        <v>51.33</v>
      </c>
      <c r="E782">
        <v>348.79221312044433</v>
      </c>
      <c r="F782">
        <v>74.587450345173352</v>
      </c>
      <c r="G782">
        <v>12683.919230709596</v>
      </c>
      <c r="H782">
        <v>282770.44906793186</v>
      </c>
      <c r="I782">
        <v>244.70948275877626</v>
      </c>
    </row>
    <row r="783" spans="2:9" x14ac:dyDescent="0.2">
      <c r="B783" s="1">
        <v>779</v>
      </c>
      <c r="C783" s="15">
        <v>45400</v>
      </c>
      <c r="D783">
        <v>58.88</v>
      </c>
      <c r="E783">
        <v>403.52570335065212</v>
      </c>
      <c r="F783">
        <v>75.511422142108174</v>
      </c>
      <c r="G783">
        <v>14549.564860786695</v>
      </c>
      <c r="H783">
        <v>327143.61173973331</v>
      </c>
      <c r="I783">
        <v>247.74088629201486</v>
      </c>
    </row>
    <row r="784" spans="2:9" x14ac:dyDescent="0.2">
      <c r="B784" s="1">
        <v>780</v>
      </c>
      <c r="C784" s="15">
        <v>45405</v>
      </c>
      <c r="D784">
        <v>55.24</v>
      </c>
      <c r="E784">
        <v>376.49684108790166</v>
      </c>
      <c r="F784">
        <v>75.082576373425695</v>
      </c>
      <c r="G784">
        <v>13650.101272246213</v>
      </c>
      <c r="H784">
        <v>305230.95649019087</v>
      </c>
      <c r="I784">
        <v>246.33391198531945</v>
      </c>
    </row>
    <row r="785" spans="2:9" x14ac:dyDescent="0.2">
      <c r="B785" s="1">
        <v>781</v>
      </c>
      <c r="C785" s="15">
        <v>45410</v>
      </c>
      <c r="D785">
        <v>54.32</v>
      </c>
      <c r="E785">
        <v>369.75611570056697</v>
      </c>
      <c r="F785">
        <v>74.971833339761147</v>
      </c>
      <c r="G785">
        <v>13422.764321296419</v>
      </c>
      <c r="H785">
        <v>299766.16148296394</v>
      </c>
      <c r="I785">
        <v>245.97058182237947</v>
      </c>
    </row>
    <row r="786" spans="2:9" x14ac:dyDescent="0.2">
      <c r="B786" s="1">
        <v>782</v>
      </c>
      <c r="C786" s="15">
        <v>45415</v>
      </c>
      <c r="D786">
        <v>53.39</v>
      </c>
      <c r="E786">
        <v>363.23557075089673</v>
      </c>
      <c r="F786">
        <v>74.852276087263945</v>
      </c>
      <c r="G786">
        <v>13192.956316531958</v>
      </c>
      <c r="H786">
        <v>294479.86966156604</v>
      </c>
      <c r="I786">
        <v>245.57833361865008</v>
      </c>
    </row>
    <row r="787" spans="2:9" x14ac:dyDescent="0.2">
      <c r="B787" s="1">
        <v>783</v>
      </c>
      <c r="C787" s="15">
        <v>45420</v>
      </c>
      <c r="D787">
        <v>53.18</v>
      </c>
      <c r="E787">
        <v>361.76318963322922</v>
      </c>
      <c r="F787">
        <v>74.825279288312956</v>
      </c>
      <c r="G787">
        <v>13141.064186423853</v>
      </c>
      <c r="H787">
        <v>293286.1908631858</v>
      </c>
      <c r="I787">
        <v>245.48976144361436</v>
      </c>
    </row>
    <row r="788" spans="2:9" x14ac:dyDescent="0.2">
      <c r="B788" s="1">
        <v>784</v>
      </c>
      <c r="C788" s="15">
        <v>45425</v>
      </c>
      <c r="D788">
        <v>52.78</v>
      </c>
      <c r="E788">
        <v>358.95865417100549</v>
      </c>
      <c r="F788">
        <v>74.773856814120606</v>
      </c>
      <c r="G788">
        <v>13042.222033836986</v>
      </c>
      <c r="H788">
        <v>291012.5169615093</v>
      </c>
      <c r="I788">
        <v>245.3210525387845</v>
      </c>
    </row>
    <row r="789" spans="2:9" x14ac:dyDescent="0.2">
      <c r="B789" s="1">
        <v>785</v>
      </c>
      <c r="C789" s="15">
        <v>45430</v>
      </c>
      <c r="D789">
        <v>52.64</v>
      </c>
      <c r="E789">
        <v>357.97706675922717</v>
      </c>
      <c r="F789">
        <v>74.755858948153289</v>
      </c>
      <c r="G789">
        <v>13007.627280431583</v>
      </c>
      <c r="H789">
        <v>290216.73109592247</v>
      </c>
      <c r="I789">
        <v>245.26200442209407</v>
      </c>
    </row>
    <row r="790" spans="2:9" x14ac:dyDescent="0.2">
      <c r="B790" s="1">
        <v>786</v>
      </c>
      <c r="C790" s="15">
        <v>45435</v>
      </c>
      <c r="D790">
        <v>52.39</v>
      </c>
      <c r="E790">
        <v>356.2242320953373</v>
      </c>
      <c r="F790">
        <v>74.72371990178307</v>
      </c>
      <c r="G790">
        <v>12945.850935064791</v>
      </c>
      <c r="H790">
        <v>288795.68490737467</v>
      </c>
      <c r="I790">
        <v>245.15656135657539</v>
      </c>
    </row>
    <row r="791" spans="2:9" x14ac:dyDescent="0.2">
      <c r="B791" s="1">
        <v>787</v>
      </c>
      <c r="C791" s="15">
        <v>45440</v>
      </c>
      <c r="D791">
        <v>52.46</v>
      </c>
      <c r="E791">
        <v>356.71502580122643</v>
      </c>
      <c r="F791">
        <v>74.732718834766729</v>
      </c>
      <c r="G791">
        <v>12963.148311767492</v>
      </c>
      <c r="H791">
        <v>289193.57784016803</v>
      </c>
      <c r="I791">
        <v>245.1860854149206</v>
      </c>
    </row>
    <row r="792" spans="2:9" x14ac:dyDescent="0.2">
      <c r="B792" s="1">
        <v>788</v>
      </c>
      <c r="C792" s="15">
        <v>45450</v>
      </c>
      <c r="D792">
        <v>50.7</v>
      </c>
      <c r="E792">
        <v>344.37506976744191</v>
      </c>
      <c r="F792">
        <v>74.506459948320412</v>
      </c>
      <c r="G792">
        <v>12528.242840385283</v>
      </c>
      <c r="H792">
        <v>279189.41267279134</v>
      </c>
      <c r="I792">
        <v>244.44376623366927</v>
      </c>
    </row>
    <row r="793" spans="2:9" x14ac:dyDescent="0.2">
      <c r="B793" s="1">
        <v>789</v>
      </c>
      <c r="C793" s="15">
        <v>45454</v>
      </c>
      <c r="D793">
        <v>51.71</v>
      </c>
      <c r="E793">
        <v>351.45652180955688</v>
      </c>
      <c r="F793">
        <v>74.636301695656087</v>
      </c>
      <c r="G793">
        <v>12777.81927566712</v>
      </c>
      <c r="H793">
        <v>284930.43927452457</v>
      </c>
      <c r="I793">
        <v>244.86975621836464</v>
      </c>
    </row>
    <row r="794" spans="2:9" x14ac:dyDescent="0.2">
      <c r="B794" s="1">
        <v>790</v>
      </c>
      <c r="C794" s="15">
        <v>45455</v>
      </c>
      <c r="D794">
        <v>51.74</v>
      </c>
      <c r="E794">
        <v>351.6668619692237</v>
      </c>
      <c r="F794">
        <v>74.640158381220516</v>
      </c>
      <c r="G794">
        <v>12785.232437111134</v>
      </c>
      <c r="H794">
        <v>285100.96481715032</v>
      </c>
      <c r="I794">
        <v>244.8824093862269</v>
      </c>
    </row>
    <row r="795" spans="2:9" x14ac:dyDescent="0.2">
      <c r="B795" s="1">
        <v>791</v>
      </c>
      <c r="C795" s="15">
        <v>45460</v>
      </c>
      <c r="D795">
        <v>52.46</v>
      </c>
      <c r="E795">
        <v>356.71502580122643</v>
      </c>
      <c r="F795">
        <v>74.732718834766729</v>
      </c>
      <c r="G795">
        <v>12963.148311767492</v>
      </c>
      <c r="H795">
        <v>289193.57784016803</v>
      </c>
      <c r="I795">
        <v>245.1860854149206</v>
      </c>
    </row>
    <row r="796" spans="2:9" x14ac:dyDescent="0.2">
      <c r="B796" s="1">
        <v>792</v>
      </c>
      <c r="C796" s="15">
        <v>45465</v>
      </c>
      <c r="D796">
        <v>52</v>
      </c>
      <c r="E796">
        <v>353.48981001966911</v>
      </c>
      <c r="F796">
        <v>74.673582989445535</v>
      </c>
      <c r="G796">
        <v>12849.479836292598</v>
      </c>
      <c r="H796">
        <v>286578.85285324004</v>
      </c>
      <c r="I796">
        <v>244.99207017436629</v>
      </c>
    </row>
    <row r="797" spans="2:9" x14ac:dyDescent="0.2">
      <c r="B797" s="1">
        <v>793</v>
      </c>
      <c r="C797" s="15">
        <v>45470</v>
      </c>
      <c r="D797">
        <v>52.04</v>
      </c>
      <c r="E797">
        <v>353.77026356589147</v>
      </c>
      <c r="F797">
        <v>74.678725236864778</v>
      </c>
      <c r="G797">
        <v>12859.364051551283</v>
      </c>
      <c r="H797">
        <v>286806.2202434077</v>
      </c>
      <c r="I797">
        <v>245.0089410648493</v>
      </c>
    </row>
    <row r="798" spans="2:9" x14ac:dyDescent="0.2">
      <c r="B798" s="1">
        <v>794</v>
      </c>
      <c r="C798" s="15">
        <v>45475</v>
      </c>
      <c r="D798">
        <v>51.37</v>
      </c>
      <c r="E798">
        <v>349.07266666666669</v>
      </c>
      <c r="F798">
        <v>74.592592592592595</v>
      </c>
      <c r="G798">
        <v>12693.803445968284</v>
      </c>
      <c r="H798">
        <v>282997.81645809952</v>
      </c>
      <c r="I798">
        <v>244.72635364925929</v>
      </c>
    </row>
    <row r="799" spans="2:9" x14ac:dyDescent="0.2">
      <c r="B799" s="1">
        <v>795</v>
      </c>
      <c r="C799" s="15">
        <v>45480</v>
      </c>
      <c r="D799">
        <v>50.33</v>
      </c>
      <c r="E799">
        <v>341.7808744648849</v>
      </c>
      <c r="F799">
        <v>74.458894159692491</v>
      </c>
      <c r="G799">
        <v>12436.813849242431</v>
      </c>
      <c r="H799">
        <v>277086.26431374048</v>
      </c>
      <c r="I799">
        <v>244.28771049670164</v>
      </c>
    </row>
    <row r="800" spans="2:9" x14ac:dyDescent="0.2">
      <c r="B800" s="1">
        <v>796</v>
      </c>
      <c r="C800" s="15">
        <v>45485</v>
      </c>
      <c r="D800">
        <v>45.43</v>
      </c>
      <c r="E800">
        <v>307.43250658036681</v>
      </c>
      <c r="F800">
        <v>73.800671221383197</v>
      </c>
      <c r="G800">
        <v>11225.997480053322</v>
      </c>
      <c r="H800">
        <v>249239.58928461155</v>
      </c>
      <c r="I800">
        <v>242.12818642089238</v>
      </c>
    </row>
    <row r="801" spans="2:9" x14ac:dyDescent="0.2">
      <c r="B801" s="1">
        <v>797</v>
      </c>
      <c r="C801" s="15">
        <v>45486</v>
      </c>
      <c r="D801">
        <v>49.56</v>
      </c>
      <c r="E801">
        <v>336.38214370010417</v>
      </c>
      <c r="F801">
        <v>74.359905896872235</v>
      </c>
      <c r="G801">
        <v>12246.542705512715</v>
      </c>
      <c r="H801">
        <v>272709.44205301319</v>
      </c>
      <c r="I801">
        <v>243.96294585490421</v>
      </c>
    </row>
    <row r="802" spans="2:9" x14ac:dyDescent="0.2">
      <c r="B802" s="1">
        <v>798</v>
      </c>
      <c r="C802" s="15">
        <v>45490</v>
      </c>
      <c r="D802">
        <v>49.72</v>
      </c>
      <c r="E802">
        <v>337.50395788499367</v>
      </c>
      <c r="F802">
        <v>74.380474886549166</v>
      </c>
      <c r="G802">
        <v>12286.07956654746</v>
      </c>
      <c r="H802">
        <v>273618.9116136838</v>
      </c>
      <c r="I802">
        <v>244.03042941683611</v>
      </c>
    </row>
    <row r="803" spans="2:9" x14ac:dyDescent="0.2">
      <c r="B803" s="1">
        <v>799</v>
      </c>
      <c r="C803" s="15">
        <v>45495</v>
      </c>
      <c r="D803">
        <v>47.24</v>
      </c>
      <c r="E803">
        <v>320.11583801920631</v>
      </c>
      <c r="F803">
        <v>74.061655546556622</v>
      </c>
      <c r="G803">
        <v>11673.258220508891</v>
      </c>
      <c r="H803">
        <v>259522.13342328928</v>
      </c>
      <c r="I803">
        <v>242.984434206891</v>
      </c>
    </row>
    <row r="804" spans="2:9" x14ac:dyDescent="0.2">
      <c r="B804" s="1">
        <v>800</v>
      </c>
      <c r="C804" s="15">
        <v>45500</v>
      </c>
      <c r="D804">
        <v>45.94</v>
      </c>
      <c r="E804">
        <v>311.0055324703344</v>
      </c>
      <c r="F804">
        <v>73.877082584202327</v>
      </c>
      <c r="G804">
        <v>11352.021224601576</v>
      </c>
      <c r="H804">
        <v>252136.28851536123</v>
      </c>
      <c r="I804">
        <v>242.3788798684607</v>
      </c>
    </row>
    <row r="805" spans="2:9" x14ac:dyDescent="0.2">
      <c r="B805" s="1">
        <v>801</v>
      </c>
      <c r="C805" s="15">
        <v>45502</v>
      </c>
      <c r="D805">
        <v>44.99</v>
      </c>
      <c r="E805">
        <v>304.34989600863003</v>
      </c>
      <c r="F805">
        <v>73.734747692676493</v>
      </c>
      <c r="G805">
        <v>11117.271112207769</v>
      </c>
      <c r="H805">
        <v>246740.47622278822</v>
      </c>
      <c r="I805">
        <v>241.91190187789226</v>
      </c>
    </row>
    <row r="806" spans="2:9" x14ac:dyDescent="0.2">
      <c r="B806" s="1">
        <v>802</v>
      </c>
      <c r="C806" s="15">
        <v>45505</v>
      </c>
      <c r="D806">
        <v>45.41</v>
      </c>
      <c r="E806">
        <v>307.29238791801509</v>
      </c>
      <c r="F806">
        <v>73.79767469735107</v>
      </c>
      <c r="G806">
        <v>11221.055372423978</v>
      </c>
      <c r="H806">
        <v>249125.99323634678</v>
      </c>
      <c r="I806">
        <v>242.11835530530146</v>
      </c>
    </row>
    <row r="807" spans="2:9" x14ac:dyDescent="0.2">
      <c r="B807" s="1">
        <v>803</v>
      </c>
      <c r="C807" s="15">
        <v>45530</v>
      </c>
      <c r="D807">
        <v>51.69</v>
      </c>
      <c r="E807">
        <v>351.31629503644569</v>
      </c>
      <c r="F807">
        <v>74.633730571946472</v>
      </c>
      <c r="G807">
        <v>12772.877168037774</v>
      </c>
      <c r="H807">
        <v>284816.75557944068</v>
      </c>
      <c r="I807">
        <v>244.86132077312317</v>
      </c>
    </row>
    <row r="808" spans="2:9" x14ac:dyDescent="0.2">
      <c r="B808" s="1">
        <v>804</v>
      </c>
      <c r="C808" s="15">
        <v>45535</v>
      </c>
      <c r="D808">
        <v>49.25</v>
      </c>
      <c r="E808">
        <v>334.20862871688075</v>
      </c>
      <c r="F808">
        <v>74.320053479373158</v>
      </c>
      <c r="G808">
        <v>12169.940037257891</v>
      </c>
      <c r="H808">
        <v>270947.34477921389</v>
      </c>
      <c r="I808">
        <v>243.83219645366103</v>
      </c>
    </row>
    <row r="809" spans="2:9" x14ac:dyDescent="0.2">
      <c r="B809" s="1">
        <v>805</v>
      </c>
      <c r="C809" s="15">
        <v>45540</v>
      </c>
      <c r="D809">
        <v>52.04</v>
      </c>
      <c r="E809">
        <v>353.77026356589147</v>
      </c>
      <c r="F809">
        <v>74.678725236864778</v>
      </c>
      <c r="G809">
        <v>12859.364051551283</v>
      </c>
      <c r="H809">
        <v>286806.2202434077</v>
      </c>
      <c r="I809">
        <v>245.0089410648493</v>
      </c>
    </row>
    <row r="810" spans="2:9" x14ac:dyDescent="0.2">
      <c r="B810" s="1">
        <v>806</v>
      </c>
      <c r="C810" s="15">
        <v>45545</v>
      </c>
      <c r="D810">
        <v>50.33</v>
      </c>
      <c r="E810">
        <v>341.7808744648849</v>
      </c>
      <c r="F810">
        <v>74.458894159692491</v>
      </c>
      <c r="G810">
        <v>12436.813849242431</v>
      </c>
      <c r="H810">
        <v>277086.26431374048</v>
      </c>
      <c r="I810">
        <v>244.28771049670164</v>
      </c>
    </row>
    <row r="811" spans="2:9" x14ac:dyDescent="0.2">
      <c r="B811" s="1">
        <v>807</v>
      </c>
      <c r="C811" s="15">
        <v>45550</v>
      </c>
      <c r="D811">
        <v>50.2</v>
      </c>
      <c r="E811">
        <v>340.86940043966217</v>
      </c>
      <c r="F811">
        <v>74.442181855579989</v>
      </c>
      <c r="G811">
        <v>12404.6901496517</v>
      </c>
      <c r="H811">
        <v>276347.32029569562</v>
      </c>
      <c r="I811">
        <v>244.23288010263198</v>
      </c>
    </row>
    <row r="812" spans="2:9" x14ac:dyDescent="0.2">
      <c r="B812" s="1">
        <v>808</v>
      </c>
      <c r="C812" s="15">
        <v>45555</v>
      </c>
      <c r="D812">
        <v>49.16</v>
      </c>
      <c r="E812">
        <v>333.57760823788038</v>
      </c>
      <c r="F812">
        <v>74.308483422679885</v>
      </c>
      <c r="G812">
        <v>12147.700552925846</v>
      </c>
      <c r="H812">
        <v>270435.76815133664</v>
      </c>
      <c r="I812">
        <v>243.79423695007432</v>
      </c>
    </row>
    <row r="813" spans="2:9" x14ac:dyDescent="0.2">
      <c r="B813" s="1">
        <v>809</v>
      </c>
      <c r="C813" s="15">
        <v>45560</v>
      </c>
      <c r="D813">
        <v>48.23</v>
      </c>
      <c r="E813">
        <v>327.05706328821009</v>
      </c>
      <c r="F813">
        <v>74.188926170182683</v>
      </c>
      <c r="G813">
        <v>11917.892548161384</v>
      </c>
      <c r="H813">
        <v>265149.47632993868</v>
      </c>
      <c r="I813">
        <v>243.40198874634493</v>
      </c>
    </row>
    <row r="814" spans="2:9" x14ac:dyDescent="0.2">
      <c r="B814" s="1">
        <v>810</v>
      </c>
      <c r="C814" s="15">
        <v>45565</v>
      </c>
      <c r="D814">
        <v>47.49</v>
      </c>
      <c r="E814">
        <v>321.86867268309618</v>
      </c>
      <c r="F814">
        <v>74.093794592926841</v>
      </c>
      <c r="G814">
        <v>11735.034565875681</v>
      </c>
      <c r="H814">
        <v>260943.17961183711</v>
      </c>
      <c r="I814">
        <v>243.08987727240967</v>
      </c>
    </row>
    <row r="815" spans="2:9" x14ac:dyDescent="0.2">
      <c r="B815" s="1">
        <v>811</v>
      </c>
      <c r="C815" s="15">
        <v>45566</v>
      </c>
      <c r="D815">
        <v>46.62</v>
      </c>
      <c r="E815">
        <v>315.76956699029125</v>
      </c>
      <c r="F815">
        <v>73.978964401294505</v>
      </c>
      <c r="G815">
        <v>11520.052883999246</v>
      </c>
      <c r="H815">
        <v>255998.55415636091</v>
      </c>
      <c r="I815">
        <v>242.71313779855183</v>
      </c>
    </row>
    <row r="816" spans="2:9" x14ac:dyDescent="0.2">
      <c r="B816" s="1">
        <v>812</v>
      </c>
      <c r="C816" s="15">
        <v>45570</v>
      </c>
      <c r="D816">
        <v>46.71</v>
      </c>
      <c r="E816">
        <v>316.40010097087378</v>
      </c>
      <c r="F816">
        <v>73.992448759439057</v>
      </c>
      <c r="G816">
        <v>11542.292368331293</v>
      </c>
      <c r="H816">
        <v>256509.73637355206</v>
      </c>
      <c r="I816">
        <v>242.75737781871092</v>
      </c>
    </row>
    <row r="817" spans="2:9" x14ac:dyDescent="0.2">
      <c r="B817" s="1">
        <v>813</v>
      </c>
      <c r="C817" s="15">
        <v>45575</v>
      </c>
      <c r="D817">
        <v>45.93</v>
      </c>
      <c r="E817">
        <v>310.9354731391586</v>
      </c>
      <c r="F817">
        <v>73.87558432218627</v>
      </c>
      <c r="G817">
        <v>11349.550170786904</v>
      </c>
      <c r="H817">
        <v>252079.49049122891</v>
      </c>
      <c r="I817">
        <v>242.37396431066526</v>
      </c>
    </row>
    <row r="818" spans="2:9" x14ac:dyDescent="0.2">
      <c r="B818" s="1">
        <v>815</v>
      </c>
      <c r="C818" s="15">
        <v>45582</v>
      </c>
      <c r="D818">
        <v>43.65</v>
      </c>
      <c r="E818">
        <v>294.96194563106798</v>
      </c>
      <c r="F818">
        <v>73.533980582524265</v>
      </c>
      <c r="G818">
        <v>10786.149901041766</v>
      </c>
      <c r="H818">
        <v>239129.54098905352</v>
      </c>
      <c r="I818">
        <v>241.25321713330095</v>
      </c>
    </row>
    <row r="819" spans="2:9" x14ac:dyDescent="0.2">
      <c r="B819" s="1">
        <v>816</v>
      </c>
      <c r="C819" s="15">
        <v>45585</v>
      </c>
      <c r="D819">
        <v>43.34</v>
      </c>
      <c r="E819">
        <v>292.79010636461709</v>
      </c>
      <c r="F819">
        <v>73.487534460026367</v>
      </c>
      <c r="G819">
        <v>10709.547232786947</v>
      </c>
      <c r="H819">
        <v>237368.80224095078</v>
      </c>
      <c r="I819">
        <v>241.10083484164181</v>
      </c>
    </row>
    <row r="820" spans="2:9" x14ac:dyDescent="0.2">
      <c r="B820" s="1">
        <v>817</v>
      </c>
      <c r="C820" s="15">
        <v>45590</v>
      </c>
      <c r="D820">
        <v>42.67</v>
      </c>
      <c r="E820">
        <v>288.09613117583604</v>
      </c>
      <c r="F820">
        <v>73.387150904950261</v>
      </c>
      <c r="G820">
        <v>10543.986627203945</v>
      </c>
      <c r="H820">
        <v>233563.33462408342</v>
      </c>
      <c r="I820">
        <v>240.77149246934619</v>
      </c>
    </row>
    <row r="821" spans="2:9" x14ac:dyDescent="0.2">
      <c r="B821" s="1">
        <v>818</v>
      </c>
      <c r="C821" s="15">
        <v>45595</v>
      </c>
      <c r="D821">
        <v>43.06</v>
      </c>
      <c r="E821">
        <v>290.82844509169365</v>
      </c>
      <c r="F821">
        <v>73.445583123576654</v>
      </c>
      <c r="G821">
        <v>10640.357725976141</v>
      </c>
      <c r="H821">
        <v>235778.45756524501</v>
      </c>
      <c r="I821">
        <v>240.963199223369</v>
      </c>
    </row>
    <row r="822" spans="2:9" x14ac:dyDescent="0.2">
      <c r="B822" s="1">
        <v>819</v>
      </c>
      <c r="C822" s="15">
        <v>45598</v>
      </c>
      <c r="D822">
        <v>41.85</v>
      </c>
      <c r="E822">
        <v>282.35126601941749</v>
      </c>
      <c r="F822">
        <v>73.264293419633219</v>
      </c>
      <c r="G822">
        <v>10341.360214400869</v>
      </c>
      <c r="H822">
        <v>228905.89664523088</v>
      </c>
      <c r="I822">
        <v>240.36841673011867</v>
      </c>
    </row>
    <row r="823" spans="2:9" x14ac:dyDescent="0.2">
      <c r="B823" s="1">
        <v>820</v>
      </c>
      <c r="C823" s="15">
        <v>45600</v>
      </c>
      <c r="D823">
        <v>41.08</v>
      </c>
      <c r="E823">
        <v>276.95669751887812</v>
      </c>
      <c r="F823">
        <v>73.148927244396504</v>
      </c>
      <c r="G823">
        <v>10151.089070671151</v>
      </c>
      <c r="H823">
        <v>224532.44878704008</v>
      </c>
      <c r="I823">
        <v>239.98991877986847</v>
      </c>
    </row>
    <row r="824" spans="2:9" x14ac:dyDescent="0.2">
      <c r="B824" s="1">
        <v>821</v>
      </c>
      <c r="C824" s="15">
        <v>45610</v>
      </c>
      <c r="D824">
        <v>39.93</v>
      </c>
      <c r="E824">
        <v>268.86575377128952</v>
      </c>
      <c r="F824">
        <v>72.97188429305217</v>
      </c>
      <c r="G824">
        <v>9866.9178819839126</v>
      </c>
      <c r="H824">
        <v>217973.0139406579</v>
      </c>
      <c r="I824">
        <v>239.40906920196943</v>
      </c>
    </row>
    <row r="825" spans="2:9" x14ac:dyDescent="0.2">
      <c r="B825" s="1">
        <v>822</v>
      </c>
      <c r="C825" s="15">
        <v>45614</v>
      </c>
      <c r="D825">
        <v>39.53</v>
      </c>
      <c r="E825">
        <v>265.97589164639095</v>
      </c>
      <c r="F825">
        <v>72.899792736775709</v>
      </c>
      <c r="G825">
        <v>9768.0757293970455</v>
      </c>
      <c r="H825">
        <v>215630.16458776881</v>
      </c>
      <c r="I825">
        <v>239.17254834804498</v>
      </c>
    </row>
    <row r="826" spans="2:9" x14ac:dyDescent="0.2">
      <c r="B826" s="1">
        <v>823</v>
      </c>
      <c r="C826" s="15">
        <v>45615</v>
      </c>
      <c r="D826">
        <v>39.61</v>
      </c>
      <c r="E826">
        <v>266.55386407137064</v>
      </c>
      <c r="F826">
        <v>72.914211048031007</v>
      </c>
      <c r="G826">
        <v>9787.8441599144189</v>
      </c>
      <c r="H826">
        <v>216098.73445834662</v>
      </c>
      <c r="I826">
        <v>239.2198525188299</v>
      </c>
    </row>
    <row r="827" spans="2:9" x14ac:dyDescent="0.2">
      <c r="B827" s="1">
        <v>824</v>
      </c>
      <c r="C827" s="15">
        <v>45620</v>
      </c>
      <c r="D827">
        <v>38.78</v>
      </c>
      <c r="E827">
        <v>260.55740016220602</v>
      </c>
      <c r="F827">
        <v>72.764621068757322</v>
      </c>
      <c r="G827">
        <v>9582.7466932966709</v>
      </c>
      <c r="H827">
        <v>211237.32205110177</v>
      </c>
      <c r="I827">
        <v>238.72907174693657</v>
      </c>
    </row>
    <row r="828" spans="2:9" x14ac:dyDescent="0.2">
      <c r="B828" s="1">
        <v>825</v>
      </c>
      <c r="C828" s="15">
        <v>45625</v>
      </c>
      <c r="D828">
        <v>40.53</v>
      </c>
      <c r="E828">
        <v>273.10343430420716</v>
      </c>
      <c r="F828">
        <v>73.066522833513119</v>
      </c>
      <c r="G828">
        <v>10015.181110864212</v>
      </c>
      <c r="H828">
        <v>221408.55745976095</v>
      </c>
      <c r="I828">
        <v>239.7195631011183</v>
      </c>
    </row>
    <row r="829" spans="2:9" x14ac:dyDescent="0.2">
      <c r="B829" s="1">
        <v>826</v>
      </c>
      <c r="C829" s="15">
        <v>45630</v>
      </c>
      <c r="D829">
        <v>36.659999999999997</v>
      </c>
      <c r="E829">
        <v>245.24113090024329</v>
      </c>
      <c r="F829">
        <v>72.382535820492024</v>
      </c>
      <c r="G829">
        <v>9058.8832845862798</v>
      </c>
      <c r="H829">
        <v>198820.22048078949</v>
      </c>
      <c r="I829">
        <v>237.4755112211368</v>
      </c>
    </row>
    <row r="830" spans="2:9" x14ac:dyDescent="0.2">
      <c r="B830" s="1">
        <v>827</v>
      </c>
      <c r="C830" s="15">
        <v>45635</v>
      </c>
      <c r="D830">
        <v>36.82</v>
      </c>
      <c r="E830">
        <v>246.39707575020276</v>
      </c>
      <c r="F830">
        <v>72.41137244300262</v>
      </c>
      <c r="G830">
        <v>9098.4201456210267</v>
      </c>
      <c r="H830">
        <v>199757.36022194516</v>
      </c>
      <c r="I830">
        <v>237.57011956270662</v>
      </c>
    </row>
    <row r="831" spans="2:9" x14ac:dyDescent="0.2">
      <c r="B831" s="1">
        <v>828</v>
      </c>
      <c r="C831" s="15">
        <v>45640</v>
      </c>
      <c r="D831">
        <v>36.22</v>
      </c>
      <c r="E831">
        <v>242.06228256285482</v>
      </c>
      <c r="F831">
        <v>72.303235108587913</v>
      </c>
      <c r="G831">
        <v>8950.156916740727</v>
      </c>
      <c r="H831">
        <v>196243.08619261146</v>
      </c>
      <c r="I831">
        <v>237.2153382818199</v>
      </c>
    </row>
    <row r="832" spans="2:9" x14ac:dyDescent="0.2">
      <c r="B832" s="1">
        <v>829</v>
      </c>
      <c r="C832" s="15">
        <v>45645</v>
      </c>
      <c r="D832">
        <v>35.82</v>
      </c>
      <c r="E832">
        <v>239.17242043795619</v>
      </c>
      <c r="F832">
        <v>72.231143552311437</v>
      </c>
      <c r="G832">
        <v>8851.3147641538617</v>
      </c>
      <c r="H832">
        <v>193900.23683972238</v>
      </c>
      <c r="I832">
        <v>236.97881742789539</v>
      </c>
    </row>
    <row r="833" spans="2:9" x14ac:dyDescent="0.2">
      <c r="B833" s="1">
        <v>830</v>
      </c>
      <c r="C833" s="15">
        <v>45650</v>
      </c>
      <c r="D833">
        <v>35.53</v>
      </c>
      <c r="E833">
        <v>237.0772703974047</v>
      </c>
      <c r="F833">
        <v>72.178877174010992</v>
      </c>
      <c r="G833">
        <v>8779.6542035283856</v>
      </c>
      <c r="H833">
        <v>192201.67105887778</v>
      </c>
      <c r="I833">
        <v>236.80733980880012</v>
      </c>
    </row>
    <row r="834" spans="2:9" x14ac:dyDescent="0.2">
      <c r="B834" s="1">
        <v>831</v>
      </c>
      <c r="C834" s="15">
        <v>45655</v>
      </c>
      <c r="D834">
        <v>37.770000000000003</v>
      </c>
      <c r="E834">
        <v>253.260498296837</v>
      </c>
      <c r="F834">
        <v>72.582589889159237</v>
      </c>
      <c r="G834">
        <v>9333.1702580148358</v>
      </c>
      <c r="H834">
        <v>205321.62743505678</v>
      </c>
      <c r="I834">
        <v>238.13185659077726</v>
      </c>
    </row>
    <row r="835" spans="2:9" x14ac:dyDescent="0.2">
      <c r="B835" s="1">
        <v>832</v>
      </c>
      <c r="C835" s="15">
        <v>45660</v>
      </c>
      <c r="D835">
        <v>35.43</v>
      </c>
      <c r="E835">
        <v>236.35480486618005</v>
      </c>
      <c r="F835">
        <v>72.160854284941877</v>
      </c>
      <c r="G835">
        <v>8754.9436653816683</v>
      </c>
      <c r="H835">
        <v>191615.9587206555</v>
      </c>
      <c r="I835">
        <v>236.74820959531903</v>
      </c>
    </row>
    <row r="836" spans="2:9" x14ac:dyDescent="0.2">
      <c r="B836" s="1">
        <v>833</v>
      </c>
      <c r="C836" s="15">
        <v>45662</v>
      </c>
      <c r="D836">
        <v>35.18</v>
      </c>
      <c r="E836">
        <v>234.5486410381184</v>
      </c>
      <c r="F836">
        <v>72.115797062269081</v>
      </c>
      <c r="G836">
        <v>8693.1673200148762</v>
      </c>
      <c r="H836">
        <v>190151.67787509982</v>
      </c>
      <c r="I836">
        <v>236.60038406161621</v>
      </c>
    </row>
    <row r="837" spans="2:9" x14ac:dyDescent="0.2">
      <c r="B837" s="1">
        <v>834</v>
      </c>
      <c r="C837" s="15">
        <v>45665</v>
      </c>
      <c r="D837">
        <v>35.61</v>
      </c>
      <c r="E837">
        <v>237.65524282238442</v>
      </c>
      <c r="F837">
        <v>72.19329548526629</v>
      </c>
      <c r="G837">
        <v>8799.4226340457571</v>
      </c>
      <c r="H837">
        <v>192670.24092945558</v>
      </c>
      <c r="I837">
        <v>236.85464397958503</v>
      </c>
    </row>
    <row r="838" spans="2:9" x14ac:dyDescent="0.2">
      <c r="B838" s="1">
        <v>835</v>
      </c>
      <c r="C838" s="15">
        <v>45670</v>
      </c>
      <c r="D838">
        <v>34.54</v>
      </c>
      <c r="E838">
        <v>229.92486163828062</v>
      </c>
      <c r="F838">
        <v>72.000450572226725</v>
      </c>
      <c r="G838">
        <v>8535.0198758758906</v>
      </c>
      <c r="H838">
        <v>186403.11891047726</v>
      </c>
      <c r="I838">
        <v>236.22195069533703</v>
      </c>
    </row>
    <row r="839" spans="2:9" x14ac:dyDescent="0.2">
      <c r="B839" s="1">
        <v>836</v>
      </c>
      <c r="C839" s="15">
        <v>45678</v>
      </c>
      <c r="D839">
        <v>36.869999999999997</v>
      </c>
      <c r="E839">
        <v>246.75830851581506</v>
      </c>
      <c r="F839">
        <v>72.42038388753717</v>
      </c>
      <c r="G839">
        <v>9110.7754146943844</v>
      </c>
      <c r="H839">
        <v>200050.21639105625</v>
      </c>
      <c r="I839">
        <v>237.59968466944716</v>
      </c>
    </row>
    <row r="840" spans="2:9" x14ac:dyDescent="0.2">
      <c r="B840" s="1">
        <v>837</v>
      </c>
      <c r="C840" s="15">
        <v>45680</v>
      </c>
      <c r="D840">
        <v>34.950000000000003</v>
      </c>
      <c r="E840">
        <v>232.88697031630173</v>
      </c>
      <c r="F840">
        <v>72.074344417410117</v>
      </c>
      <c r="G840">
        <v>8636.3330822774296</v>
      </c>
      <c r="H840">
        <v>188804.53949718858</v>
      </c>
      <c r="I840">
        <v>236.46438457060967</v>
      </c>
    </row>
    <row r="841" spans="2:9" x14ac:dyDescent="0.2">
      <c r="B841" s="1">
        <v>838</v>
      </c>
      <c r="C841" s="15">
        <v>45690</v>
      </c>
      <c r="D841">
        <v>32.86</v>
      </c>
      <c r="E841">
        <v>217.66140100817955</v>
      </c>
      <c r="F841">
        <v>71.64544628326253</v>
      </c>
      <c r="G841">
        <v>8119.8828350110534</v>
      </c>
      <c r="H841">
        <v>176460.969576131</v>
      </c>
      <c r="I841">
        <v>235.05723846120719</v>
      </c>
    </row>
    <row r="842" spans="2:9" x14ac:dyDescent="0.2">
      <c r="B842" s="1">
        <v>839</v>
      </c>
      <c r="C842" s="15">
        <v>45694</v>
      </c>
      <c r="D842">
        <v>32.520000000000003</v>
      </c>
      <c r="E842">
        <v>215.17947215141717</v>
      </c>
      <c r="F842">
        <v>71.573584427113062</v>
      </c>
      <c r="G842">
        <v>8035.8670053122178</v>
      </c>
      <c r="H842">
        <v>174448.83710590581</v>
      </c>
      <c r="I842">
        <v>234.82147121662325</v>
      </c>
    </row>
    <row r="843" spans="2:9" x14ac:dyDescent="0.2">
      <c r="B843" s="1">
        <v>840</v>
      </c>
      <c r="C843" s="15">
        <v>45695</v>
      </c>
      <c r="D843">
        <v>36.36</v>
      </c>
      <c r="E843">
        <v>243.07373430656932</v>
      </c>
      <c r="F843">
        <v>72.328467153284677</v>
      </c>
      <c r="G843">
        <v>8984.7516701461318</v>
      </c>
      <c r="H843">
        <v>197063.08346612265</v>
      </c>
      <c r="I843">
        <v>237.29812058069345</v>
      </c>
    </row>
    <row r="844" spans="2:9" x14ac:dyDescent="0.2">
      <c r="B844" s="1">
        <v>841</v>
      </c>
      <c r="C844" s="15">
        <v>45700</v>
      </c>
      <c r="D844">
        <v>32.049999999999997</v>
      </c>
      <c r="E844">
        <v>211.74857049648085</v>
      </c>
      <c r="F844">
        <v>71.474245978906424</v>
      </c>
      <c r="G844">
        <v>7919.7274760226483</v>
      </c>
      <c r="H844">
        <v>171667.35986765323</v>
      </c>
      <c r="I844">
        <v>234.49555767263953</v>
      </c>
    </row>
    <row r="845" spans="2:9" x14ac:dyDescent="0.2">
      <c r="B845" s="1">
        <v>842</v>
      </c>
      <c r="C845" s="15">
        <v>45710</v>
      </c>
      <c r="D845">
        <v>31.16</v>
      </c>
      <c r="E845">
        <v>205.25175672436751</v>
      </c>
      <c r="F845">
        <v>71.286137002515161</v>
      </c>
      <c r="G845">
        <v>7699.8036865168715</v>
      </c>
      <c r="H845">
        <v>166400.30722500486</v>
      </c>
      <c r="I845">
        <v>233.87840223828746</v>
      </c>
    </row>
    <row r="846" spans="2:9" x14ac:dyDescent="0.2">
      <c r="B846" s="1">
        <v>843</v>
      </c>
      <c r="C846" s="15">
        <v>45720</v>
      </c>
      <c r="D846">
        <v>29.18</v>
      </c>
      <c r="E846">
        <v>191.01064266498528</v>
      </c>
      <c r="F846">
        <v>70.853766755406099</v>
      </c>
      <c r="G846">
        <v>7210.5350312118844</v>
      </c>
      <c r="H846">
        <v>154854.84816279646</v>
      </c>
      <c r="I846">
        <v>232.45986468216105</v>
      </c>
    </row>
    <row r="847" spans="2:9" x14ac:dyDescent="0.2">
      <c r="B847" s="1">
        <v>844</v>
      </c>
      <c r="C847" s="15">
        <v>45725</v>
      </c>
      <c r="D847">
        <v>31.08</v>
      </c>
      <c r="E847">
        <v>204.66777346395281</v>
      </c>
      <c r="F847">
        <v>71.26922833047999</v>
      </c>
      <c r="G847">
        <v>7680.0352559994981</v>
      </c>
      <c r="H847">
        <v>165926.8642908342</v>
      </c>
      <c r="I847">
        <v>233.82292759250302</v>
      </c>
    </row>
    <row r="848" spans="2:9" x14ac:dyDescent="0.2">
      <c r="B848" s="1">
        <v>845</v>
      </c>
      <c r="C848" s="15">
        <v>45730</v>
      </c>
      <c r="D848">
        <v>27.99</v>
      </c>
      <c r="E848">
        <v>182.72766242118536</v>
      </c>
      <c r="F848">
        <v>70.575872215216478</v>
      </c>
      <c r="G848">
        <v>6916.4796272659578</v>
      </c>
      <c r="H848">
        <v>148139.72679524656</v>
      </c>
      <c r="I848">
        <v>231.54813718810425</v>
      </c>
    </row>
    <row r="849" spans="2:9" x14ac:dyDescent="0.2">
      <c r="B849" s="1">
        <v>846</v>
      </c>
      <c r="C849" s="15">
        <v>45735</v>
      </c>
      <c r="D849">
        <v>27.17</v>
      </c>
      <c r="E849">
        <v>177.02006258932326</v>
      </c>
      <c r="F849">
        <v>70.384381859791702</v>
      </c>
      <c r="G849">
        <v>6713.8532144628825</v>
      </c>
      <c r="H849">
        <v>143512.50030668281</v>
      </c>
      <c r="I849">
        <v>230.91988799051893</v>
      </c>
    </row>
    <row r="850" spans="2:9" x14ac:dyDescent="0.2">
      <c r="B850" s="1">
        <v>847</v>
      </c>
      <c r="C850" s="15">
        <v>45740</v>
      </c>
      <c r="D850">
        <v>25.59</v>
      </c>
      <c r="E850">
        <v>166.02249218158889</v>
      </c>
      <c r="F850">
        <v>70.015412638363458</v>
      </c>
      <c r="G850">
        <v>6323.4267117447607</v>
      </c>
      <c r="H850">
        <v>134596.62487749889</v>
      </c>
      <c r="I850">
        <v>229.70935904883004</v>
      </c>
    </row>
    <row r="851" spans="2:9" x14ac:dyDescent="0.2">
      <c r="B851" s="1">
        <v>848</v>
      </c>
      <c r="C851" s="15">
        <v>45742</v>
      </c>
      <c r="D851">
        <v>26.23</v>
      </c>
      <c r="E851">
        <v>170.47720424548129</v>
      </c>
      <c r="F851">
        <v>70.16486852552427</v>
      </c>
      <c r="G851">
        <v>6481.5741558837462</v>
      </c>
      <c r="H851">
        <v>138208.11872223162</v>
      </c>
      <c r="I851">
        <v>230.19969988596986</v>
      </c>
    </row>
    <row r="852" spans="2:9" x14ac:dyDescent="0.2">
      <c r="B852" s="1">
        <v>849</v>
      </c>
      <c r="C852" s="15">
        <v>45745</v>
      </c>
      <c r="D852">
        <v>24.75</v>
      </c>
      <c r="E852">
        <v>160.05754695259591</v>
      </c>
      <c r="F852">
        <v>69.78429897165789</v>
      </c>
      <c r="G852">
        <v>6115.8581913123417</v>
      </c>
      <c r="H852">
        <v>129760.76508012002</v>
      </c>
      <c r="I852">
        <v>228.95111211082269</v>
      </c>
    </row>
    <row r="853" spans="2:9" x14ac:dyDescent="0.2">
      <c r="B853" s="1">
        <v>850</v>
      </c>
      <c r="C853" s="15">
        <v>45750</v>
      </c>
      <c r="D853">
        <v>24.43</v>
      </c>
      <c r="E853">
        <v>157.78134931025832</v>
      </c>
      <c r="F853">
        <v>69.695120251929879</v>
      </c>
      <c r="G853">
        <v>6036.7844692428489</v>
      </c>
      <c r="H853">
        <v>127915.4216198034</v>
      </c>
      <c r="I853">
        <v>228.65853100935402</v>
      </c>
    </row>
    <row r="854" spans="2:9" x14ac:dyDescent="0.2">
      <c r="B854" s="1">
        <v>852</v>
      </c>
      <c r="C854" s="15">
        <v>45758</v>
      </c>
      <c r="D854">
        <v>22.8</v>
      </c>
      <c r="E854">
        <v>146.18696756960119</v>
      </c>
      <c r="F854">
        <v>69.240866148315362</v>
      </c>
      <c r="G854">
        <v>5634.0026974513703</v>
      </c>
      <c r="H854">
        <v>118515.70336881568</v>
      </c>
      <c r="I854">
        <v>227.16819602374804</v>
      </c>
    </row>
    <row r="855" spans="2:9" x14ac:dyDescent="0.2">
      <c r="B855" s="1">
        <v>853</v>
      </c>
      <c r="C855" s="15">
        <v>45760</v>
      </c>
      <c r="D855">
        <v>22.49</v>
      </c>
      <c r="E855">
        <v>143.98190110358664</v>
      </c>
      <c r="F855">
        <v>69.154474263578848</v>
      </c>
      <c r="G855">
        <v>5557.4000291965476</v>
      </c>
      <c r="H855">
        <v>116728.02689163396</v>
      </c>
      <c r="I855">
        <v>226.88475808170026</v>
      </c>
    </row>
    <row r="856" spans="2:9" x14ac:dyDescent="0.2">
      <c r="B856" s="1">
        <v>854</v>
      </c>
      <c r="C856" s="15">
        <v>45762</v>
      </c>
      <c r="D856">
        <v>22.27</v>
      </c>
      <c r="E856">
        <v>142.41701522447954</v>
      </c>
      <c r="F856">
        <v>69.093163893765848</v>
      </c>
      <c r="G856">
        <v>5503.0368452737721</v>
      </c>
      <c r="H856">
        <v>115459.35326266629</v>
      </c>
      <c r="I856">
        <v>226.68360857444054</v>
      </c>
    </row>
    <row r="857" spans="2:9" x14ac:dyDescent="0.2">
      <c r="B857" s="1">
        <v>855</v>
      </c>
      <c r="C857" s="15">
        <v>45770</v>
      </c>
      <c r="D857">
        <v>21.41</v>
      </c>
      <c r="E857">
        <v>136.16813743202414</v>
      </c>
      <c r="F857">
        <v>68.823531386371272</v>
      </c>
      <c r="G857">
        <v>5290.5262172120101</v>
      </c>
      <c r="H857">
        <v>110393.30558994183</v>
      </c>
      <c r="I857">
        <v>225.79898748719154</v>
      </c>
    </row>
    <row r="858" spans="2:9" x14ac:dyDescent="0.2">
      <c r="B858" s="1">
        <v>856</v>
      </c>
      <c r="C858" s="15">
        <v>45775</v>
      </c>
      <c r="D858">
        <v>20.61</v>
      </c>
      <c r="E858">
        <v>130.27738214501508</v>
      </c>
      <c r="F858">
        <v>68.554984894259817</v>
      </c>
      <c r="G858">
        <v>5092.8419120382769</v>
      </c>
      <c r="H858">
        <v>105617.59255737583</v>
      </c>
      <c r="I858">
        <v>224.91792944220998</v>
      </c>
    </row>
    <row r="859" spans="2:9" x14ac:dyDescent="0.2">
      <c r="B859" s="1">
        <v>857</v>
      </c>
      <c r="C859" s="15">
        <v>45780</v>
      </c>
      <c r="D859">
        <v>20.25</v>
      </c>
      <c r="E859">
        <v>127.62654226586102</v>
      </c>
      <c r="F859">
        <v>68.434138972809663</v>
      </c>
      <c r="G859">
        <v>5003.8839747100983</v>
      </c>
      <c r="H859">
        <v>103468.52169272113</v>
      </c>
      <c r="I859">
        <v>224.52145332196827</v>
      </c>
    </row>
    <row r="860" spans="2:9" x14ac:dyDescent="0.2">
      <c r="B860" s="1">
        <v>858</v>
      </c>
      <c r="C860" s="15">
        <v>45782</v>
      </c>
      <c r="D860">
        <v>19.79</v>
      </c>
      <c r="E860">
        <v>124.2393579758308</v>
      </c>
      <c r="F860">
        <v>68.279724739845591</v>
      </c>
      <c r="G860">
        <v>4890.2154992352016</v>
      </c>
      <c r="H860">
        <v>100722.48669899566</v>
      </c>
      <c r="I860">
        <v>224.01484494610392</v>
      </c>
    </row>
    <row r="861" spans="2:9" x14ac:dyDescent="0.2">
      <c r="B861" s="1">
        <v>859</v>
      </c>
      <c r="C861" s="15">
        <v>45785</v>
      </c>
      <c r="D861">
        <v>19.920000000000002</v>
      </c>
      <c r="E861">
        <v>125.19660570996979</v>
      </c>
      <c r="F861">
        <v>68.323363544813702</v>
      </c>
      <c r="G861">
        <v>4922.3391988259336</v>
      </c>
      <c r="H861">
        <v>101498.54006678765</v>
      </c>
      <c r="I861">
        <v>224.15801687841343</v>
      </c>
    </row>
    <row r="862" spans="2:9" x14ac:dyDescent="0.2">
      <c r="B862" s="1">
        <v>860</v>
      </c>
      <c r="C862" s="15">
        <v>45790</v>
      </c>
      <c r="D862">
        <v>23.56</v>
      </c>
      <c r="E862">
        <v>151.59293697015298</v>
      </c>
      <c r="F862">
        <v>69.452665607669374</v>
      </c>
      <c r="G862">
        <v>5821.802787366415</v>
      </c>
      <c r="H862">
        <v>122898.39408706763</v>
      </c>
      <c r="I862">
        <v>227.86307613973611</v>
      </c>
    </row>
    <row r="863" spans="2:9" x14ac:dyDescent="0.2">
      <c r="B863" s="1">
        <v>861</v>
      </c>
      <c r="C863" s="15">
        <v>45795</v>
      </c>
      <c r="D863">
        <v>24.03</v>
      </c>
      <c r="E863">
        <v>154.93610225733633</v>
      </c>
      <c r="F863">
        <v>69.583646852269879</v>
      </c>
      <c r="G863">
        <v>5937.9423166559836</v>
      </c>
      <c r="H863">
        <v>125608.74229440765</v>
      </c>
      <c r="I863">
        <v>228.2928046325182</v>
      </c>
    </row>
    <row r="864" spans="2:9" x14ac:dyDescent="0.2">
      <c r="B864" s="1">
        <v>862</v>
      </c>
      <c r="C864" s="15">
        <v>45800</v>
      </c>
      <c r="D864">
        <v>22.43</v>
      </c>
      <c r="E864">
        <v>143.55511404564834</v>
      </c>
      <c r="F864">
        <v>69.137753253629853</v>
      </c>
      <c r="G864">
        <v>5542.573706308518</v>
      </c>
      <c r="H864">
        <v>116382.02499282459</v>
      </c>
      <c r="I864">
        <v>226.82989912517488</v>
      </c>
    </row>
    <row r="865" spans="2:9" x14ac:dyDescent="0.2">
      <c r="B865" s="1">
        <v>863</v>
      </c>
      <c r="C865" s="15">
        <v>45802</v>
      </c>
      <c r="D865">
        <v>22.34</v>
      </c>
      <c r="E865">
        <v>142.9149334587409</v>
      </c>
      <c r="F865">
        <v>69.112671738706354</v>
      </c>
      <c r="G865">
        <v>5520.3342219764736</v>
      </c>
      <c r="H865">
        <v>115863.02214461056</v>
      </c>
      <c r="I865">
        <v>226.74761069038684</v>
      </c>
    </row>
    <row r="866" spans="2:9" x14ac:dyDescent="0.2">
      <c r="B866" s="1">
        <v>864</v>
      </c>
      <c r="C866" s="15">
        <v>45805</v>
      </c>
      <c r="D866">
        <v>21.64</v>
      </c>
      <c r="E866">
        <v>137.86172957703926</v>
      </c>
      <c r="F866">
        <v>68.900738502853301</v>
      </c>
      <c r="G866">
        <v>5347.3604549494585</v>
      </c>
      <c r="H866">
        <v>111766.32308680456</v>
      </c>
      <c r="I866">
        <v>226.05229167512368</v>
      </c>
    </row>
    <row r="867" spans="2:9" x14ac:dyDescent="0.2">
      <c r="B867" s="1">
        <v>865</v>
      </c>
      <c r="C867" s="15">
        <v>45810</v>
      </c>
      <c r="D867">
        <v>20.16</v>
      </c>
      <c r="E867">
        <v>126.9638322960725</v>
      </c>
      <c r="F867">
        <v>68.403927492447124</v>
      </c>
      <c r="G867">
        <v>4981.644490378053</v>
      </c>
      <c r="H867">
        <v>102931.25397655745</v>
      </c>
      <c r="I867">
        <v>224.42233429190784</v>
      </c>
    </row>
    <row r="868" spans="2:9" x14ac:dyDescent="0.2">
      <c r="B868" s="1">
        <v>866</v>
      </c>
      <c r="C868" s="15">
        <v>45813</v>
      </c>
      <c r="D868">
        <v>24.17</v>
      </c>
      <c r="E868">
        <v>155.93193872585903</v>
      </c>
      <c r="F868">
        <v>69.622662542150877</v>
      </c>
      <c r="G868">
        <v>5972.5370700613867</v>
      </c>
      <c r="H868">
        <v>126416.08005829615</v>
      </c>
      <c r="I868">
        <v>228.42080886441073</v>
      </c>
    </row>
    <row r="869" spans="2:9" x14ac:dyDescent="0.2">
      <c r="B869" s="1">
        <v>867</v>
      </c>
      <c r="C869" s="15">
        <v>45815</v>
      </c>
      <c r="D869">
        <v>19.559999999999999</v>
      </c>
      <c r="E869">
        <v>122.54576583081568</v>
      </c>
      <c r="F869">
        <v>68.202517623363548</v>
      </c>
      <c r="G869">
        <v>4833.3812614977533</v>
      </c>
      <c r="H869">
        <v>99349.469202132925</v>
      </c>
      <c r="I869">
        <v>223.76154075817172</v>
      </c>
    </row>
    <row r="870" spans="2:9" x14ac:dyDescent="0.2">
      <c r="B870" s="1">
        <v>868</v>
      </c>
      <c r="C870" s="15">
        <v>45820</v>
      </c>
      <c r="D870">
        <v>19</v>
      </c>
      <c r="E870">
        <v>118.42223712990935</v>
      </c>
      <c r="F870">
        <v>68.01453507888553</v>
      </c>
      <c r="G870">
        <v>4695.0022478761421</v>
      </c>
      <c r="H870">
        <v>96006.470079336737</v>
      </c>
      <c r="I870">
        <v>223.14480012668463</v>
      </c>
    </row>
    <row r="871" spans="2:9" x14ac:dyDescent="0.2">
      <c r="B871" s="1">
        <v>869</v>
      </c>
      <c r="C871" s="15">
        <v>45822</v>
      </c>
      <c r="D871">
        <v>18.510000000000002</v>
      </c>
      <c r="E871">
        <v>114.55958</v>
      </c>
      <c r="F871">
        <v>67.813057124921528</v>
      </c>
      <c r="G871">
        <v>4573.9206109572306</v>
      </c>
      <c r="H871">
        <v>92874.962981032499</v>
      </c>
      <c r="I871">
        <v>222.48378321735655</v>
      </c>
    </row>
    <row r="872" spans="2:9" x14ac:dyDescent="0.2">
      <c r="B872" s="1">
        <v>870</v>
      </c>
      <c r="C872" s="15">
        <v>45825</v>
      </c>
      <c r="D872">
        <v>17.71</v>
      </c>
      <c r="E872">
        <v>108.21291333333333</v>
      </c>
      <c r="F872">
        <v>67.478259050010465</v>
      </c>
      <c r="G872">
        <v>4376.2363057834982</v>
      </c>
      <c r="H872">
        <v>87729.636577779107</v>
      </c>
      <c r="I872">
        <v>221.38536433641914</v>
      </c>
    </row>
    <row r="873" spans="2:9" x14ac:dyDescent="0.2">
      <c r="B873" s="1">
        <v>872</v>
      </c>
      <c r="C873" s="15">
        <v>45835</v>
      </c>
      <c r="D873">
        <v>24.86</v>
      </c>
      <c r="E873">
        <v>160.83998989214948</v>
      </c>
      <c r="F873">
        <v>69.814954156564383</v>
      </c>
      <c r="G873">
        <v>6143.0397832737299</v>
      </c>
      <c r="H873">
        <v>130395.10189460388</v>
      </c>
      <c r="I873">
        <v>229.05168686445251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E2A25B-6F8B-D64C-8526-0F63FA388C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Info</vt:lpstr>
      <vt:lpstr>Data</vt:lpstr>
      <vt:lpstr>Monitoring</vt:lpstr>
      <vt:lpstr>Calcs</vt:lpstr>
      <vt:lpstr>Annual Chart</vt:lpstr>
      <vt:lpstr>Export</vt:lpstr>
      <vt:lpstr>Reservoir Curves</vt:lpstr>
      <vt:lpstr>Dam_name</vt:lpstr>
      <vt:lpstr>Info!Print_Area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de Jong</dc:creator>
  <cp:lastModifiedBy>Andreas de Jong</cp:lastModifiedBy>
  <cp:lastPrinted>2025-03-14T08:24:20Z</cp:lastPrinted>
  <dcterms:created xsi:type="dcterms:W3CDTF">2022-02-02T16:53:53Z</dcterms:created>
  <dcterms:modified xsi:type="dcterms:W3CDTF">2025-07-31T16:26:32Z</dcterms:modified>
</cp:coreProperties>
</file>